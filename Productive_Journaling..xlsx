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saibh\OneDrive\Desktop\pj git\"/>
    </mc:Choice>
  </mc:AlternateContent>
  <xr:revisionPtr revIDLastSave="0" documentId="13_ncr:1_{D7549A21-8791-4A5D-B703-7C789CE0E0EE}" xr6:coauthVersionLast="47" xr6:coauthVersionMax="47" xr10:uidLastSave="{00000000-0000-0000-0000-000000000000}"/>
  <bookViews>
    <workbookView xWindow="-90" yWindow="0" windowWidth="18240" windowHeight="15370" xr2:uid="{FBBF4925-6FBB-40CA-BE72-81FF39C26774}"/>
  </bookViews>
  <sheets>
    <sheet name="Game" sheetId="1" r:id="rId1"/>
    <sheet name="charts" sheetId="2" r:id="rId2"/>
    <sheet name="optional" sheetId="3" r:id="rId3"/>
    <sheet name="PJ-about,rules" sheetId="4" r:id="rId4"/>
  </sheets>
  <definedNames>
    <definedName name="Slicer_Charts">#N/A</definedName>
    <definedName name="week_5">Game!$A$59:$Z$71</definedName>
    <definedName name="week_6">Game!$A$73:$Z$85</definedName>
    <definedName name="week_7">Game!$A$87:$Z$99</definedName>
    <definedName name="Week1">Game!$A$2:$Z$15</definedName>
    <definedName name="week2">Game!$A$17:$Z$29</definedName>
    <definedName name="week3">Game!$A$31:$Z$43</definedName>
    <definedName name="week4">Game!$A$46:$Z$57</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5" i="1" l="1"/>
  <c r="W4" i="1"/>
  <c r="W18" i="1"/>
  <c r="W32" i="1"/>
  <c r="W19" i="1"/>
  <c r="W20" i="1"/>
  <c r="W21" i="1"/>
  <c r="W22" i="1"/>
  <c r="W23" i="1"/>
  <c r="W24" i="1"/>
  <c r="AU159" i="1"/>
  <c r="AU160" i="1"/>
  <c r="AU161" i="1"/>
  <c r="AU162" i="1"/>
  <c r="AU163" i="1"/>
  <c r="AU164" i="1"/>
  <c r="AU158" i="1"/>
  <c r="S167" i="1" s="1" a="1"/>
  <c r="S167" i="1" s="1"/>
  <c r="AU145" i="1"/>
  <c r="AU146" i="1"/>
  <c r="AU147" i="1"/>
  <c r="AU148" i="1"/>
  <c r="AU149" i="1"/>
  <c r="AU150" i="1"/>
  <c r="AU144" i="1"/>
  <c r="AU131" i="1"/>
  <c r="AU132" i="1"/>
  <c r="AU133" i="1"/>
  <c r="AU134" i="1"/>
  <c r="AU135" i="1"/>
  <c r="AU136" i="1"/>
  <c r="AU130" i="1"/>
  <c r="AU117" i="1"/>
  <c r="AU118" i="1"/>
  <c r="AU119" i="1"/>
  <c r="AU120" i="1"/>
  <c r="AU121" i="1"/>
  <c r="AU122" i="1"/>
  <c r="AU116" i="1"/>
  <c r="AU103" i="1"/>
  <c r="AU104" i="1"/>
  <c r="AU105" i="1"/>
  <c r="AU106" i="1"/>
  <c r="AU107" i="1"/>
  <c r="AU108" i="1"/>
  <c r="AU102" i="1"/>
  <c r="S111" i="1" s="1" a="1"/>
  <c r="S111" i="1" s="1"/>
  <c r="AU89" i="1"/>
  <c r="AU90" i="1"/>
  <c r="AU91" i="1"/>
  <c r="AU92" i="1"/>
  <c r="AU93" i="1"/>
  <c r="AU94" i="1"/>
  <c r="AU88" i="1"/>
  <c r="AU75" i="1"/>
  <c r="S83" i="1" s="1" a="1"/>
  <c r="S83" i="1" s="1"/>
  <c r="AU76" i="1"/>
  <c r="AU77" i="1"/>
  <c r="AU78" i="1"/>
  <c r="AU79" i="1"/>
  <c r="AU80" i="1"/>
  <c r="AU74" i="1"/>
  <c r="AU61" i="1"/>
  <c r="AU62" i="1"/>
  <c r="AU63" i="1"/>
  <c r="AU64" i="1"/>
  <c r="AU65" i="1"/>
  <c r="AU66" i="1"/>
  <c r="AU60" i="1"/>
  <c r="AU47" i="1"/>
  <c r="AU48" i="1"/>
  <c r="AU49" i="1"/>
  <c r="AU50" i="1"/>
  <c r="AU51" i="1"/>
  <c r="AU52" i="1"/>
  <c r="AU46" i="1"/>
  <c r="AU33" i="1"/>
  <c r="AU34" i="1"/>
  <c r="AU35" i="1"/>
  <c r="AU36" i="1"/>
  <c r="AU37" i="1"/>
  <c r="AU38" i="1"/>
  <c r="AU32" i="1"/>
  <c r="S41" i="1" s="1" a="1"/>
  <c r="S41" i="1" s="1"/>
  <c r="AU19" i="1"/>
  <c r="AU20" i="1"/>
  <c r="AU25" i="1" s="1"/>
  <c r="AU21" i="1"/>
  <c r="AU22" i="1"/>
  <c r="AU23" i="1"/>
  <c r="AU24" i="1"/>
  <c r="AU18" i="1"/>
  <c r="AU10" i="1"/>
  <c r="AU9" i="1"/>
  <c r="AU8" i="1"/>
  <c r="AU7" i="1"/>
  <c r="AU6" i="1"/>
  <c r="AU5" i="1"/>
  <c r="AU4" i="1"/>
  <c r="W6" i="1"/>
  <c r="W7" i="1"/>
  <c r="W8" i="1"/>
  <c r="W9" i="1"/>
  <c r="W10" i="1"/>
  <c r="AZ2" i="1"/>
  <c r="BA2" i="1"/>
  <c r="BB2" i="1"/>
  <c r="BC2" i="1"/>
  <c r="BD2" i="1"/>
  <c r="BE2" i="1"/>
  <c r="BF2" i="1"/>
  <c r="BG2" i="1"/>
  <c r="BH2" i="1"/>
  <c r="BI2" i="1"/>
  <c r="BJ2" i="1"/>
  <c r="BK2" i="1"/>
  <c r="BL2" i="1"/>
  <c r="BM2" i="1"/>
  <c r="BN2" i="1"/>
  <c r="BO2" i="1"/>
  <c r="BP2" i="1"/>
  <c r="BQ2" i="1"/>
  <c r="BR2" i="1"/>
  <c r="AE2" i="1" a="1"/>
  <c r="AE2" i="1" s="1"/>
  <c r="AF2" i="1" a="1"/>
  <c r="AF2" i="1" s="1"/>
  <c r="AG2" i="1" a="1"/>
  <c r="AG2" i="1" s="1"/>
  <c r="AH2" i="1" a="1"/>
  <c r="AH2" i="1" s="1"/>
  <c r="AI2" i="1" a="1"/>
  <c r="AI2" i="1" s="1"/>
  <c r="AJ2" i="1" a="1"/>
  <c r="AJ2" i="1" s="1"/>
  <c r="AK2" i="1" a="1"/>
  <c r="AK2" i="1" s="1"/>
  <c r="AL2" i="1" a="1"/>
  <c r="AL2" i="1"/>
  <c r="AM2" i="1" a="1"/>
  <c r="AM2" i="1"/>
  <c r="AN2" i="1" a="1"/>
  <c r="AN2" i="1"/>
  <c r="AO2" i="1" a="1"/>
  <c r="AO2" i="1" s="1"/>
  <c r="AP2" i="1" a="1"/>
  <c r="AP2" i="1"/>
  <c r="AQ2" i="1" a="1"/>
  <c r="AQ2" i="1" s="1"/>
  <c r="AR2" i="1" a="1"/>
  <c r="AR2" i="1" s="1"/>
  <c r="AS2" i="1" a="1"/>
  <c r="AS2" i="1" s="1"/>
  <c r="AT2" i="1" a="1"/>
  <c r="AT2" i="1"/>
  <c r="AU2" i="1" a="1"/>
  <c r="AU2" i="1" s="1"/>
  <c r="AV2" i="1" a="1"/>
  <c r="AV2" i="1"/>
  <c r="AW2" i="1" a="1"/>
  <c r="AW2" i="1" s="1"/>
  <c r="AD2" i="1" a="1"/>
  <c r="AD2" i="1" s="1"/>
  <c r="AY2" i="1" s="1"/>
  <c r="BT17" i="1"/>
  <c r="B57" i="1"/>
  <c r="C169" i="1"/>
  <c r="D169" i="1"/>
  <c r="E169" i="1"/>
  <c r="F169" i="1"/>
  <c r="G169" i="1"/>
  <c r="H169" i="1"/>
  <c r="I169" i="1"/>
  <c r="J169" i="1"/>
  <c r="K169" i="1"/>
  <c r="L169" i="1"/>
  <c r="M169" i="1"/>
  <c r="N169" i="1"/>
  <c r="O169" i="1"/>
  <c r="B169" i="1"/>
  <c r="C155" i="1"/>
  <c r="D155" i="1"/>
  <c r="E155" i="1"/>
  <c r="F155" i="1"/>
  <c r="G155" i="1"/>
  <c r="H155" i="1"/>
  <c r="I155" i="1"/>
  <c r="J155" i="1"/>
  <c r="K155" i="1"/>
  <c r="L155" i="1"/>
  <c r="M155" i="1"/>
  <c r="N155" i="1"/>
  <c r="O155" i="1"/>
  <c r="B155" i="1"/>
  <c r="C141" i="1"/>
  <c r="D141" i="1"/>
  <c r="E141" i="1"/>
  <c r="F141" i="1"/>
  <c r="G141" i="1"/>
  <c r="H141" i="1"/>
  <c r="I141" i="1"/>
  <c r="J141" i="1"/>
  <c r="K141" i="1"/>
  <c r="L141" i="1"/>
  <c r="M141" i="1"/>
  <c r="N141" i="1"/>
  <c r="O141" i="1"/>
  <c r="B141" i="1"/>
  <c r="C127" i="1"/>
  <c r="D127" i="1"/>
  <c r="E127" i="1"/>
  <c r="F127" i="1"/>
  <c r="G127" i="1"/>
  <c r="H127" i="1"/>
  <c r="I127" i="1"/>
  <c r="J127" i="1"/>
  <c r="K127" i="1"/>
  <c r="L127" i="1"/>
  <c r="M127" i="1"/>
  <c r="N127" i="1"/>
  <c r="O127" i="1"/>
  <c r="B127" i="1"/>
  <c r="C113" i="1"/>
  <c r="D113" i="1"/>
  <c r="E113" i="1"/>
  <c r="F113" i="1"/>
  <c r="G113" i="1"/>
  <c r="H113" i="1"/>
  <c r="I113" i="1"/>
  <c r="J113" i="1"/>
  <c r="K113" i="1"/>
  <c r="L113" i="1"/>
  <c r="M113" i="1"/>
  <c r="N113" i="1"/>
  <c r="O113" i="1"/>
  <c r="B113" i="1"/>
  <c r="C99" i="1"/>
  <c r="D99" i="1"/>
  <c r="E99" i="1"/>
  <c r="F99" i="1"/>
  <c r="G99" i="1"/>
  <c r="H99" i="1"/>
  <c r="I99" i="1"/>
  <c r="J99" i="1"/>
  <c r="K99" i="1"/>
  <c r="L99" i="1"/>
  <c r="M99" i="1"/>
  <c r="N99" i="1"/>
  <c r="O99" i="1"/>
  <c r="B99" i="1"/>
  <c r="C85" i="1"/>
  <c r="D85" i="1"/>
  <c r="E85" i="1"/>
  <c r="F85" i="1"/>
  <c r="G85" i="1"/>
  <c r="H85" i="1"/>
  <c r="I85" i="1"/>
  <c r="J85" i="1"/>
  <c r="K85" i="1"/>
  <c r="L85" i="1"/>
  <c r="M85" i="1"/>
  <c r="N85" i="1"/>
  <c r="O85" i="1"/>
  <c r="B85" i="1"/>
  <c r="C71" i="1"/>
  <c r="D71" i="1"/>
  <c r="E71" i="1"/>
  <c r="F71" i="1"/>
  <c r="G71" i="1"/>
  <c r="H71" i="1"/>
  <c r="I71" i="1"/>
  <c r="J71" i="1"/>
  <c r="K71" i="1"/>
  <c r="L71" i="1"/>
  <c r="M71" i="1"/>
  <c r="N71" i="1"/>
  <c r="O71" i="1"/>
  <c r="B71" i="1"/>
  <c r="C57" i="1"/>
  <c r="D57" i="1"/>
  <c r="E57" i="1"/>
  <c r="F57" i="1"/>
  <c r="G57" i="1"/>
  <c r="H57" i="1"/>
  <c r="I57" i="1"/>
  <c r="J57" i="1"/>
  <c r="K57" i="1"/>
  <c r="L57" i="1"/>
  <c r="M57" i="1"/>
  <c r="N57" i="1"/>
  <c r="O57" i="1"/>
  <c r="C43" i="1"/>
  <c r="D43" i="1"/>
  <c r="E43" i="1"/>
  <c r="F43" i="1"/>
  <c r="G43" i="1"/>
  <c r="H43" i="1"/>
  <c r="I43" i="1"/>
  <c r="J43" i="1"/>
  <c r="K43" i="1"/>
  <c r="L43" i="1"/>
  <c r="M43" i="1"/>
  <c r="N43" i="1"/>
  <c r="O43" i="1"/>
  <c r="B43" i="1"/>
  <c r="C29" i="1"/>
  <c r="D29" i="1"/>
  <c r="E29" i="1"/>
  <c r="F29" i="1"/>
  <c r="G29" i="1"/>
  <c r="H29" i="1"/>
  <c r="I29" i="1"/>
  <c r="J29" i="1"/>
  <c r="K29" i="1"/>
  <c r="L29" i="1"/>
  <c r="M29" i="1"/>
  <c r="N29" i="1"/>
  <c r="O29" i="1"/>
  <c r="C15" i="1"/>
  <c r="D15" i="1"/>
  <c r="E15" i="1"/>
  <c r="F15" i="1"/>
  <c r="G15" i="1"/>
  <c r="H15" i="1"/>
  <c r="I15" i="1"/>
  <c r="J15" i="1"/>
  <c r="K15" i="1"/>
  <c r="L15" i="1"/>
  <c r="M15" i="1"/>
  <c r="N15" i="1"/>
  <c r="O15" i="1"/>
  <c r="B15" i="1"/>
  <c r="B29" i="1"/>
  <c r="BQ116" i="1"/>
  <c r="AZ116" i="1"/>
  <c r="AY116" i="1"/>
  <c r="S153" i="1" a="1"/>
  <c r="S153" i="1" s="1"/>
  <c r="S139" i="1" a="1"/>
  <c r="S139" i="1" s="1"/>
  <c r="S125" i="1" a="1"/>
  <c r="S125" i="1" s="1"/>
  <c r="S97" i="1" a="1"/>
  <c r="S97" i="1" s="1"/>
  <c r="S55" i="1" a="1"/>
  <c r="S55" i="1" s="1"/>
  <c r="S27" i="1" a="1"/>
  <c r="S27" i="1" s="1"/>
  <c r="B39" i="1"/>
  <c r="C39" i="1"/>
  <c r="D39" i="1"/>
  <c r="E39" i="1"/>
  <c r="F39" i="1"/>
  <c r="G39" i="1"/>
  <c r="H39" i="1"/>
  <c r="I39" i="1"/>
  <c r="J39" i="1"/>
  <c r="K39" i="1"/>
  <c r="L39" i="1"/>
  <c r="M39" i="1"/>
  <c r="N39" i="1"/>
  <c r="O39" i="1"/>
  <c r="P39" i="1"/>
  <c r="Q39" i="1"/>
  <c r="R39" i="1"/>
  <c r="S39" i="1"/>
  <c r="T39" i="1"/>
  <c r="U39" i="1"/>
  <c r="V39" i="1"/>
  <c r="AW164" i="1"/>
  <c r="AQ164" i="1"/>
  <c r="AP164" i="1"/>
  <c r="AM164" i="1"/>
  <c r="AJ164" i="1"/>
  <c r="AI164" i="1"/>
  <c r="AE164" i="1"/>
  <c r="AD164" i="1"/>
  <c r="AV163" i="1"/>
  <c r="AV164" i="1" s="1"/>
  <c r="AS163" i="1"/>
  <c r="AS164" i="1" s="1"/>
  <c r="AM163" i="1"/>
  <c r="AH163" i="1"/>
  <c r="AH164" i="1" s="1"/>
  <c r="AF163" i="1"/>
  <c r="AF164" i="1" s="1"/>
  <c r="AV162" i="1"/>
  <c r="AR162" i="1"/>
  <c r="AR163" i="1" s="1"/>
  <c r="AR164" i="1" s="1"/>
  <c r="AP162" i="1"/>
  <c r="AP163" i="1" s="1"/>
  <c r="AO162" i="1"/>
  <c r="AO163" i="1" s="1"/>
  <c r="AO164" i="1" s="1"/>
  <c r="AM162" i="1"/>
  <c r="AL162" i="1"/>
  <c r="AL163" i="1" s="1"/>
  <c r="AL164" i="1" s="1"/>
  <c r="AH162" i="1"/>
  <c r="AE162" i="1"/>
  <c r="AE163" i="1" s="1"/>
  <c r="AD162" i="1"/>
  <c r="AD163" i="1" s="1"/>
  <c r="AW161" i="1"/>
  <c r="AW162" i="1" s="1"/>
  <c r="AW163" i="1" s="1"/>
  <c r="AV161" i="1"/>
  <c r="AQ161" i="1"/>
  <c r="AQ162" i="1" s="1"/>
  <c r="AQ163" i="1" s="1"/>
  <c r="AP161" i="1"/>
  <c r="AM161" i="1"/>
  <c r="AG161" i="1"/>
  <c r="AG162" i="1" s="1"/>
  <c r="AG163" i="1" s="1"/>
  <c r="AG164" i="1" s="1"/>
  <c r="AD161" i="1"/>
  <c r="AW160" i="1"/>
  <c r="AV160" i="1"/>
  <c r="AQ160" i="1"/>
  <c r="AM160" i="1"/>
  <c r="AJ160" i="1"/>
  <c r="AJ161" i="1" s="1"/>
  <c r="AJ162" i="1" s="1"/>
  <c r="AJ163" i="1" s="1"/>
  <c r="AG160" i="1"/>
  <c r="AE160" i="1"/>
  <c r="AE161" i="1" s="1"/>
  <c r="AD160" i="1"/>
  <c r="AV159" i="1"/>
  <c r="AS159" i="1"/>
  <c r="AS160" i="1" s="1"/>
  <c r="AS161" i="1" s="1"/>
  <c r="AS162" i="1" s="1"/>
  <c r="AQ159" i="1"/>
  <c r="AP159" i="1"/>
  <c r="AP160" i="1" s="1"/>
  <c r="AM159" i="1"/>
  <c r="AJ159" i="1"/>
  <c r="AG159" i="1"/>
  <c r="AE159" i="1"/>
  <c r="AD159" i="1"/>
  <c r="AW158" i="1"/>
  <c r="AW159" i="1" s="1"/>
  <c r="AV158" i="1"/>
  <c r="AS158" i="1"/>
  <c r="AQ158" i="1"/>
  <c r="AP158" i="1"/>
  <c r="AG158" i="1"/>
  <c r="AE158" i="1"/>
  <c r="AD158" i="1"/>
  <c r="AW150" i="1"/>
  <c r="AV150" i="1"/>
  <c r="AQ150" i="1"/>
  <c r="AP150" i="1"/>
  <c r="AM150" i="1"/>
  <c r="AM158" i="1" s="1"/>
  <c r="AJ150" i="1"/>
  <c r="AJ158" i="1" s="1"/>
  <c r="AI150" i="1"/>
  <c r="AI158" i="1" s="1"/>
  <c r="AI159" i="1" s="1"/>
  <c r="AI160" i="1" s="1"/>
  <c r="AI161" i="1" s="1"/>
  <c r="AI162" i="1" s="1"/>
  <c r="AI163" i="1" s="1"/>
  <c r="AG150" i="1"/>
  <c r="AE150" i="1"/>
  <c r="AD150" i="1"/>
  <c r="AW149" i="1"/>
  <c r="AV149" i="1"/>
  <c r="AS149" i="1"/>
  <c r="AS150" i="1" s="1"/>
  <c r="AQ149" i="1"/>
  <c r="AP149" i="1"/>
  <c r="AM149" i="1"/>
  <c r="AE149" i="1"/>
  <c r="AW148" i="1"/>
  <c r="AV148" i="1"/>
  <c r="AQ148" i="1"/>
  <c r="AM148" i="1"/>
  <c r="AG148" i="1"/>
  <c r="AG149" i="1" s="1"/>
  <c r="AF148" i="1"/>
  <c r="AF149" i="1" s="1"/>
  <c r="AF150" i="1" s="1"/>
  <c r="AF158" i="1" s="1"/>
  <c r="AF159" i="1" s="1"/>
  <c r="AF160" i="1" s="1"/>
  <c r="AF161" i="1" s="1"/>
  <c r="AF162" i="1" s="1"/>
  <c r="AE148" i="1"/>
  <c r="AD148" i="1"/>
  <c r="AD149" i="1" s="1"/>
  <c r="AV147" i="1"/>
  <c r="AS147" i="1"/>
  <c r="AS148" i="1" s="1"/>
  <c r="AQ147" i="1"/>
  <c r="AP147" i="1"/>
  <c r="AP148" i="1" s="1"/>
  <c r="AM147" i="1"/>
  <c r="AJ147" i="1"/>
  <c r="AJ148" i="1" s="1"/>
  <c r="AJ149" i="1" s="1"/>
  <c r="AG147" i="1"/>
  <c r="AE147" i="1"/>
  <c r="AD147" i="1"/>
  <c r="AV146" i="1"/>
  <c r="AS146" i="1"/>
  <c r="AQ146" i="1"/>
  <c r="AP146" i="1"/>
  <c r="AI146" i="1"/>
  <c r="AI147" i="1" s="1"/>
  <c r="AI148" i="1" s="1"/>
  <c r="AI149" i="1" s="1"/>
  <c r="AG146" i="1"/>
  <c r="AF146" i="1"/>
  <c r="AF147" i="1" s="1"/>
  <c r="AE146" i="1"/>
  <c r="AW145" i="1"/>
  <c r="AW146" i="1" s="1"/>
  <c r="AW147" i="1" s="1"/>
  <c r="AV145" i="1"/>
  <c r="AR145" i="1"/>
  <c r="AR146" i="1" s="1"/>
  <c r="AR147" i="1" s="1"/>
  <c r="AR148" i="1" s="1"/>
  <c r="AR149" i="1" s="1"/>
  <c r="AR150" i="1" s="1"/>
  <c r="AR158" i="1" s="1"/>
  <c r="AR159" i="1" s="1"/>
  <c r="AR160" i="1" s="1"/>
  <c r="AR161" i="1" s="1"/>
  <c r="AP145" i="1"/>
  <c r="AI145" i="1"/>
  <c r="AH145" i="1"/>
  <c r="AH146" i="1" s="1"/>
  <c r="AH147" i="1" s="1"/>
  <c r="AH148" i="1" s="1"/>
  <c r="AH149" i="1" s="1"/>
  <c r="AH150" i="1" s="1"/>
  <c r="AH158" i="1" s="1"/>
  <c r="AH159" i="1" s="1"/>
  <c r="AH160" i="1" s="1"/>
  <c r="AH161" i="1" s="1"/>
  <c r="AG145" i="1"/>
  <c r="AE145" i="1"/>
  <c r="AD145" i="1"/>
  <c r="AD146" i="1" s="1"/>
  <c r="AV144" i="1"/>
  <c r="AS144" i="1"/>
  <c r="AS145" i="1" s="1"/>
  <c r="AQ144" i="1"/>
  <c r="AQ145" i="1" s="1"/>
  <c r="AP144" i="1"/>
  <c r="AL144" i="1"/>
  <c r="AL145" i="1" s="1"/>
  <c r="AL146" i="1" s="1"/>
  <c r="AL147" i="1" s="1"/>
  <c r="AL148" i="1" s="1"/>
  <c r="AL149" i="1" s="1"/>
  <c r="AL150" i="1" s="1"/>
  <c r="AL158" i="1" s="1"/>
  <c r="AL159" i="1" s="1"/>
  <c r="AL160" i="1" s="1"/>
  <c r="AL161" i="1" s="1"/>
  <c r="AH144" i="1"/>
  <c r="AG144" i="1"/>
  <c r="AW136" i="1"/>
  <c r="AW144" i="1" s="1"/>
  <c r="AV136" i="1"/>
  <c r="AR136" i="1"/>
  <c r="AR144" i="1" s="1"/>
  <c r="AQ136" i="1"/>
  <c r="AP136" i="1"/>
  <c r="AJ136" i="1"/>
  <c r="AJ144" i="1" s="1"/>
  <c r="AJ145" i="1" s="1"/>
  <c r="AJ146" i="1" s="1"/>
  <c r="AG136" i="1"/>
  <c r="AP135" i="1"/>
  <c r="AH135" i="1"/>
  <c r="AH136" i="1" s="1"/>
  <c r="AG135" i="1"/>
  <c r="AE135" i="1"/>
  <c r="AE136" i="1" s="1"/>
  <c r="AE144" i="1" s="1"/>
  <c r="AD135" i="1"/>
  <c r="AD136" i="1" s="1"/>
  <c r="AD144" i="1" s="1"/>
  <c r="AW134" i="1"/>
  <c r="AW135" i="1" s="1"/>
  <c r="AV134" i="1"/>
  <c r="AV135" i="1" s="1"/>
  <c r="AP134" i="1"/>
  <c r="AL134" i="1"/>
  <c r="AL135" i="1" s="1"/>
  <c r="AL136" i="1" s="1"/>
  <c r="AJ134" i="1"/>
  <c r="AJ135" i="1" s="1"/>
  <c r="AG134" i="1"/>
  <c r="AF134" i="1"/>
  <c r="AF135" i="1" s="1"/>
  <c r="AF136" i="1" s="1"/>
  <c r="AF144" i="1" s="1"/>
  <c r="AF145" i="1" s="1"/>
  <c r="AE134" i="1"/>
  <c r="AV133" i="1"/>
  <c r="AS133" i="1"/>
  <c r="AS134" i="1" s="1"/>
  <c r="AS135" i="1" s="1"/>
  <c r="AS136" i="1" s="1"/>
  <c r="AQ133" i="1"/>
  <c r="AQ134" i="1" s="1"/>
  <c r="AQ135" i="1" s="1"/>
  <c r="AG133" i="1"/>
  <c r="AE133" i="1"/>
  <c r="AD133" i="1"/>
  <c r="AD134" i="1" s="1"/>
  <c r="AV132" i="1"/>
  <c r="AH132" i="1"/>
  <c r="AH133" i="1" s="1"/>
  <c r="AH134" i="1" s="1"/>
  <c r="AG132" i="1"/>
  <c r="AF132" i="1"/>
  <c r="AF133" i="1" s="1"/>
  <c r="AE132" i="1"/>
  <c r="AW131" i="1"/>
  <c r="AW132" i="1" s="1"/>
  <c r="AW133" i="1" s="1"/>
  <c r="AV131" i="1"/>
  <c r="AS131" i="1"/>
  <c r="AS132" i="1" s="1"/>
  <c r="AQ131" i="1"/>
  <c r="AQ132" i="1" s="1"/>
  <c r="AP131" i="1"/>
  <c r="AP132" i="1" s="1"/>
  <c r="AP133" i="1" s="1"/>
  <c r="AM131" i="1"/>
  <c r="AM132" i="1" s="1"/>
  <c r="AM133" i="1" s="1"/>
  <c r="AM134" i="1" s="1"/>
  <c r="AM135" i="1" s="1"/>
  <c r="AM136" i="1" s="1"/>
  <c r="AM144" i="1" s="1"/>
  <c r="AM145" i="1" s="1"/>
  <c r="AM146" i="1" s="1"/>
  <c r="AG131" i="1"/>
  <c r="AF131" i="1"/>
  <c r="AE131" i="1"/>
  <c r="AD131" i="1"/>
  <c r="AD132" i="1" s="1"/>
  <c r="AV130" i="1"/>
  <c r="AQ130" i="1"/>
  <c r="AP130" i="1"/>
  <c r="AG130" i="1"/>
  <c r="AF130" i="1"/>
  <c r="AE130" i="1"/>
  <c r="AD130" i="1"/>
  <c r="AW122" i="1"/>
  <c r="AW130" i="1" s="1"/>
  <c r="AP122" i="1"/>
  <c r="AG122" i="1"/>
  <c r="AE122" i="1"/>
  <c r="AD122" i="1"/>
  <c r="AV121" i="1"/>
  <c r="AV122" i="1" s="1"/>
  <c r="AQ121" i="1"/>
  <c r="AQ122" i="1" s="1"/>
  <c r="AP121" i="1"/>
  <c r="AI121" i="1"/>
  <c r="AI122" i="1" s="1"/>
  <c r="AI130" i="1" s="1"/>
  <c r="AI131" i="1" s="1"/>
  <c r="AI132" i="1" s="1"/>
  <c r="AI133" i="1" s="1"/>
  <c r="AI134" i="1" s="1"/>
  <c r="AI135" i="1" s="1"/>
  <c r="AI136" i="1" s="1"/>
  <c r="AI144" i="1" s="1"/>
  <c r="AG121" i="1"/>
  <c r="AE121" i="1"/>
  <c r="AD121" i="1"/>
  <c r="AP120" i="1"/>
  <c r="AI120" i="1"/>
  <c r="AH120" i="1"/>
  <c r="AH121" i="1" s="1"/>
  <c r="AH122" i="1" s="1"/>
  <c r="AH130" i="1" s="1"/>
  <c r="AH131" i="1" s="1"/>
  <c r="AF120" i="1"/>
  <c r="AF121" i="1" s="1"/>
  <c r="AF122" i="1" s="1"/>
  <c r="AE120" i="1"/>
  <c r="AD120" i="1"/>
  <c r="AW119" i="1"/>
  <c r="AW120" i="1" s="1"/>
  <c r="AW121" i="1" s="1"/>
  <c r="AV119" i="1"/>
  <c r="AV120" i="1" s="1"/>
  <c r="AR119" i="1"/>
  <c r="AR120" i="1" s="1"/>
  <c r="AR121" i="1" s="1"/>
  <c r="AR122" i="1" s="1"/>
  <c r="AR130" i="1" s="1"/>
  <c r="AR131" i="1" s="1"/>
  <c r="AR132" i="1" s="1"/>
  <c r="AR133" i="1" s="1"/>
  <c r="AR134" i="1" s="1"/>
  <c r="AR135" i="1" s="1"/>
  <c r="AP119" i="1"/>
  <c r="AI119" i="1"/>
  <c r="AE119" i="1"/>
  <c r="AD119" i="1"/>
  <c r="AW118" i="1"/>
  <c r="AR118" i="1"/>
  <c r="AQ118" i="1"/>
  <c r="AQ119" i="1" s="1"/>
  <c r="AQ120" i="1" s="1"/>
  <c r="AJ118" i="1"/>
  <c r="AJ119" i="1" s="1"/>
  <c r="AJ120" i="1" s="1"/>
  <c r="AJ121" i="1" s="1"/>
  <c r="AJ122" i="1" s="1"/>
  <c r="AJ130" i="1" s="1"/>
  <c r="AJ131" i="1" s="1"/>
  <c r="AJ132" i="1" s="1"/>
  <c r="AJ133" i="1" s="1"/>
  <c r="AV117" i="1"/>
  <c r="AV118" i="1" s="1"/>
  <c r="AS117" i="1"/>
  <c r="AS118" i="1" s="1"/>
  <c r="AS119" i="1" s="1"/>
  <c r="AS120" i="1" s="1"/>
  <c r="AS121" i="1" s="1"/>
  <c r="AS122" i="1" s="1"/>
  <c r="AS130" i="1" s="1"/>
  <c r="AQ117" i="1"/>
  <c r="AP117" i="1"/>
  <c r="AP118" i="1" s="1"/>
  <c r="AJ117" i="1"/>
  <c r="AG117" i="1"/>
  <c r="AG118" i="1" s="1"/>
  <c r="AG119" i="1" s="1"/>
  <c r="AG120" i="1" s="1"/>
  <c r="AE117" i="1"/>
  <c r="AE118" i="1" s="1"/>
  <c r="AD117" i="1"/>
  <c r="AD118" i="1" s="1"/>
  <c r="AV116" i="1"/>
  <c r="AR116" i="1"/>
  <c r="AR117" i="1" s="1"/>
  <c r="AP116" i="1"/>
  <c r="AI116" i="1"/>
  <c r="AI117" i="1" s="1"/>
  <c r="AI118" i="1" s="1"/>
  <c r="AH116" i="1"/>
  <c r="AH117" i="1" s="1"/>
  <c r="AH118" i="1" s="1"/>
  <c r="AH119" i="1" s="1"/>
  <c r="AJ108" i="1"/>
  <c r="AJ116" i="1" s="1"/>
  <c r="AI108" i="1"/>
  <c r="AH108" i="1"/>
  <c r="AE108" i="1"/>
  <c r="AE116" i="1" s="1"/>
  <c r="AW107" i="1"/>
  <c r="AW108" i="1" s="1"/>
  <c r="AW116" i="1" s="1"/>
  <c r="AW117" i="1" s="1"/>
  <c r="AV107" i="1"/>
  <c r="AV108" i="1" s="1"/>
  <c r="AP107" i="1"/>
  <c r="AP108" i="1" s="1"/>
  <c r="AO107" i="1"/>
  <c r="AO108" i="1" s="1"/>
  <c r="AO116" i="1" s="1"/>
  <c r="AO117" i="1" s="1"/>
  <c r="AO118" i="1" s="1"/>
  <c r="AO119" i="1" s="1"/>
  <c r="AO120" i="1" s="1"/>
  <c r="AO121" i="1" s="1"/>
  <c r="AO122" i="1" s="1"/>
  <c r="AO130" i="1" s="1"/>
  <c r="AO131" i="1" s="1"/>
  <c r="AO132" i="1" s="1"/>
  <c r="AO133" i="1" s="1"/>
  <c r="AO134" i="1" s="1"/>
  <c r="AO135" i="1" s="1"/>
  <c r="AO136" i="1" s="1"/>
  <c r="AO144" i="1" s="1"/>
  <c r="AO145" i="1" s="1"/>
  <c r="AO146" i="1" s="1"/>
  <c r="AO147" i="1" s="1"/>
  <c r="AO148" i="1" s="1"/>
  <c r="AO149" i="1" s="1"/>
  <c r="AO150" i="1" s="1"/>
  <c r="AO158" i="1" s="1"/>
  <c r="AO159" i="1" s="1"/>
  <c r="AO160" i="1" s="1"/>
  <c r="AO161" i="1" s="1"/>
  <c r="AM107" i="1"/>
  <c r="AM108" i="1" s="1"/>
  <c r="AM116" i="1" s="1"/>
  <c r="AM117" i="1" s="1"/>
  <c r="AM118" i="1" s="1"/>
  <c r="AM119" i="1" s="1"/>
  <c r="AM120" i="1" s="1"/>
  <c r="AM121" i="1" s="1"/>
  <c r="AM122" i="1" s="1"/>
  <c r="AM130" i="1" s="1"/>
  <c r="AJ107" i="1"/>
  <c r="AI107" i="1"/>
  <c r="AH107" i="1"/>
  <c r="AE107" i="1"/>
  <c r="AD107" i="1"/>
  <c r="AD108" i="1" s="1"/>
  <c r="AD116" i="1" s="1"/>
  <c r="AV106" i="1"/>
  <c r="AP106" i="1"/>
  <c r="AM106" i="1"/>
  <c r="AJ106" i="1"/>
  <c r="AI106" i="1"/>
  <c r="AH106" i="1"/>
  <c r="AG106" i="1"/>
  <c r="AG107" i="1" s="1"/>
  <c r="AG108" i="1" s="1"/>
  <c r="AG116" i="1" s="1"/>
  <c r="AE106" i="1"/>
  <c r="AV105" i="1"/>
  <c r="AI105" i="1"/>
  <c r="AH105" i="1"/>
  <c r="AE105" i="1"/>
  <c r="AV104" i="1"/>
  <c r="AR104" i="1"/>
  <c r="AR105" i="1" s="1"/>
  <c r="AR106" i="1" s="1"/>
  <c r="AR107" i="1" s="1"/>
  <c r="AR108" i="1" s="1"/>
  <c r="AP104" i="1"/>
  <c r="AP105" i="1" s="1"/>
  <c r="AO104" i="1"/>
  <c r="AO105" i="1" s="1"/>
  <c r="AO106" i="1" s="1"/>
  <c r="AM104" i="1"/>
  <c r="AM105" i="1" s="1"/>
  <c r="AJ104" i="1"/>
  <c r="AJ105" i="1" s="1"/>
  <c r="AI104" i="1"/>
  <c r="AH104" i="1"/>
  <c r="AE104" i="1"/>
  <c r="AV103" i="1"/>
  <c r="AR103" i="1"/>
  <c r="AP103" i="1"/>
  <c r="AM103" i="1"/>
  <c r="AJ103" i="1"/>
  <c r="AI103" i="1"/>
  <c r="AH103" i="1"/>
  <c r="AG103" i="1"/>
  <c r="AG104" i="1" s="1"/>
  <c r="AG105" i="1" s="1"/>
  <c r="AE103" i="1"/>
  <c r="AD103" i="1"/>
  <c r="AD104" i="1" s="1"/>
  <c r="AD105" i="1" s="1"/>
  <c r="AD106" i="1" s="1"/>
  <c r="AV102" i="1"/>
  <c r="AT102" i="1"/>
  <c r="AT103" i="1" s="1"/>
  <c r="AT104" i="1" s="1"/>
  <c r="AT105" i="1" s="1"/>
  <c r="AT106" i="1" s="1"/>
  <c r="AT107" i="1" s="1"/>
  <c r="AT108" i="1" s="1"/>
  <c r="AT116" i="1" s="1"/>
  <c r="AT117" i="1" s="1"/>
  <c r="AT118" i="1" s="1"/>
  <c r="AT119" i="1" s="1"/>
  <c r="AT120" i="1" s="1"/>
  <c r="AT121" i="1" s="1"/>
  <c r="AT122" i="1" s="1"/>
  <c r="AT130" i="1" s="1"/>
  <c r="AT131" i="1" s="1"/>
  <c r="AT132" i="1" s="1"/>
  <c r="AT133" i="1" s="1"/>
  <c r="AT134" i="1" s="1"/>
  <c r="AT135" i="1" s="1"/>
  <c r="AT136" i="1" s="1"/>
  <c r="AT144" i="1" s="1"/>
  <c r="AT145" i="1" s="1"/>
  <c r="AT146" i="1" s="1"/>
  <c r="AT147" i="1" s="1"/>
  <c r="AT148" i="1" s="1"/>
  <c r="AT149" i="1" s="1"/>
  <c r="AT150" i="1" s="1"/>
  <c r="AT158" i="1" s="1"/>
  <c r="AT159" i="1" s="1"/>
  <c r="AT160" i="1" s="1"/>
  <c r="AT161" i="1" s="1"/>
  <c r="AT162" i="1" s="1"/>
  <c r="AT163" i="1" s="1"/>
  <c r="AT164" i="1" s="1"/>
  <c r="AS102" i="1"/>
  <c r="AS103" i="1" s="1"/>
  <c r="AS104" i="1" s="1"/>
  <c r="AS105" i="1" s="1"/>
  <c r="AS106" i="1" s="1"/>
  <c r="AS107" i="1" s="1"/>
  <c r="AS108" i="1" s="1"/>
  <c r="AS116" i="1" s="1"/>
  <c r="AQ102" i="1"/>
  <c r="AQ103" i="1" s="1"/>
  <c r="AQ104" i="1" s="1"/>
  <c r="AQ105" i="1" s="1"/>
  <c r="AQ106" i="1" s="1"/>
  <c r="AQ107" i="1" s="1"/>
  <c r="AQ108" i="1" s="1"/>
  <c r="AQ116" i="1" s="1"/>
  <c r="AP102" i="1"/>
  <c r="AO102" i="1"/>
  <c r="AO103" i="1" s="1"/>
  <c r="AM102" i="1"/>
  <c r="AL102" i="1"/>
  <c r="AL103" i="1" s="1"/>
  <c r="AL104" i="1" s="1"/>
  <c r="AL105" i="1" s="1"/>
  <c r="AL106" i="1" s="1"/>
  <c r="AL107" i="1" s="1"/>
  <c r="AL108" i="1" s="1"/>
  <c r="AL116" i="1" s="1"/>
  <c r="AL117" i="1" s="1"/>
  <c r="AL118" i="1" s="1"/>
  <c r="AL119" i="1" s="1"/>
  <c r="AL120" i="1" s="1"/>
  <c r="AL121" i="1" s="1"/>
  <c r="AL122" i="1" s="1"/>
  <c r="AL130" i="1" s="1"/>
  <c r="AL131" i="1" s="1"/>
  <c r="AL132" i="1" s="1"/>
  <c r="AL133" i="1" s="1"/>
  <c r="AJ102" i="1"/>
  <c r="AI102" i="1"/>
  <c r="AH102" i="1"/>
  <c r="AF102" i="1"/>
  <c r="AF103" i="1" s="1"/>
  <c r="AF104" i="1" s="1"/>
  <c r="AF105" i="1" s="1"/>
  <c r="AF106" i="1" s="1"/>
  <c r="AF107" i="1" s="1"/>
  <c r="AF108" i="1" s="1"/>
  <c r="AF116" i="1" s="1"/>
  <c r="AF117" i="1" s="1"/>
  <c r="AF118" i="1" s="1"/>
  <c r="AF119" i="1" s="1"/>
  <c r="AE102" i="1"/>
  <c r="AW94" i="1"/>
  <c r="AW102" i="1" s="1"/>
  <c r="AW103" i="1" s="1"/>
  <c r="AW104" i="1" s="1"/>
  <c r="AW105" i="1" s="1"/>
  <c r="AW106" i="1" s="1"/>
  <c r="AR94" i="1"/>
  <c r="AR102" i="1" s="1"/>
  <c r="AP94" i="1"/>
  <c r="AM94" i="1"/>
  <c r="AI94" i="1"/>
  <c r="AH94" i="1"/>
  <c r="AG94" i="1"/>
  <c r="AG102" i="1" s="1"/>
  <c r="AR93" i="1"/>
  <c r="AP93" i="1"/>
  <c r="AM93" i="1"/>
  <c r="AI93" i="1"/>
  <c r="AH93" i="1"/>
  <c r="AE93" i="1"/>
  <c r="AE94" i="1" s="1"/>
  <c r="AD93" i="1"/>
  <c r="AD94" i="1" s="1"/>
  <c r="AD102" i="1" s="1"/>
  <c r="AV92" i="1"/>
  <c r="AV93" i="1" s="1"/>
  <c r="AV94" i="1" s="1"/>
  <c r="AO92" i="1"/>
  <c r="AO93" i="1" s="1"/>
  <c r="AO94" i="1" s="1"/>
  <c r="AM92" i="1"/>
  <c r="AI92" i="1"/>
  <c r="AH92" i="1"/>
  <c r="AE92" i="1"/>
  <c r="AV91" i="1"/>
  <c r="AT91" i="1"/>
  <c r="AT92" i="1" s="1"/>
  <c r="AT93" i="1" s="1"/>
  <c r="AT94" i="1" s="1"/>
  <c r="AP91" i="1"/>
  <c r="AP92" i="1" s="1"/>
  <c r="AO91" i="1"/>
  <c r="AM91" i="1"/>
  <c r="AL91" i="1"/>
  <c r="AL92" i="1" s="1"/>
  <c r="AL93" i="1" s="1"/>
  <c r="AL94" i="1" s="1"/>
  <c r="AJ91" i="1"/>
  <c r="AJ92" i="1" s="1"/>
  <c r="AJ93" i="1" s="1"/>
  <c r="AJ94" i="1" s="1"/>
  <c r="AG91" i="1"/>
  <c r="AG92" i="1" s="1"/>
  <c r="AG93" i="1" s="1"/>
  <c r="AF91" i="1"/>
  <c r="AF92" i="1" s="1"/>
  <c r="AF93" i="1" s="1"/>
  <c r="AF94" i="1" s="1"/>
  <c r="AE91" i="1"/>
  <c r="AS90" i="1"/>
  <c r="AS91" i="1" s="1"/>
  <c r="AS92" i="1" s="1"/>
  <c r="AS93" i="1" s="1"/>
  <c r="AS94" i="1" s="1"/>
  <c r="AM90" i="1"/>
  <c r="AG90" i="1"/>
  <c r="AF90" i="1"/>
  <c r="AE90" i="1"/>
  <c r="AS89" i="1"/>
  <c r="AQ89" i="1"/>
  <c r="AQ90" i="1" s="1"/>
  <c r="AQ91" i="1" s="1"/>
  <c r="AQ92" i="1" s="1"/>
  <c r="AQ93" i="1" s="1"/>
  <c r="AQ94" i="1" s="1"/>
  <c r="AP89" i="1"/>
  <c r="AP90" i="1" s="1"/>
  <c r="AM89" i="1"/>
  <c r="AL89" i="1"/>
  <c r="AL90" i="1" s="1"/>
  <c r="AJ89" i="1"/>
  <c r="AJ90" i="1" s="1"/>
  <c r="AG89" i="1"/>
  <c r="AF89" i="1"/>
  <c r="AE89" i="1"/>
  <c r="AS88" i="1"/>
  <c r="AM88" i="1"/>
  <c r="AJ88" i="1"/>
  <c r="AG88" i="1"/>
  <c r="AF88" i="1"/>
  <c r="AE88" i="1"/>
  <c r="AP80" i="1"/>
  <c r="AP88" i="1" s="1"/>
  <c r="AM80" i="1"/>
  <c r="AG80" i="1"/>
  <c r="AF80" i="1"/>
  <c r="AE80" i="1"/>
  <c r="AP79" i="1"/>
  <c r="AM79" i="1"/>
  <c r="AG79" i="1"/>
  <c r="AE79" i="1"/>
  <c r="AD79" i="1"/>
  <c r="AD80" i="1" s="1"/>
  <c r="AD88" i="1" s="1"/>
  <c r="AD89" i="1" s="1"/>
  <c r="AD90" i="1" s="1"/>
  <c r="AD91" i="1" s="1"/>
  <c r="AD92" i="1" s="1"/>
  <c r="AV78" i="1"/>
  <c r="AV79" i="1" s="1"/>
  <c r="AV80" i="1" s="1"/>
  <c r="AV88" i="1" s="1"/>
  <c r="AV89" i="1" s="1"/>
  <c r="AV90" i="1" s="1"/>
  <c r="AR78" i="1"/>
  <c r="AR79" i="1" s="1"/>
  <c r="AR80" i="1" s="1"/>
  <c r="AR88" i="1" s="1"/>
  <c r="AR89" i="1" s="1"/>
  <c r="AR90" i="1" s="1"/>
  <c r="AR91" i="1" s="1"/>
  <c r="AR92" i="1" s="1"/>
  <c r="AP78" i="1"/>
  <c r="AK78" i="1"/>
  <c r="AK79" i="1" s="1"/>
  <c r="AK80" i="1" s="1"/>
  <c r="AK88" i="1" s="1"/>
  <c r="AK89" i="1" s="1"/>
  <c r="AK90" i="1" s="1"/>
  <c r="AK91" i="1" s="1"/>
  <c r="AK92" i="1" s="1"/>
  <c r="AK93" i="1" s="1"/>
  <c r="AK94" i="1" s="1"/>
  <c r="AK102" i="1" s="1"/>
  <c r="AK103" i="1" s="1"/>
  <c r="AK104" i="1" s="1"/>
  <c r="AK105" i="1" s="1"/>
  <c r="AK106" i="1" s="1"/>
  <c r="AK107" i="1" s="1"/>
  <c r="AK108" i="1" s="1"/>
  <c r="AK116" i="1" s="1"/>
  <c r="AK117" i="1" s="1"/>
  <c r="AK118" i="1" s="1"/>
  <c r="AK119" i="1" s="1"/>
  <c r="AK120" i="1" s="1"/>
  <c r="AK121" i="1" s="1"/>
  <c r="AK122" i="1" s="1"/>
  <c r="AK130" i="1" s="1"/>
  <c r="AK131" i="1" s="1"/>
  <c r="AK132" i="1" s="1"/>
  <c r="AK133" i="1" s="1"/>
  <c r="AK134" i="1" s="1"/>
  <c r="AK135" i="1" s="1"/>
  <c r="AK136" i="1" s="1"/>
  <c r="AK144" i="1" s="1"/>
  <c r="AK145" i="1" s="1"/>
  <c r="AK146" i="1" s="1"/>
  <c r="AK147" i="1" s="1"/>
  <c r="AK148" i="1" s="1"/>
  <c r="AK149" i="1" s="1"/>
  <c r="AK150" i="1" s="1"/>
  <c r="AK158" i="1" s="1"/>
  <c r="AK159" i="1" s="1"/>
  <c r="AK160" i="1" s="1"/>
  <c r="AK161" i="1" s="1"/>
  <c r="AK162" i="1" s="1"/>
  <c r="AK163" i="1" s="1"/>
  <c r="AK164" i="1" s="1"/>
  <c r="AI78" i="1"/>
  <c r="AI79" i="1" s="1"/>
  <c r="AI80" i="1" s="1"/>
  <c r="AI88" i="1" s="1"/>
  <c r="AI89" i="1" s="1"/>
  <c r="AI90" i="1" s="1"/>
  <c r="AI91" i="1" s="1"/>
  <c r="AH78" i="1"/>
  <c r="AH79" i="1" s="1"/>
  <c r="AH80" i="1" s="1"/>
  <c r="AH88" i="1" s="1"/>
  <c r="AH89" i="1" s="1"/>
  <c r="AH90" i="1" s="1"/>
  <c r="AH91" i="1" s="1"/>
  <c r="AE78" i="1"/>
  <c r="AD78" i="1"/>
  <c r="AV77" i="1"/>
  <c r="AQ77" i="1"/>
  <c r="AQ78" i="1" s="1"/>
  <c r="AQ79" i="1" s="1"/>
  <c r="AQ80" i="1" s="1"/>
  <c r="AQ88" i="1" s="1"/>
  <c r="AP77" i="1"/>
  <c r="AM77" i="1"/>
  <c r="AM78" i="1" s="1"/>
  <c r="AL77" i="1"/>
  <c r="AL78" i="1" s="1"/>
  <c r="AL79" i="1" s="1"/>
  <c r="AL80" i="1" s="1"/>
  <c r="AL88" i="1" s="1"/>
  <c r="AG77" i="1"/>
  <c r="AG78" i="1" s="1"/>
  <c r="AS76" i="1"/>
  <c r="AS77" i="1" s="1"/>
  <c r="AS78" i="1" s="1"/>
  <c r="AS79" i="1" s="1"/>
  <c r="AS80" i="1" s="1"/>
  <c r="AM76" i="1"/>
  <c r="AJ76" i="1"/>
  <c r="AJ77" i="1" s="1"/>
  <c r="AJ78" i="1" s="1"/>
  <c r="AJ79" i="1" s="1"/>
  <c r="AJ80" i="1" s="1"/>
  <c r="AI76" i="1"/>
  <c r="AI77" i="1" s="1"/>
  <c r="AH76" i="1"/>
  <c r="AH77" i="1" s="1"/>
  <c r="AE76" i="1"/>
  <c r="AE77" i="1" s="1"/>
  <c r="AD76" i="1"/>
  <c r="AD77" i="1" s="1"/>
  <c r="AV75" i="1"/>
  <c r="AV76" i="1" s="1"/>
  <c r="AQ75" i="1"/>
  <c r="AQ76" i="1" s="1"/>
  <c r="AP75" i="1"/>
  <c r="AP76" i="1" s="1"/>
  <c r="AM75" i="1"/>
  <c r="AG75" i="1"/>
  <c r="AG76" i="1" s="1"/>
  <c r="AE75" i="1"/>
  <c r="AD75" i="1"/>
  <c r="AV74" i="1"/>
  <c r="AP74" i="1"/>
  <c r="AN74" i="1"/>
  <c r="AN75" i="1" s="1"/>
  <c r="AN76" i="1" s="1"/>
  <c r="AN77" i="1" s="1"/>
  <c r="AN78" i="1" s="1"/>
  <c r="AN79" i="1" s="1"/>
  <c r="AN80" i="1" s="1"/>
  <c r="AN88" i="1" s="1"/>
  <c r="AN89" i="1" s="1"/>
  <c r="AN90" i="1" s="1"/>
  <c r="AN91" i="1" s="1"/>
  <c r="AN92" i="1" s="1"/>
  <c r="AN93" i="1" s="1"/>
  <c r="AN94" i="1" s="1"/>
  <c r="AN102" i="1" s="1"/>
  <c r="AN103" i="1" s="1"/>
  <c r="AN104" i="1" s="1"/>
  <c r="AN105" i="1" s="1"/>
  <c r="AN106" i="1" s="1"/>
  <c r="AN107" i="1" s="1"/>
  <c r="AN108" i="1" s="1"/>
  <c r="AN116" i="1" s="1"/>
  <c r="AN117" i="1" s="1"/>
  <c r="AN118" i="1" s="1"/>
  <c r="AN119" i="1" s="1"/>
  <c r="AN120" i="1" s="1"/>
  <c r="AN121" i="1" s="1"/>
  <c r="AN122" i="1" s="1"/>
  <c r="AN130" i="1" s="1"/>
  <c r="AN131" i="1" s="1"/>
  <c r="AN132" i="1" s="1"/>
  <c r="AN133" i="1" s="1"/>
  <c r="AN134" i="1" s="1"/>
  <c r="AN135" i="1" s="1"/>
  <c r="AN136" i="1" s="1"/>
  <c r="AN144" i="1" s="1"/>
  <c r="AN145" i="1" s="1"/>
  <c r="AN146" i="1" s="1"/>
  <c r="AN147" i="1" s="1"/>
  <c r="AN148" i="1" s="1"/>
  <c r="AN149" i="1" s="1"/>
  <c r="AN150" i="1" s="1"/>
  <c r="AN158" i="1" s="1"/>
  <c r="AN159" i="1" s="1"/>
  <c r="AN160" i="1" s="1"/>
  <c r="AN161" i="1" s="1"/>
  <c r="AN162" i="1" s="1"/>
  <c r="AN163" i="1" s="1"/>
  <c r="AN164" i="1" s="1"/>
  <c r="AM74" i="1"/>
  <c r="AL74" i="1"/>
  <c r="AL75" i="1" s="1"/>
  <c r="AL76" i="1" s="1"/>
  <c r="AG74" i="1"/>
  <c r="AF74" i="1"/>
  <c r="AF75" i="1" s="1"/>
  <c r="AF76" i="1" s="1"/>
  <c r="AF77" i="1" s="1"/>
  <c r="AF78" i="1" s="1"/>
  <c r="AF79" i="1" s="1"/>
  <c r="AE74" i="1"/>
  <c r="AL60" i="1"/>
  <c r="AL61" i="1" s="1"/>
  <c r="AM60" i="1"/>
  <c r="AN60" i="1"/>
  <c r="AN61" i="1" s="1"/>
  <c r="AN62" i="1" s="1"/>
  <c r="AN63" i="1" s="1"/>
  <c r="AN64" i="1" s="1"/>
  <c r="AN65" i="1" s="1"/>
  <c r="AN66" i="1" s="1"/>
  <c r="AP60" i="1"/>
  <c r="AP61" i="1" s="1"/>
  <c r="AR60" i="1"/>
  <c r="AR61" i="1" s="1"/>
  <c r="AV60" i="1"/>
  <c r="AD60" i="1"/>
  <c r="AE60" i="1"/>
  <c r="AG60" i="1"/>
  <c r="AH60" i="1"/>
  <c r="AH61" i="1" s="1"/>
  <c r="AH62" i="1" s="1"/>
  <c r="AH63" i="1" s="1"/>
  <c r="AI60" i="1"/>
  <c r="AJ60" i="1"/>
  <c r="AJ61" i="1" s="1"/>
  <c r="AJ62" i="1" s="1"/>
  <c r="AQ66" i="1"/>
  <c r="AQ74" i="1" s="1"/>
  <c r="AM66" i="1"/>
  <c r="AI66" i="1"/>
  <c r="AI74" i="1" s="1"/>
  <c r="AI75" i="1" s="1"/>
  <c r="AG66" i="1"/>
  <c r="AE66" i="1"/>
  <c r="AD66" i="1"/>
  <c r="AD74" i="1" s="1"/>
  <c r="AV65" i="1"/>
  <c r="AV66" i="1" s="1"/>
  <c r="AR65" i="1"/>
  <c r="AR66" i="1" s="1"/>
  <c r="AR74" i="1" s="1"/>
  <c r="AR75" i="1" s="1"/>
  <c r="AR76" i="1" s="1"/>
  <c r="AR77" i="1" s="1"/>
  <c r="AP65" i="1"/>
  <c r="AP66" i="1" s="1"/>
  <c r="AM65" i="1"/>
  <c r="AI65" i="1"/>
  <c r="AH65" i="1"/>
  <c r="AH66" i="1" s="1"/>
  <c r="AH74" i="1" s="1"/>
  <c r="AH75" i="1" s="1"/>
  <c r="AV64" i="1"/>
  <c r="AS64" i="1"/>
  <c r="AS65" i="1" s="1"/>
  <c r="AS66" i="1" s="1"/>
  <c r="AS74" i="1" s="1"/>
  <c r="AS75" i="1" s="1"/>
  <c r="AP64" i="1"/>
  <c r="AM64" i="1"/>
  <c r="AI64" i="1"/>
  <c r="AH64" i="1"/>
  <c r="AE64" i="1"/>
  <c r="AE65" i="1" s="1"/>
  <c r="AD64" i="1"/>
  <c r="AD65" i="1" s="1"/>
  <c r="AW63" i="1"/>
  <c r="AW64" i="1" s="1"/>
  <c r="AW65" i="1" s="1"/>
  <c r="AW66" i="1" s="1"/>
  <c r="AW74" i="1" s="1"/>
  <c r="AW75" i="1" s="1"/>
  <c r="AW76" i="1" s="1"/>
  <c r="AW77" i="1" s="1"/>
  <c r="AW78" i="1" s="1"/>
  <c r="AW79" i="1" s="1"/>
  <c r="AW80" i="1" s="1"/>
  <c r="AW88" i="1" s="1"/>
  <c r="AW89" i="1" s="1"/>
  <c r="AW90" i="1" s="1"/>
  <c r="AW91" i="1" s="1"/>
  <c r="AW92" i="1" s="1"/>
  <c r="AW93" i="1" s="1"/>
  <c r="AV63" i="1"/>
  <c r="AS63" i="1"/>
  <c r="AP63" i="1"/>
  <c r="AM63" i="1"/>
  <c r="AJ63" i="1"/>
  <c r="AJ64" i="1" s="1"/>
  <c r="AJ65" i="1" s="1"/>
  <c r="AJ66" i="1" s="1"/>
  <c r="AJ74" i="1" s="1"/>
  <c r="AJ75" i="1" s="1"/>
  <c r="AG63" i="1"/>
  <c r="AG64" i="1" s="1"/>
  <c r="AG65" i="1" s="1"/>
  <c r="AE63" i="1"/>
  <c r="AD63" i="1"/>
  <c r="AV62" i="1"/>
  <c r="AR62" i="1"/>
  <c r="AR63" i="1" s="1"/>
  <c r="AR64" i="1" s="1"/>
  <c r="AP62" i="1"/>
  <c r="AM62" i="1"/>
  <c r="AL62" i="1"/>
  <c r="AL63" i="1" s="1"/>
  <c r="AL64" i="1" s="1"/>
  <c r="AL65" i="1" s="1"/>
  <c r="AL66" i="1" s="1"/>
  <c r="AG62" i="1"/>
  <c r="AE62" i="1"/>
  <c r="AW61" i="1"/>
  <c r="AW62" i="1" s="1"/>
  <c r="AV61" i="1"/>
  <c r="AS61" i="1"/>
  <c r="AS62" i="1" s="1"/>
  <c r="AM61" i="1"/>
  <c r="AI61" i="1"/>
  <c r="AI62" i="1" s="1"/>
  <c r="AI63" i="1" s="1"/>
  <c r="AG61" i="1"/>
  <c r="AF61" i="1"/>
  <c r="AF62" i="1" s="1"/>
  <c r="AF63" i="1" s="1"/>
  <c r="AF64" i="1" s="1"/>
  <c r="AF65" i="1" s="1"/>
  <c r="AF66" i="1" s="1"/>
  <c r="AE61" i="1"/>
  <c r="AD61" i="1"/>
  <c r="AD62" i="1" s="1"/>
  <c r="AV52" i="1"/>
  <c r="AM52" i="1"/>
  <c r="AK52" i="1"/>
  <c r="AK60" i="1" s="1"/>
  <c r="AK61" i="1" s="1"/>
  <c r="AK62" i="1" s="1"/>
  <c r="AK63" i="1" s="1"/>
  <c r="AK64" i="1" s="1"/>
  <c r="AK65" i="1" s="1"/>
  <c r="AK66" i="1" s="1"/>
  <c r="AK74" i="1" s="1"/>
  <c r="AK75" i="1" s="1"/>
  <c r="AK76" i="1" s="1"/>
  <c r="AK77" i="1" s="1"/>
  <c r="AG52" i="1"/>
  <c r="AE52" i="1"/>
  <c r="AD52" i="1"/>
  <c r="AV51" i="1"/>
  <c r="AS51" i="1"/>
  <c r="AS52" i="1" s="1"/>
  <c r="AS60" i="1" s="1"/>
  <c r="AR51" i="1"/>
  <c r="AR52" i="1" s="1"/>
  <c r="AQ51" i="1"/>
  <c r="AQ52" i="1" s="1"/>
  <c r="AQ60" i="1" s="1"/>
  <c r="AQ61" i="1" s="1"/>
  <c r="AQ62" i="1" s="1"/>
  <c r="AQ63" i="1" s="1"/>
  <c r="AQ64" i="1" s="1"/>
  <c r="AQ65" i="1" s="1"/>
  <c r="AP51" i="1"/>
  <c r="AP52" i="1" s="1"/>
  <c r="AM51" i="1"/>
  <c r="AJ51" i="1"/>
  <c r="AJ52" i="1" s="1"/>
  <c r="AI51" i="1"/>
  <c r="AI52" i="1" s="1"/>
  <c r="AG51" i="1"/>
  <c r="AF51" i="1"/>
  <c r="AF52" i="1" s="1"/>
  <c r="AF60" i="1" s="1"/>
  <c r="AE51" i="1"/>
  <c r="AD51" i="1"/>
  <c r="AV50" i="1"/>
  <c r="AP50" i="1"/>
  <c r="AM50" i="1"/>
  <c r="AI50" i="1"/>
  <c r="AF50" i="1"/>
  <c r="AE50" i="1"/>
  <c r="AD50" i="1"/>
  <c r="AV49" i="1"/>
  <c r="AO49" i="1"/>
  <c r="AO50" i="1" s="1"/>
  <c r="AO51" i="1" s="1"/>
  <c r="AO52" i="1" s="1"/>
  <c r="AO60" i="1" s="1"/>
  <c r="AO61" i="1" s="1"/>
  <c r="AO62" i="1" s="1"/>
  <c r="AO63" i="1" s="1"/>
  <c r="AO64" i="1" s="1"/>
  <c r="AO65" i="1" s="1"/>
  <c r="AO66" i="1" s="1"/>
  <c r="AO74" i="1" s="1"/>
  <c r="AO75" i="1" s="1"/>
  <c r="AO76" i="1" s="1"/>
  <c r="AO77" i="1" s="1"/>
  <c r="AO78" i="1" s="1"/>
  <c r="AO79" i="1" s="1"/>
  <c r="AO80" i="1" s="1"/>
  <c r="AO88" i="1" s="1"/>
  <c r="AO89" i="1" s="1"/>
  <c r="AO90" i="1" s="1"/>
  <c r="AM49" i="1"/>
  <c r="AI49" i="1"/>
  <c r="AH49" i="1"/>
  <c r="AH50" i="1" s="1"/>
  <c r="AH51" i="1" s="1"/>
  <c r="AH52" i="1" s="1"/>
  <c r="AE49" i="1"/>
  <c r="AD49" i="1"/>
  <c r="AW48" i="1"/>
  <c r="AW49" i="1" s="1"/>
  <c r="AW50" i="1" s="1"/>
  <c r="AW51" i="1" s="1"/>
  <c r="AW52" i="1" s="1"/>
  <c r="AW60" i="1" s="1"/>
  <c r="AV48" i="1"/>
  <c r="AR48" i="1"/>
  <c r="AR49" i="1" s="1"/>
  <c r="AR50" i="1" s="1"/>
  <c r="AP48" i="1"/>
  <c r="AP49" i="1" s="1"/>
  <c r="AO48" i="1"/>
  <c r="AM48" i="1"/>
  <c r="AI48" i="1"/>
  <c r="AH48" i="1"/>
  <c r="AE48" i="1"/>
  <c r="AD48" i="1"/>
  <c r="AV47" i="1"/>
  <c r="AR47" i="1"/>
  <c r="AP47" i="1"/>
  <c r="AO47" i="1"/>
  <c r="AM47" i="1"/>
  <c r="AI47" i="1"/>
  <c r="AH47" i="1"/>
  <c r="AE47" i="1"/>
  <c r="AD47" i="1"/>
  <c r="AV46" i="1"/>
  <c r="AP46" i="1"/>
  <c r="AN46" i="1"/>
  <c r="AN47" i="1" s="1"/>
  <c r="AN48" i="1" s="1"/>
  <c r="AN49" i="1" s="1"/>
  <c r="AN50" i="1" s="1"/>
  <c r="AN51" i="1" s="1"/>
  <c r="AN52" i="1" s="1"/>
  <c r="AM46" i="1"/>
  <c r="AJ46" i="1"/>
  <c r="AJ47" i="1" s="1"/>
  <c r="AJ48" i="1" s="1"/>
  <c r="AJ49" i="1" s="1"/>
  <c r="AJ50" i="1" s="1"/>
  <c r="AI46" i="1"/>
  <c r="AH46" i="1"/>
  <c r="AG46" i="1"/>
  <c r="AG47" i="1" s="1"/>
  <c r="AG48" i="1" s="1"/>
  <c r="AG49" i="1" s="1"/>
  <c r="AG50" i="1" s="1"/>
  <c r="AD46" i="1"/>
  <c r="AV38" i="1"/>
  <c r="AQ38" i="1"/>
  <c r="AQ46" i="1" s="1"/>
  <c r="AQ47" i="1" s="1"/>
  <c r="AQ48" i="1" s="1"/>
  <c r="AQ49" i="1" s="1"/>
  <c r="AQ50" i="1" s="1"/>
  <c r="AP38" i="1"/>
  <c r="AM38" i="1"/>
  <c r="AG38" i="1"/>
  <c r="AF38" i="1"/>
  <c r="AF46" i="1" s="1"/>
  <c r="AF47" i="1" s="1"/>
  <c r="AF48" i="1" s="1"/>
  <c r="AF49" i="1" s="1"/>
  <c r="AE38" i="1"/>
  <c r="AE46" i="1" s="1"/>
  <c r="AD38" i="1"/>
  <c r="AV37" i="1"/>
  <c r="AR37" i="1"/>
  <c r="AR38" i="1" s="1"/>
  <c r="AR46" i="1" s="1"/>
  <c r="AP37" i="1"/>
  <c r="AO37" i="1"/>
  <c r="AO38" i="1" s="1"/>
  <c r="AO46" i="1" s="1"/>
  <c r="AM37" i="1"/>
  <c r="AI37" i="1"/>
  <c r="AI38" i="1" s="1"/>
  <c r="AH37" i="1"/>
  <c r="AH38" i="1" s="1"/>
  <c r="AG37" i="1"/>
  <c r="AE37" i="1"/>
  <c r="AD37" i="1"/>
  <c r="AQ36" i="1"/>
  <c r="AQ37" i="1" s="1"/>
  <c r="AP36" i="1"/>
  <c r="AI36" i="1"/>
  <c r="AH36" i="1"/>
  <c r="AW35" i="1"/>
  <c r="AW36" i="1" s="1"/>
  <c r="AW37" i="1" s="1"/>
  <c r="AW38" i="1" s="1"/>
  <c r="AW46" i="1" s="1"/>
  <c r="AW47" i="1" s="1"/>
  <c r="AV35" i="1"/>
  <c r="AV36" i="1" s="1"/>
  <c r="AQ35" i="1"/>
  <c r="AM35" i="1"/>
  <c r="AM36" i="1" s="1"/>
  <c r="AJ35" i="1"/>
  <c r="AJ36" i="1" s="1"/>
  <c r="AJ37" i="1" s="1"/>
  <c r="AJ38" i="1" s="1"/>
  <c r="AG35" i="1"/>
  <c r="AG36" i="1" s="1"/>
  <c r="AF35" i="1"/>
  <c r="AF36" i="1" s="1"/>
  <c r="AF37" i="1" s="1"/>
  <c r="AE35" i="1"/>
  <c r="AE36" i="1" s="1"/>
  <c r="AD35" i="1"/>
  <c r="AD36" i="1" s="1"/>
  <c r="AV34" i="1"/>
  <c r="AR34" i="1"/>
  <c r="AR35" i="1" s="1"/>
  <c r="AR36" i="1" s="1"/>
  <c r="AQ34" i="1"/>
  <c r="AP34" i="1"/>
  <c r="AP35" i="1" s="1"/>
  <c r="AO34" i="1"/>
  <c r="AO35" i="1" s="1"/>
  <c r="AO36" i="1" s="1"/>
  <c r="AM34" i="1"/>
  <c r="AL34" i="1"/>
  <c r="AL35" i="1" s="1"/>
  <c r="AL36" i="1" s="1"/>
  <c r="AL37" i="1" s="1"/>
  <c r="AL38" i="1" s="1"/>
  <c r="AL46" i="1" s="1"/>
  <c r="AL47" i="1" s="1"/>
  <c r="AL48" i="1" s="1"/>
  <c r="AL49" i="1" s="1"/>
  <c r="AL50" i="1" s="1"/>
  <c r="AL51" i="1" s="1"/>
  <c r="AL52" i="1" s="1"/>
  <c r="AI34" i="1"/>
  <c r="AI35" i="1" s="1"/>
  <c r="AH34" i="1"/>
  <c r="AH35" i="1" s="1"/>
  <c r="AE34" i="1"/>
  <c r="AQ33" i="1"/>
  <c r="AM33" i="1"/>
  <c r="AI33" i="1"/>
  <c r="AH33" i="1"/>
  <c r="AE33" i="1"/>
  <c r="AQ32" i="1"/>
  <c r="AP32" i="1"/>
  <c r="AP33" i="1" s="1"/>
  <c r="AM32" i="1"/>
  <c r="AL32" i="1"/>
  <c r="AL33" i="1" s="1"/>
  <c r="AJ32" i="1"/>
  <c r="AJ33" i="1" s="1"/>
  <c r="AJ34" i="1" s="1"/>
  <c r="AI32" i="1"/>
  <c r="AG32" i="1"/>
  <c r="AG33" i="1" s="1"/>
  <c r="AG34" i="1" s="1"/>
  <c r="AF32" i="1"/>
  <c r="AF33" i="1" s="1"/>
  <c r="AF34" i="1" s="1"/>
  <c r="AE32" i="1"/>
  <c r="AV18" i="1"/>
  <c r="AW18" i="1"/>
  <c r="AW19" i="1" s="1"/>
  <c r="AW20" i="1" s="1"/>
  <c r="AW21" i="1" s="1"/>
  <c r="AE18" i="1"/>
  <c r="AH18" i="1"/>
  <c r="AH19" i="1" s="1"/>
  <c r="AI18" i="1"/>
  <c r="AM18" i="1"/>
  <c r="AO18" i="1"/>
  <c r="AO19" i="1" s="1"/>
  <c r="AO20" i="1" s="1"/>
  <c r="AO21" i="1" s="1"/>
  <c r="AP18" i="1"/>
  <c r="AR18" i="1"/>
  <c r="AD18" i="1"/>
  <c r="AD19" i="1" s="1"/>
  <c r="AD20" i="1" s="1"/>
  <c r="AR24" i="1"/>
  <c r="AR32" i="1" s="1"/>
  <c r="AR33" i="1" s="1"/>
  <c r="AP24" i="1"/>
  <c r="AM24" i="1"/>
  <c r="AJ24" i="1"/>
  <c r="AI24" i="1"/>
  <c r="AG24" i="1"/>
  <c r="AE24" i="1"/>
  <c r="AD24" i="1"/>
  <c r="AD32" i="1" s="1"/>
  <c r="AD33" i="1" s="1"/>
  <c r="AD34" i="1" s="1"/>
  <c r="AV23" i="1"/>
  <c r="AV24" i="1" s="1"/>
  <c r="AV32" i="1" s="1"/>
  <c r="AV33" i="1" s="1"/>
  <c r="AS23" i="1"/>
  <c r="AS24" i="1" s="1"/>
  <c r="AS32" i="1" s="1"/>
  <c r="AS33" i="1" s="1"/>
  <c r="AS34" i="1" s="1"/>
  <c r="AS35" i="1" s="1"/>
  <c r="AS36" i="1" s="1"/>
  <c r="AS37" i="1" s="1"/>
  <c r="AS38" i="1" s="1"/>
  <c r="AS46" i="1" s="1"/>
  <c r="AS47" i="1" s="1"/>
  <c r="AS48" i="1" s="1"/>
  <c r="AS49" i="1" s="1"/>
  <c r="AS50" i="1" s="1"/>
  <c r="AM23" i="1"/>
  <c r="AJ23" i="1"/>
  <c r="AI23" i="1"/>
  <c r="AE23" i="1"/>
  <c r="AW22" i="1"/>
  <c r="AW23" i="1" s="1"/>
  <c r="AW24" i="1" s="1"/>
  <c r="AW32" i="1" s="1"/>
  <c r="AW33" i="1" s="1"/>
  <c r="AW34" i="1" s="1"/>
  <c r="AP22" i="1"/>
  <c r="AP23" i="1" s="1"/>
  <c r="AO22" i="1"/>
  <c r="AO23" i="1" s="1"/>
  <c r="AO24" i="1" s="1"/>
  <c r="AO32" i="1" s="1"/>
  <c r="AO33" i="1" s="1"/>
  <c r="AM22" i="1"/>
  <c r="AI22" i="1"/>
  <c r="AH22" i="1"/>
  <c r="AH23" i="1" s="1"/>
  <c r="AH24" i="1" s="1"/>
  <c r="AH32" i="1" s="1"/>
  <c r="AE22" i="1"/>
  <c r="AQ21" i="1"/>
  <c r="AQ22" i="1" s="1"/>
  <c r="AQ23" i="1" s="1"/>
  <c r="AQ24" i="1" s="1"/>
  <c r="AM21" i="1"/>
  <c r="AI21" i="1"/>
  <c r="AD21" i="1"/>
  <c r="AD22" i="1" s="1"/>
  <c r="AD23" i="1" s="1"/>
  <c r="AV20" i="1"/>
  <c r="AV21" i="1" s="1"/>
  <c r="AV22" i="1" s="1"/>
  <c r="AQ20" i="1"/>
  <c r="AP20" i="1"/>
  <c r="AP21" i="1" s="1"/>
  <c r="AI20" i="1"/>
  <c r="AH20" i="1"/>
  <c r="AH21" i="1" s="1"/>
  <c r="AG20" i="1"/>
  <c r="AG21" i="1" s="1"/>
  <c r="AG22" i="1" s="1"/>
  <c r="AG23" i="1" s="1"/>
  <c r="AE20" i="1"/>
  <c r="AE21" i="1" s="1"/>
  <c r="AV19" i="1"/>
  <c r="AR19" i="1"/>
  <c r="AR20" i="1" s="1"/>
  <c r="AR21" i="1" s="1"/>
  <c r="AR22" i="1" s="1"/>
  <c r="AR23" i="1" s="1"/>
  <c r="AQ19" i="1"/>
  <c r="AP19" i="1"/>
  <c r="AM19" i="1"/>
  <c r="AM20" i="1" s="1"/>
  <c r="AL19" i="1"/>
  <c r="AL20" i="1" s="1"/>
  <c r="AL21" i="1" s="1"/>
  <c r="AL22" i="1" s="1"/>
  <c r="AL23" i="1" s="1"/>
  <c r="AL24" i="1" s="1"/>
  <c r="AJ19" i="1"/>
  <c r="AJ20" i="1" s="1"/>
  <c r="AJ21" i="1" s="1"/>
  <c r="AJ22" i="1" s="1"/>
  <c r="AI19" i="1"/>
  <c r="AG19" i="1"/>
  <c r="AE19" i="1"/>
  <c r="AW7" i="1"/>
  <c r="AW8" i="1" s="1"/>
  <c r="AW9" i="1" s="1"/>
  <c r="AW10" i="1"/>
  <c r="AV9" i="1"/>
  <c r="AV10" i="1"/>
  <c r="AS5" i="1"/>
  <c r="AS6" i="1" s="1"/>
  <c r="AS7" i="1" s="1"/>
  <c r="AS8" i="1"/>
  <c r="AS9" i="1" s="1"/>
  <c r="AS10" i="1" s="1"/>
  <c r="AS18" i="1" s="1"/>
  <c r="AS19" i="1" s="1"/>
  <c r="AS20" i="1" s="1"/>
  <c r="AS21" i="1" s="1"/>
  <c r="AS22" i="1" s="1"/>
  <c r="AQ6" i="1"/>
  <c r="AQ7" i="1" s="1"/>
  <c r="AQ8" i="1"/>
  <c r="AQ9" i="1" s="1"/>
  <c r="AQ10" i="1" s="1"/>
  <c r="AQ18" i="1" s="1"/>
  <c r="AP5" i="1"/>
  <c r="AP6" i="1"/>
  <c r="AP7" i="1"/>
  <c r="AP8" i="1"/>
  <c r="AP9" i="1" s="1"/>
  <c r="AP10" i="1"/>
  <c r="AM8" i="1"/>
  <c r="AM9" i="1" s="1"/>
  <c r="AM10" i="1"/>
  <c r="AL5" i="1"/>
  <c r="AL6" i="1" s="1"/>
  <c r="AL7" i="1"/>
  <c r="AL8" i="1" s="1"/>
  <c r="AL9" i="1" s="1"/>
  <c r="AL10" i="1" s="1"/>
  <c r="AL18" i="1" s="1"/>
  <c r="AJ5" i="1"/>
  <c r="AJ6" i="1" s="1"/>
  <c r="AJ7" i="1" s="1"/>
  <c r="AJ8" i="1" s="1"/>
  <c r="AJ9" i="1"/>
  <c r="AJ10" i="1" s="1"/>
  <c r="AJ18" i="1" s="1"/>
  <c r="AH6" i="1"/>
  <c r="AH7" i="1" s="1"/>
  <c r="AH8" i="1" s="1"/>
  <c r="AH9" i="1" s="1"/>
  <c r="AH10" i="1" s="1"/>
  <c r="AG5" i="1"/>
  <c r="AG6" i="1"/>
  <c r="AG7" i="1"/>
  <c r="AG8" i="1"/>
  <c r="AG9" i="1"/>
  <c r="AG10" i="1"/>
  <c r="AG18" i="1" s="1"/>
  <c r="AE5" i="1"/>
  <c r="AE6" i="1" s="1"/>
  <c r="AE7" i="1"/>
  <c r="AE8" i="1"/>
  <c r="AE9" i="1" s="1"/>
  <c r="AE10" i="1"/>
  <c r="AE4" i="1"/>
  <c r="AF4" i="1"/>
  <c r="AF5" i="1" s="1"/>
  <c r="AF6" i="1" s="1"/>
  <c r="AF7" i="1" s="1"/>
  <c r="AF8" i="1" s="1"/>
  <c r="AF9" i="1" s="1"/>
  <c r="AF10" i="1" s="1"/>
  <c r="AF18" i="1" s="1"/>
  <c r="AF19" i="1" s="1"/>
  <c r="AF20" i="1" s="1"/>
  <c r="AF21" i="1" s="1"/>
  <c r="AF22" i="1" s="1"/>
  <c r="AF23" i="1" s="1"/>
  <c r="AF24" i="1" s="1"/>
  <c r="AG4" i="1"/>
  <c r="AH4" i="1"/>
  <c r="AH5" i="1" s="1"/>
  <c r="AI4" i="1"/>
  <c r="AI5" i="1" s="1"/>
  <c r="AI6" i="1" s="1"/>
  <c r="AI7" i="1" s="1"/>
  <c r="AI8" i="1" s="1"/>
  <c r="AI9" i="1" s="1"/>
  <c r="AI10" i="1" s="1"/>
  <c r="AJ4" i="1"/>
  <c r="AK4" i="1"/>
  <c r="AK5" i="1" s="1"/>
  <c r="AK6" i="1" s="1"/>
  <c r="AK7" i="1" s="1"/>
  <c r="AK8" i="1" s="1"/>
  <c r="AK9" i="1" s="1"/>
  <c r="AK10" i="1" s="1"/>
  <c r="AK18" i="1" s="1"/>
  <c r="AK19" i="1" s="1"/>
  <c r="AK20" i="1" s="1"/>
  <c r="AK21" i="1" s="1"/>
  <c r="AK22" i="1" s="1"/>
  <c r="AK23" i="1" s="1"/>
  <c r="AK24" i="1" s="1"/>
  <c r="AK32" i="1" s="1"/>
  <c r="AK33" i="1" s="1"/>
  <c r="AK34" i="1" s="1"/>
  <c r="AK35" i="1" s="1"/>
  <c r="AK36" i="1" s="1"/>
  <c r="AK37" i="1" s="1"/>
  <c r="AK38" i="1" s="1"/>
  <c r="AK46" i="1" s="1"/>
  <c r="AK47" i="1" s="1"/>
  <c r="AK48" i="1" s="1"/>
  <c r="AK49" i="1" s="1"/>
  <c r="AK50" i="1" s="1"/>
  <c r="AK51" i="1" s="1"/>
  <c r="AL4" i="1"/>
  <c r="AM4" i="1"/>
  <c r="AM5" i="1" s="1"/>
  <c r="AM6" i="1" s="1"/>
  <c r="AM7" i="1" s="1"/>
  <c r="AN4" i="1"/>
  <c r="AN5" i="1" s="1"/>
  <c r="AN6" i="1" s="1"/>
  <c r="AN7" i="1" s="1"/>
  <c r="AN8" i="1" s="1"/>
  <c r="AN9" i="1" s="1"/>
  <c r="AN10" i="1" s="1"/>
  <c r="AN18" i="1" s="1"/>
  <c r="AN19" i="1" s="1"/>
  <c r="AN20" i="1" s="1"/>
  <c r="AN21" i="1" s="1"/>
  <c r="AN22" i="1" s="1"/>
  <c r="AN23" i="1" s="1"/>
  <c r="AN24" i="1" s="1"/>
  <c r="AN32" i="1" s="1"/>
  <c r="AN33" i="1" s="1"/>
  <c r="AN34" i="1" s="1"/>
  <c r="AN35" i="1" s="1"/>
  <c r="AN36" i="1" s="1"/>
  <c r="AN37" i="1" s="1"/>
  <c r="AN38" i="1" s="1"/>
  <c r="AO4" i="1"/>
  <c r="AO5" i="1" s="1"/>
  <c r="AO6" i="1" s="1"/>
  <c r="AO7" i="1" s="1"/>
  <c r="AO8" i="1" s="1"/>
  <c r="AO9" i="1" s="1"/>
  <c r="AO10" i="1" s="1"/>
  <c r="AP4" i="1"/>
  <c r="AQ4" i="1"/>
  <c r="AQ5" i="1" s="1"/>
  <c r="AR4" i="1"/>
  <c r="AR5" i="1" s="1"/>
  <c r="AR6" i="1" s="1"/>
  <c r="AR7" i="1" s="1"/>
  <c r="AR8" i="1" s="1"/>
  <c r="AR9" i="1" s="1"/>
  <c r="AR10" i="1" s="1"/>
  <c r="AS4" i="1"/>
  <c r="AT4" i="1"/>
  <c r="AT5" i="1" s="1"/>
  <c r="AT6" i="1" s="1"/>
  <c r="AT7" i="1" s="1"/>
  <c r="AT8" i="1" s="1"/>
  <c r="AT9" i="1" s="1"/>
  <c r="AT10" i="1" s="1"/>
  <c r="AT18" i="1" s="1"/>
  <c r="AT19" i="1" s="1"/>
  <c r="AT20" i="1" s="1"/>
  <c r="AT21" i="1" s="1"/>
  <c r="AT22" i="1" s="1"/>
  <c r="AT23" i="1" s="1"/>
  <c r="AT24" i="1" s="1"/>
  <c r="AT32" i="1" s="1"/>
  <c r="AT33" i="1" s="1"/>
  <c r="AT34" i="1" s="1"/>
  <c r="AT35" i="1" s="1"/>
  <c r="AT36" i="1" s="1"/>
  <c r="AT37" i="1" s="1"/>
  <c r="AT38" i="1" s="1"/>
  <c r="AT46" i="1" s="1"/>
  <c r="AT47" i="1" s="1"/>
  <c r="AT48" i="1" s="1"/>
  <c r="AT49" i="1" s="1"/>
  <c r="AT50" i="1" s="1"/>
  <c r="AT51" i="1" s="1"/>
  <c r="AT52" i="1" s="1"/>
  <c r="AT60" i="1" s="1"/>
  <c r="AT61" i="1" s="1"/>
  <c r="AT62" i="1" s="1"/>
  <c r="AT63" i="1" s="1"/>
  <c r="AT64" i="1" s="1"/>
  <c r="AT65" i="1" s="1"/>
  <c r="AT66" i="1" s="1"/>
  <c r="AT74" i="1" s="1"/>
  <c r="AT75" i="1" s="1"/>
  <c r="AT76" i="1" s="1"/>
  <c r="AT77" i="1" s="1"/>
  <c r="AT78" i="1" s="1"/>
  <c r="AT79" i="1" s="1"/>
  <c r="AT80" i="1" s="1"/>
  <c r="AT88" i="1" s="1"/>
  <c r="AT89" i="1" s="1"/>
  <c r="AT90" i="1" s="1"/>
  <c r="AV4" i="1"/>
  <c r="AV5" i="1" s="1"/>
  <c r="AV6" i="1" s="1"/>
  <c r="AV7" i="1" s="1"/>
  <c r="AV8" i="1" s="1"/>
  <c r="AW4" i="1"/>
  <c r="AW5" i="1" s="1"/>
  <c r="AW6" i="1" s="1"/>
  <c r="AD6" i="1"/>
  <c r="AD7" i="1" s="1"/>
  <c r="AD8" i="1" s="1"/>
  <c r="AD9" i="1" s="1"/>
  <c r="AD10" i="1"/>
  <c r="AD4" i="1"/>
  <c r="AD5" i="1" s="1"/>
  <c r="B67" i="1"/>
  <c r="C67" i="1"/>
  <c r="D67" i="1"/>
  <c r="E67" i="1"/>
  <c r="F67" i="1"/>
  <c r="G67" i="1"/>
  <c r="H67" i="1"/>
  <c r="I67" i="1"/>
  <c r="J67" i="1"/>
  <c r="K67" i="1"/>
  <c r="L67" i="1"/>
  <c r="M67" i="1"/>
  <c r="Q67" i="1"/>
  <c r="N67" i="1"/>
  <c r="O67" i="1"/>
  <c r="P67" i="1"/>
  <c r="R67" i="1"/>
  <c r="S67" i="1"/>
  <c r="T67" i="1"/>
  <c r="U67" i="1"/>
  <c r="V67" i="1"/>
  <c r="B81" i="1"/>
  <c r="C81" i="1"/>
  <c r="D81" i="1"/>
  <c r="E81" i="1"/>
  <c r="F81" i="1"/>
  <c r="G81" i="1"/>
  <c r="H81" i="1"/>
  <c r="I81" i="1"/>
  <c r="J81" i="1"/>
  <c r="K81" i="1"/>
  <c r="L81" i="1"/>
  <c r="B25" i="1"/>
  <c r="C25" i="1"/>
  <c r="D25" i="1"/>
  <c r="E25" i="1"/>
  <c r="F25" i="1"/>
  <c r="G25" i="1"/>
  <c r="H25" i="1"/>
  <c r="I25" i="1"/>
  <c r="J25" i="1"/>
  <c r="K25" i="1"/>
  <c r="L25" i="1"/>
  <c r="M25" i="1"/>
  <c r="Q25" i="1"/>
  <c r="N25" i="1"/>
  <c r="O25" i="1"/>
  <c r="P25" i="1"/>
  <c r="R25" i="1"/>
  <c r="S25" i="1"/>
  <c r="T25" i="1"/>
  <c r="U25" i="1"/>
  <c r="V25" i="1"/>
  <c r="S69" i="1" l="1" a="1"/>
  <c r="S69" i="1" s="1"/>
  <c r="S13" i="1" a="1"/>
  <c r="S13" i="1" s="1"/>
  <c r="O97" i="1" a="1"/>
  <c r="O97" i="1" s="1"/>
  <c r="M97" i="1" a="1"/>
  <c r="M97" i="1" s="1"/>
  <c r="M83" i="1" a="1"/>
  <c r="M83" i="1" s="1"/>
  <c r="G153" i="1" a="1"/>
  <c r="G153" i="1" s="1"/>
  <c r="O167" i="1" a="1"/>
  <c r="O167" i="1" s="1"/>
  <c r="K167" i="1" a="1"/>
  <c r="K167" i="1" s="1"/>
  <c r="R153" i="1" a="1"/>
  <c r="R153" i="1" s="1"/>
  <c r="P153" i="1" a="1"/>
  <c r="P153" i="1" s="1"/>
  <c r="E167" i="1" a="1"/>
  <c r="E167" i="1" s="1"/>
  <c r="N167" i="1" a="1"/>
  <c r="N167" i="1" s="1"/>
  <c r="R167" i="1" a="1"/>
  <c r="R167" i="1" s="1"/>
  <c r="T153" i="1" a="1"/>
  <c r="T153" i="1" s="1"/>
  <c r="G167" i="1" a="1"/>
  <c r="G167" i="1" s="1"/>
  <c r="H167" i="1" a="1"/>
  <c r="H167" i="1" s="1"/>
  <c r="B167" i="1" a="1"/>
  <c r="B167" i="1" s="1"/>
  <c r="L167" i="1" a="1"/>
  <c r="L167" i="1" s="1"/>
  <c r="T167" i="1" a="1"/>
  <c r="T167" i="1" s="1"/>
  <c r="F153" i="1" a="1"/>
  <c r="F153" i="1" s="1"/>
  <c r="E139" i="1" a="1"/>
  <c r="E139" i="1" s="1"/>
  <c r="X161" i="1"/>
  <c r="O139" i="1" a="1"/>
  <c r="O139" i="1" s="1"/>
  <c r="C153" i="1" a="1"/>
  <c r="C153" i="1" s="1"/>
  <c r="O153" i="1" a="1"/>
  <c r="O153" i="1" s="1"/>
  <c r="Q167" i="1" a="1"/>
  <c r="Q167" i="1" s="1"/>
  <c r="P167" i="1" a="1"/>
  <c r="P167" i="1" s="1"/>
  <c r="N111" i="1" a="1"/>
  <c r="N111" i="1" s="1"/>
  <c r="X163" i="1"/>
  <c r="M167" i="1" a="1"/>
  <c r="M167" i="1" s="1"/>
  <c r="I125" i="1" a="1"/>
  <c r="I125" i="1" s="1"/>
  <c r="X158" i="1"/>
  <c r="U153" i="1" a="1"/>
  <c r="U153" i="1" s="1"/>
  <c r="I139" i="1" a="1"/>
  <c r="I139" i="1" s="1"/>
  <c r="X159" i="1"/>
  <c r="X164" i="1"/>
  <c r="X160" i="1"/>
  <c r="E153" i="1" a="1"/>
  <c r="E153" i="1" s="1"/>
  <c r="N153" i="1" a="1"/>
  <c r="N153" i="1" s="1"/>
  <c r="J167" i="1" a="1"/>
  <c r="J167" i="1" s="1"/>
  <c r="I167" i="1" a="1"/>
  <c r="I167" i="1" s="1"/>
  <c r="Q153" i="1" a="1"/>
  <c r="Q153" i="1" s="1"/>
  <c r="J153" i="1" a="1"/>
  <c r="J153" i="1" s="1"/>
  <c r="F167" i="1" a="1"/>
  <c r="F167" i="1" s="1"/>
  <c r="I153" i="1" a="1"/>
  <c r="I153" i="1" s="1"/>
  <c r="D167" i="1" a="1"/>
  <c r="D167" i="1" s="1"/>
  <c r="C167" i="1" a="1"/>
  <c r="C167" i="1" s="1"/>
  <c r="Q139" i="1" a="1"/>
  <c r="Q139" i="1" s="1"/>
  <c r="K111" i="1" a="1"/>
  <c r="K111" i="1" s="1"/>
  <c r="D139" i="1" a="1"/>
  <c r="D139" i="1" s="1"/>
  <c r="R83" i="1" a="1"/>
  <c r="R83" i="1" s="1"/>
  <c r="U167" i="1" a="1"/>
  <c r="U167" i="1" s="1"/>
  <c r="AD11" i="1"/>
  <c r="O125" i="1" a="1"/>
  <c r="O125" i="1" s="1"/>
  <c r="Q125" i="1" a="1"/>
  <c r="Q125" i="1" s="1"/>
  <c r="T139" i="1" a="1"/>
  <c r="T139" i="1" s="1"/>
  <c r="C139" i="1" a="1"/>
  <c r="C139" i="1" s="1"/>
  <c r="X147" i="1"/>
  <c r="G125" i="1" a="1"/>
  <c r="G125" i="1" s="1"/>
  <c r="M153" i="1" a="1"/>
  <c r="M153" i="1" s="1"/>
  <c r="P139" i="1" a="1"/>
  <c r="P139" i="1" s="1"/>
  <c r="X149" i="1"/>
  <c r="H153" i="1" a="1"/>
  <c r="H153" i="1" s="1"/>
  <c r="M139" i="1" a="1"/>
  <c r="M139" i="1" s="1"/>
  <c r="N139" i="1" a="1"/>
  <c r="N139" i="1" s="1"/>
  <c r="X144" i="1"/>
  <c r="X146" i="1"/>
  <c r="G139" i="1" a="1"/>
  <c r="G139" i="1" s="1"/>
  <c r="B153" i="1" a="1"/>
  <c r="B153" i="1" s="1"/>
  <c r="X162" i="1"/>
  <c r="L153" i="1" a="1"/>
  <c r="L153" i="1" s="1"/>
  <c r="L139" i="1" a="1"/>
  <c r="L139" i="1" s="1"/>
  <c r="K153" i="1" a="1"/>
  <c r="K153" i="1" s="1"/>
  <c r="J139" i="1" a="1"/>
  <c r="J139" i="1" s="1"/>
  <c r="K139" i="1" a="1"/>
  <c r="K139" i="1" s="1"/>
  <c r="D153" i="1" a="1"/>
  <c r="D153" i="1" s="1"/>
  <c r="M125" i="1" a="1"/>
  <c r="M125" i="1" s="1"/>
  <c r="U139" i="1" a="1"/>
  <c r="U139" i="1" s="1"/>
  <c r="C125" i="1" a="1"/>
  <c r="C125" i="1" s="1"/>
  <c r="H139" i="1" a="1"/>
  <c r="H139" i="1" s="1"/>
  <c r="X134" i="1"/>
  <c r="X150" i="1"/>
  <c r="B125" i="1" a="1"/>
  <c r="B125" i="1" s="1"/>
  <c r="F125" i="1" a="1"/>
  <c r="F125" i="1" s="1"/>
  <c r="X132" i="1"/>
  <c r="B139" i="1" a="1"/>
  <c r="B139" i="1" s="1"/>
  <c r="F139" i="1" a="1"/>
  <c r="F139" i="1" s="1"/>
  <c r="X148" i="1"/>
  <c r="X130" i="1"/>
  <c r="K125" i="1" a="1"/>
  <c r="K125" i="1" s="1"/>
  <c r="H125" i="1" a="1"/>
  <c r="H125" i="1" s="1"/>
  <c r="R139" i="1" a="1"/>
  <c r="R139" i="1" s="1"/>
  <c r="E125" i="1" a="1"/>
  <c r="E125" i="1" s="1"/>
  <c r="X145" i="1"/>
  <c r="N125" i="1" a="1"/>
  <c r="N125" i="1" s="1"/>
  <c r="E83" i="1" a="1"/>
  <c r="E83" i="1" s="1"/>
  <c r="H111" i="1" a="1"/>
  <c r="H111" i="1" s="1"/>
  <c r="J125" i="1" a="1"/>
  <c r="J125" i="1" s="1"/>
  <c r="T111" i="1" a="1"/>
  <c r="T111" i="1" s="1"/>
  <c r="U125" i="1" a="1"/>
  <c r="U125" i="1" s="1"/>
  <c r="X121" i="1"/>
  <c r="T125" i="1" a="1"/>
  <c r="T125" i="1" s="1"/>
  <c r="T83" i="1" a="1"/>
  <c r="T83" i="1" s="1"/>
  <c r="T97" i="1" a="1"/>
  <c r="T97" i="1" s="1"/>
  <c r="Q111" i="1" a="1"/>
  <c r="Q111" i="1" s="1"/>
  <c r="M111" i="1" a="1"/>
  <c r="M111" i="1" s="1"/>
  <c r="X135" i="1"/>
  <c r="X119" i="1"/>
  <c r="N97" i="1" a="1"/>
  <c r="N97" i="1" s="1"/>
  <c r="L111" i="1" a="1"/>
  <c r="L111" i="1" s="1"/>
  <c r="R125" i="1" a="1"/>
  <c r="R125" i="1" s="1"/>
  <c r="X133" i="1"/>
  <c r="L125" i="1" a="1"/>
  <c r="L125" i="1" s="1"/>
  <c r="J111" i="1" a="1"/>
  <c r="J111" i="1" s="1"/>
  <c r="P111" i="1" a="1"/>
  <c r="P111" i="1" s="1"/>
  <c r="X118" i="1"/>
  <c r="X122" i="1"/>
  <c r="P125" i="1" a="1"/>
  <c r="P125" i="1" s="1"/>
  <c r="F111" i="1" a="1"/>
  <c r="F111" i="1" s="1"/>
  <c r="G111" i="1" a="1"/>
  <c r="G111" i="1" s="1"/>
  <c r="X116" i="1"/>
  <c r="H97" i="1" a="1"/>
  <c r="H97" i="1" s="1"/>
  <c r="X120" i="1"/>
  <c r="D125" i="1" a="1"/>
  <c r="D125" i="1" s="1"/>
  <c r="X136" i="1"/>
  <c r="C111" i="1" a="1"/>
  <c r="C111" i="1" s="1"/>
  <c r="X131" i="1"/>
  <c r="O111" i="1" a="1"/>
  <c r="O111" i="1" s="1"/>
  <c r="K83" i="1" a="1"/>
  <c r="K83" i="1" s="1"/>
  <c r="I111" i="1" a="1"/>
  <c r="I111" i="1" s="1"/>
  <c r="E97" i="1" a="1"/>
  <c r="E97" i="1" s="1"/>
  <c r="K97" i="1" a="1"/>
  <c r="K97" i="1" s="1"/>
  <c r="X102" i="1"/>
  <c r="F97" i="1" a="1"/>
  <c r="F97" i="1" s="1"/>
  <c r="B111" i="1" a="1"/>
  <c r="B111" i="1" s="1"/>
  <c r="U111" i="1" a="1"/>
  <c r="U111" i="1" s="1"/>
  <c r="N83" i="1" a="1"/>
  <c r="N83" i="1" s="1"/>
  <c r="C83" i="1" a="1"/>
  <c r="C83" i="1" s="1"/>
  <c r="U97" i="1" a="1"/>
  <c r="U97" i="1" s="1"/>
  <c r="Q97" i="1" a="1"/>
  <c r="Q97" i="1" s="1"/>
  <c r="E111" i="1" a="1"/>
  <c r="E111" i="1" s="1"/>
  <c r="G97" i="1" a="1"/>
  <c r="G97" i="1" s="1"/>
  <c r="J97" i="1" a="1"/>
  <c r="J97" i="1" s="1"/>
  <c r="F83" i="1" a="1"/>
  <c r="F83" i="1" s="1"/>
  <c r="D83" i="1" a="1"/>
  <c r="D83" i="1" s="1"/>
  <c r="C97" i="1" a="1"/>
  <c r="C97" i="1" s="1"/>
  <c r="I97" i="1" a="1"/>
  <c r="I97" i="1" s="1"/>
  <c r="D97" i="1" a="1"/>
  <c r="D97" i="1" s="1"/>
  <c r="D111" i="1" a="1"/>
  <c r="D111" i="1" s="1"/>
  <c r="X78" i="1"/>
  <c r="R111" i="1" a="1"/>
  <c r="R111" i="1" s="1"/>
  <c r="X106" i="1"/>
  <c r="X117" i="1"/>
  <c r="X75" i="1"/>
  <c r="L97" i="1" a="1"/>
  <c r="L97" i="1" s="1"/>
  <c r="J83" i="1" a="1"/>
  <c r="J83" i="1" s="1"/>
  <c r="I83" i="1" a="1"/>
  <c r="I83" i="1" s="1"/>
  <c r="H83" i="1" a="1"/>
  <c r="H83" i="1" s="1"/>
  <c r="G83" i="1" a="1"/>
  <c r="G83" i="1" s="1"/>
  <c r="X108" i="1"/>
  <c r="X107" i="1"/>
  <c r="X105" i="1"/>
  <c r="X104" i="1"/>
  <c r="X74" i="1"/>
  <c r="X80" i="1"/>
  <c r="X79" i="1"/>
  <c r="B97" i="1" a="1"/>
  <c r="B97" i="1" s="1"/>
  <c r="B83" i="1" a="1"/>
  <c r="B83" i="1" s="1"/>
  <c r="P97" i="1" a="1"/>
  <c r="P97" i="1" s="1"/>
  <c r="X103" i="1"/>
  <c r="R97" i="1" a="1"/>
  <c r="R97" i="1" s="1"/>
  <c r="X94" i="1"/>
  <c r="X92" i="1"/>
  <c r="L83" i="1" a="1"/>
  <c r="L83" i="1" s="1"/>
  <c r="X93" i="1"/>
  <c r="U83" i="1" a="1"/>
  <c r="U83" i="1" s="1"/>
  <c r="X76" i="1"/>
  <c r="O83" i="1" a="1"/>
  <c r="O83" i="1" s="1"/>
  <c r="X77" i="1"/>
  <c r="Q83" i="1" a="1"/>
  <c r="Q83" i="1" s="1"/>
  <c r="X88" i="1"/>
  <c r="P83" i="1" a="1"/>
  <c r="P83" i="1" s="1"/>
  <c r="X91" i="1"/>
  <c r="X90" i="1"/>
  <c r="X89" i="1"/>
  <c r="AF25" i="1"/>
  <c r="K69" i="1" a="1"/>
  <c r="K69" i="1" s="1"/>
  <c r="U69" i="1" a="1"/>
  <c r="U69" i="1" s="1"/>
  <c r="Q55" i="1" a="1"/>
  <c r="Q55" i="1" s="1"/>
  <c r="C69" i="1" a="1"/>
  <c r="C69" i="1" s="1"/>
  <c r="E69" i="1" a="1"/>
  <c r="E69" i="1" s="1"/>
  <c r="U40" i="1"/>
  <c r="X63" i="1"/>
  <c r="J55" i="1" a="1"/>
  <c r="J55" i="1" s="1"/>
  <c r="P69" i="1" a="1"/>
  <c r="P69" i="1" s="1"/>
  <c r="J13" i="1" a="1"/>
  <c r="J13" i="1" s="1"/>
  <c r="Q69" i="1" a="1"/>
  <c r="Q69" i="1" s="1"/>
  <c r="G55" i="1" a="1"/>
  <c r="G55" i="1" s="1"/>
  <c r="T69" i="1" a="1"/>
  <c r="T69" i="1" s="1"/>
  <c r="N55" i="1" a="1"/>
  <c r="N55" i="1" s="1"/>
  <c r="J69" i="1" a="1"/>
  <c r="J69" i="1" s="1"/>
  <c r="I69" i="1" a="1"/>
  <c r="I69" i="1" s="1"/>
  <c r="X60" i="1"/>
  <c r="H69" i="1" a="1"/>
  <c r="H69" i="1" s="1"/>
  <c r="V40" i="1"/>
  <c r="X62" i="1"/>
  <c r="X65" i="1"/>
  <c r="O41" i="1" a="1"/>
  <c r="O41" i="1" s="1"/>
  <c r="X52" i="1"/>
  <c r="O69" i="1" a="1"/>
  <c r="O69" i="1" s="1"/>
  <c r="M55" i="1" a="1"/>
  <c r="M55" i="1" s="1"/>
  <c r="E55" i="1" a="1"/>
  <c r="E55" i="1" s="1"/>
  <c r="N69" i="1" a="1"/>
  <c r="N69" i="1" s="1"/>
  <c r="X46" i="1"/>
  <c r="M69" i="1" a="1"/>
  <c r="M69" i="1" s="1"/>
  <c r="C13" i="1" a="1"/>
  <c r="C13" i="1" s="1"/>
  <c r="L69" i="1" a="1"/>
  <c r="L69" i="1" s="1"/>
  <c r="X49" i="1"/>
  <c r="H13" i="1" a="1"/>
  <c r="H13" i="1" s="1"/>
  <c r="P40" i="1"/>
  <c r="X48" i="1"/>
  <c r="F55" i="1" a="1"/>
  <c r="F55" i="1" s="1"/>
  <c r="O27" i="1" a="1"/>
  <c r="O27" i="1" s="1"/>
  <c r="M40" i="1"/>
  <c r="F69" i="1" a="1"/>
  <c r="F69" i="1" s="1"/>
  <c r="X50" i="1"/>
  <c r="O40" i="1"/>
  <c r="K55" i="1" a="1"/>
  <c r="K55" i="1" s="1"/>
  <c r="O55" i="1" a="1"/>
  <c r="O55" i="1" s="1"/>
  <c r="H55" i="1" a="1"/>
  <c r="H55" i="1" s="1"/>
  <c r="X47" i="1"/>
  <c r="B69" i="1" a="1"/>
  <c r="B69" i="1" s="1"/>
  <c r="D27" i="1" a="1"/>
  <c r="D27" i="1" s="1"/>
  <c r="T40" i="1"/>
  <c r="S40" i="1"/>
  <c r="R40" i="1"/>
  <c r="P55" i="1" a="1"/>
  <c r="P55" i="1" s="1"/>
  <c r="N40" i="1"/>
  <c r="G69" i="1" a="1"/>
  <c r="G69" i="1" s="1"/>
  <c r="C27" i="1" a="1"/>
  <c r="C27" i="1" s="1"/>
  <c r="T55" i="1" a="1"/>
  <c r="T55" i="1" s="1"/>
  <c r="D69" i="1" a="1"/>
  <c r="D69" i="1" s="1"/>
  <c r="E13" i="1" a="1"/>
  <c r="E13" i="1" s="1"/>
  <c r="X51" i="1"/>
  <c r="X66" i="1"/>
  <c r="X64" i="1"/>
  <c r="R69" i="1" a="1"/>
  <c r="R69" i="1" s="1"/>
  <c r="X61" i="1"/>
  <c r="AI25" i="1"/>
  <c r="J27" i="1" a="1"/>
  <c r="J27" i="1" s="1"/>
  <c r="H27" i="1" a="1"/>
  <c r="H27" i="1" s="1"/>
  <c r="Q13" i="1" a="1"/>
  <c r="Q13" i="1" s="1"/>
  <c r="P41" i="1" a="1"/>
  <c r="P41" i="1" s="1"/>
  <c r="X34" i="1"/>
  <c r="H41" i="1" a="1"/>
  <c r="H41" i="1" s="1"/>
  <c r="X24" i="1"/>
  <c r="X20" i="1"/>
  <c r="L55" i="1" a="1"/>
  <c r="L55" i="1" s="1"/>
  <c r="N13" i="1" a="1"/>
  <c r="N13" i="1" s="1"/>
  <c r="N27" i="1" a="1"/>
  <c r="N27" i="1" s="1"/>
  <c r="X36" i="1"/>
  <c r="G27" i="1" a="1"/>
  <c r="G27" i="1" s="1"/>
  <c r="Q40" i="1"/>
  <c r="I55" i="1" a="1"/>
  <c r="I55" i="1" s="1"/>
  <c r="X32" i="1"/>
  <c r="L27" i="1" a="1"/>
  <c r="L27" i="1" s="1"/>
  <c r="K13" i="1" a="1"/>
  <c r="K13" i="1" s="1"/>
  <c r="X23" i="1"/>
  <c r="T27" i="1" a="1"/>
  <c r="T27" i="1" s="1"/>
  <c r="F41" i="1" a="1"/>
  <c r="F41" i="1" s="1"/>
  <c r="B55" i="1" a="1"/>
  <c r="B55" i="1" s="1"/>
  <c r="D55" i="1" a="1"/>
  <c r="D55" i="1" s="1"/>
  <c r="X37" i="1"/>
  <c r="C55" i="1" a="1"/>
  <c r="C55" i="1" s="1"/>
  <c r="K41" i="1" a="1"/>
  <c r="K41" i="1" s="1"/>
  <c r="G40" i="1"/>
  <c r="U55" i="1" a="1"/>
  <c r="U55" i="1" s="1"/>
  <c r="E40" i="1"/>
  <c r="C40" i="1"/>
  <c r="B40" i="1"/>
  <c r="R55" i="1" a="1"/>
  <c r="R55" i="1" s="1"/>
  <c r="N41" i="1" a="1"/>
  <c r="N41" i="1" s="1"/>
  <c r="AR25" i="1"/>
  <c r="AH25" i="1"/>
  <c r="G13" i="1" a="1"/>
  <c r="G13" i="1" s="1"/>
  <c r="F13" i="1" a="1"/>
  <c r="F13" i="1" s="1"/>
  <c r="K27" i="1" a="1"/>
  <c r="K27" i="1" s="1"/>
  <c r="I13" i="1" a="1"/>
  <c r="I13" i="1" s="1"/>
  <c r="AK25" i="1"/>
  <c r="M41" i="1" a="1"/>
  <c r="M41" i="1" s="1"/>
  <c r="I27" i="1" a="1"/>
  <c r="I27" i="1" s="1"/>
  <c r="L41" i="1" a="1"/>
  <c r="L41" i="1" s="1"/>
  <c r="B41" i="1" a="1"/>
  <c r="B41" i="1" s="1"/>
  <c r="J41" i="1" a="1"/>
  <c r="J41" i="1" s="1"/>
  <c r="B13" i="1" a="1"/>
  <c r="B13" i="1" s="1"/>
  <c r="D13" i="1" a="1"/>
  <c r="D13" i="1" s="1"/>
  <c r="X9" i="1"/>
  <c r="B27" i="1" a="1"/>
  <c r="B27" i="1" s="1"/>
  <c r="U13" i="1" a="1"/>
  <c r="U13" i="1" s="1"/>
  <c r="T13" i="1" a="1"/>
  <c r="T13" i="1" s="1"/>
  <c r="C41" i="1" a="1"/>
  <c r="C41" i="1" s="1"/>
  <c r="X21" i="1"/>
  <c r="X19" i="1"/>
  <c r="O13" i="1" a="1"/>
  <c r="O13" i="1" s="1"/>
  <c r="T41" i="1" a="1"/>
  <c r="T41" i="1" s="1"/>
  <c r="X38" i="1"/>
  <c r="F27" i="1" a="1"/>
  <c r="F27" i="1" s="1"/>
  <c r="E27" i="1" a="1"/>
  <c r="E27" i="1" s="1"/>
  <c r="U27" i="1" a="1"/>
  <c r="U27" i="1" s="1"/>
  <c r="R13" i="1" a="1"/>
  <c r="R13" i="1" s="1"/>
  <c r="R27" i="1" a="1"/>
  <c r="R27" i="1" s="1"/>
  <c r="Q27" i="1" a="1"/>
  <c r="Q27" i="1" s="1"/>
  <c r="R41" i="1" a="1"/>
  <c r="R41" i="1" s="1"/>
  <c r="X35" i="1"/>
  <c r="I41" i="1" a="1"/>
  <c r="I41" i="1" s="1"/>
  <c r="G41" i="1" a="1"/>
  <c r="G41" i="1" s="1"/>
  <c r="X18" i="1"/>
  <c r="E41" i="1" a="1"/>
  <c r="E41" i="1" s="1"/>
  <c r="X22" i="1"/>
  <c r="P13" i="1" a="1"/>
  <c r="P13" i="1" s="1"/>
  <c r="U41" i="1" a="1"/>
  <c r="U41" i="1" s="1"/>
  <c r="P27" i="1" a="1"/>
  <c r="P27" i="1" s="1"/>
  <c r="M13" i="1" a="1"/>
  <c r="M13" i="1" s="1"/>
  <c r="I40" i="1"/>
  <c r="Q41" i="1" a="1"/>
  <c r="Q41" i="1" s="1"/>
  <c r="L13" i="1" a="1"/>
  <c r="L13" i="1" s="1"/>
  <c r="M27" i="1" a="1"/>
  <c r="M27" i="1" s="1"/>
  <c r="X33" i="1"/>
  <c r="D41" i="1" a="1"/>
  <c r="D41" i="1" s="1"/>
  <c r="AG25" i="1"/>
  <c r="AE25" i="1"/>
  <c r="AW25" i="1"/>
  <c r="AV25" i="1"/>
  <c r="V43" i="1"/>
  <c r="L40" i="1"/>
  <c r="K40" i="1"/>
  <c r="J40" i="1"/>
  <c r="D40" i="1"/>
  <c r="V29" i="1"/>
  <c r="AJ25" i="1"/>
  <c r="AL25" i="1"/>
  <c r="X5" i="1"/>
  <c r="AT25" i="1"/>
  <c r="AS25" i="1"/>
  <c r="AP25" i="1"/>
  <c r="AO25" i="1"/>
  <c r="H40" i="1"/>
  <c r="F40" i="1"/>
  <c r="AD25" i="1"/>
  <c r="AQ25" i="1"/>
  <c r="AN25" i="1"/>
  <c r="X10" i="1"/>
  <c r="AM25" i="1"/>
  <c r="X4" i="1"/>
  <c r="X8" i="1"/>
  <c r="X7" i="1"/>
  <c r="X6" i="1"/>
  <c r="C82" i="1"/>
  <c r="B82" i="1"/>
  <c r="L82" i="1"/>
  <c r="J82" i="1"/>
  <c r="I82" i="1"/>
  <c r="H82" i="1"/>
  <c r="D82" i="1"/>
  <c r="V71" i="1"/>
  <c r="G82" i="1"/>
  <c r="F82" i="1"/>
  <c r="E82" i="1"/>
  <c r="W71" i="1"/>
  <c r="K82" i="1"/>
  <c r="U165" i="1"/>
  <c r="U151" i="1"/>
  <c r="U137" i="1"/>
  <c r="U123" i="1"/>
  <c r="U109" i="1"/>
  <c r="U95" i="1"/>
  <c r="U81" i="1"/>
  <c r="U53" i="1"/>
  <c r="U68" i="1" s="1"/>
  <c r="U11" i="1"/>
  <c r="U26" i="1" s="1"/>
  <c r="C11" i="1"/>
  <c r="C26" i="1" s="1"/>
  <c r="W66" i="1" l="1"/>
  <c r="Y66" i="1" s="1"/>
  <c r="W63" i="1"/>
  <c r="Y63" i="1" s="1"/>
  <c r="W61" i="1"/>
  <c r="Y61" i="1" s="1"/>
  <c r="W64" i="1"/>
  <c r="Y64" i="1" s="1"/>
  <c r="W65" i="1"/>
  <c r="Y65" i="1" s="1"/>
  <c r="W62" i="1"/>
  <c r="Y62" i="1" s="1"/>
  <c r="W60" i="1"/>
  <c r="Y60" i="1" s="1"/>
  <c r="U54" i="1"/>
  <c r="U96" i="1"/>
  <c r="U166" i="1"/>
  <c r="U110" i="1"/>
  <c r="U124" i="1"/>
  <c r="U138" i="1"/>
  <c r="U82" i="1"/>
  <c r="U12" i="1"/>
  <c r="U14" i="1" s="1"/>
  <c r="U152" i="1"/>
  <c r="K11" i="1"/>
  <c r="C2" i="3"/>
  <c r="B11" i="3" s="1"/>
  <c r="C11" i="3" s="1"/>
  <c r="B20" i="3" s="1"/>
  <c r="C20" i="3" s="1"/>
  <c r="B29" i="3" s="1"/>
  <c r="C29" i="3" s="1"/>
  <c r="B39" i="3" s="1"/>
  <c r="C39" i="3" s="1"/>
  <c r="B49" i="3" s="1"/>
  <c r="C49" i="3" s="1"/>
  <c r="B59" i="3" s="1"/>
  <c r="C59" i="3" s="1"/>
  <c r="B68" i="3" s="1"/>
  <c r="C68" i="3" s="1"/>
  <c r="B80" i="3" s="1"/>
  <c r="C80" i="3" s="1"/>
  <c r="B90" i="3" s="1"/>
  <c r="C90" i="3" s="1"/>
  <c r="B100" i="3" s="1"/>
  <c r="C100" i="3" s="1"/>
  <c r="B110" i="3" s="1"/>
  <c r="C110" i="3" s="1"/>
  <c r="D240" i="2"/>
  <c r="G6" i="2"/>
  <c r="E3" i="1"/>
  <c r="B17" i="1" s="1"/>
  <c r="N11" i="1"/>
  <c r="V11" i="1"/>
  <c r="AZ164" i="1"/>
  <c r="BA164" i="1"/>
  <c r="BB164" i="1"/>
  <c r="BC164" i="1"/>
  <c r="BD164" i="1"/>
  <c r="BE164" i="1"/>
  <c r="BF164" i="1"/>
  <c r="BG164" i="1"/>
  <c r="BH164" i="1"/>
  <c r="BI164" i="1"/>
  <c r="BJ164" i="1"/>
  <c r="BK164" i="1"/>
  <c r="BL164" i="1"/>
  <c r="BM164" i="1"/>
  <c r="BN164" i="1"/>
  <c r="BO164" i="1"/>
  <c r="BP164" i="1"/>
  <c r="BQ164" i="1"/>
  <c r="BR164" i="1"/>
  <c r="BT164" i="1" s="1"/>
  <c r="AZ163" i="1"/>
  <c r="BA163" i="1"/>
  <c r="BB163" i="1"/>
  <c r="BC163" i="1"/>
  <c r="BD163" i="1"/>
  <c r="BE163" i="1"/>
  <c r="BF163" i="1"/>
  <c r="BG163" i="1"/>
  <c r="BH163" i="1"/>
  <c r="BI163" i="1"/>
  <c r="BJ163" i="1"/>
  <c r="BK163" i="1"/>
  <c r="BL163" i="1"/>
  <c r="BM163" i="1"/>
  <c r="BN163" i="1"/>
  <c r="BO163" i="1"/>
  <c r="BP163" i="1"/>
  <c r="BQ163" i="1"/>
  <c r="BR163" i="1"/>
  <c r="BT163" i="1" s="1"/>
  <c r="AZ162" i="1"/>
  <c r="BA162" i="1"/>
  <c r="BB162" i="1"/>
  <c r="BC162" i="1"/>
  <c r="BD162" i="1"/>
  <c r="BE162" i="1"/>
  <c r="BF162" i="1"/>
  <c r="BG162" i="1"/>
  <c r="BH162" i="1"/>
  <c r="BI162" i="1"/>
  <c r="BJ162" i="1"/>
  <c r="BK162" i="1"/>
  <c r="BL162" i="1"/>
  <c r="BM162" i="1"/>
  <c r="BN162" i="1"/>
  <c r="BO162" i="1"/>
  <c r="BP162" i="1"/>
  <c r="BQ162" i="1"/>
  <c r="BR162" i="1"/>
  <c r="BT162" i="1" s="1"/>
  <c r="AZ161" i="1"/>
  <c r="BA161" i="1"/>
  <c r="BB161" i="1"/>
  <c r="BC161" i="1"/>
  <c r="BD161" i="1"/>
  <c r="BE161" i="1"/>
  <c r="BF161" i="1"/>
  <c r="BG161" i="1"/>
  <c r="BH161" i="1"/>
  <c r="BI161" i="1"/>
  <c r="BJ161" i="1"/>
  <c r="BK161" i="1"/>
  <c r="BL161" i="1"/>
  <c r="BM161" i="1"/>
  <c r="BN161" i="1"/>
  <c r="BO161" i="1"/>
  <c r="BP161" i="1"/>
  <c r="BQ161" i="1"/>
  <c r="BR161" i="1"/>
  <c r="BT161" i="1" s="1"/>
  <c r="AZ160" i="1"/>
  <c r="BA160" i="1"/>
  <c r="BB160" i="1"/>
  <c r="BC160" i="1"/>
  <c r="BD160" i="1"/>
  <c r="BE160" i="1"/>
  <c r="BF160" i="1"/>
  <c r="BG160" i="1"/>
  <c r="BH160" i="1"/>
  <c r="BI160" i="1"/>
  <c r="BJ160" i="1"/>
  <c r="BK160" i="1"/>
  <c r="BL160" i="1"/>
  <c r="BM160" i="1"/>
  <c r="BN160" i="1"/>
  <c r="BO160" i="1"/>
  <c r="BP160" i="1"/>
  <c r="BQ160" i="1"/>
  <c r="BR160" i="1"/>
  <c r="BT160" i="1" s="1"/>
  <c r="AZ159" i="1"/>
  <c r="BA159" i="1"/>
  <c r="BB159" i="1"/>
  <c r="BC159" i="1"/>
  <c r="BD159" i="1"/>
  <c r="BE159" i="1"/>
  <c r="BF159" i="1"/>
  <c r="BG159" i="1"/>
  <c r="BH159" i="1"/>
  <c r="BI159" i="1"/>
  <c r="BJ159" i="1"/>
  <c r="BK159" i="1"/>
  <c r="BL159" i="1"/>
  <c r="BM159" i="1"/>
  <c r="BN159" i="1"/>
  <c r="BO159" i="1"/>
  <c r="BP159" i="1"/>
  <c r="BQ159" i="1"/>
  <c r="BR159" i="1"/>
  <c r="BT159" i="1" s="1"/>
  <c r="AZ158" i="1"/>
  <c r="BA158" i="1"/>
  <c r="BB158" i="1"/>
  <c r="BC158" i="1"/>
  <c r="BD158" i="1"/>
  <c r="BE158" i="1"/>
  <c r="BF158" i="1"/>
  <c r="BG158" i="1"/>
  <c r="BH158" i="1"/>
  <c r="BI158" i="1"/>
  <c r="BJ158" i="1"/>
  <c r="BK158" i="1"/>
  <c r="BL158" i="1"/>
  <c r="BM158" i="1"/>
  <c r="BN158" i="1"/>
  <c r="BO158" i="1"/>
  <c r="BP158" i="1"/>
  <c r="BQ158" i="1"/>
  <c r="BR158" i="1"/>
  <c r="BS158" i="1" s="1"/>
  <c r="AY164" i="1"/>
  <c r="AY163" i="1"/>
  <c r="AY162" i="1"/>
  <c r="AY161" i="1"/>
  <c r="AY160" i="1"/>
  <c r="AY159" i="1"/>
  <c r="AY158" i="1"/>
  <c r="AZ150" i="1"/>
  <c r="BA150" i="1"/>
  <c r="BB150" i="1"/>
  <c r="BC150" i="1"/>
  <c r="BD150" i="1"/>
  <c r="BE150" i="1"/>
  <c r="BF150" i="1"/>
  <c r="BG150" i="1"/>
  <c r="BH150" i="1"/>
  <c r="BI150" i="1"/>
  <c r="BJ150" i="1"/>
  <c r="BK150" i="1"/>
  <c r="BL150" i="1"/>
  <c r="BM150" i="1"/>
  <c r="BN150" i="1"/>
  <c r="BO150" i="1"/>
  <c r="BP150" i="1"/>
  <c r="BQ150" i="1"/>
  <c r="BR150" i="1"/>
  <c r="BT150" i="1" s="1"/>
  <c r="AZ149" i="1"/>
  <c r="BA149" i="1"/>
  <c r="BB149" i="1"/>
  <c r="BC149" i="1"/>
  <c r="BD149" i="1"/>
  <c r="BE149" i="1"/>
  <c r="BF149" i="1"/>
  <c r="BG149" i="1"/>
  <c r="BH149" i="1"/>
  <c r="BI149" i="1"/>
  <c r="BJ149" i="1"/>
  <c r="BK149" i="1"/>
  <c r="BL149" i="1"/>
  <c r="BM149" i="1"/>
  <c r="BN149" i="1"/>
  <c r="BO149" i="1"/>
  <c r="BP149" i="1"/>
  <c r="BQ149" i="1"/>
  <c r="BR149" i="1"/>
  <c r="BT149" i="1" s="1"/>
  <c r="AZ148" i="1"/>
  <c r="BA148" i="1"/>
  <c r="BB148" i="1"/>
  <c r="BC148" i="1"/>
  <c r="BD148" i="1"/>
  <c r="BE148" i="1"/>
  <c r="BF148" i="1"/>
  <c r="BG148" i="1"/>
  <c r="BH148" i="1"/>
  <c r="BI148" i="1"/>
  <c r="BJ148" i="1"/>
  <c r="BK148" i="1"/>
  <c r="BL148" i="1"/>
  <c r="BM148" i="1"/>
  <c r="BN148" i="1"/>
  <c r="BO148" i="1"/>
  <c r="BP148" i="1"/>
  <c r="BQ148" i="1"/>
  <c r="BR148" i="1"/>
  <c r="BT148" i="1" s="1"/>
  <c r="AZ147" i="1"/>
  <c r="BA147" i="1"/>
  <c r="BB147" i="1"/>
  <c r="BC147" i="1"/>
  <c r="BD147" i="1"/>
  <c r="BE147" i="1"/>
  <c r="BF147" i="1"/>
  <c r="BG147" i="1"/>
  <c r="BH147" i="1"/>
  <c r="BI147" i="1"/>
  <c r="BJ147" i="1"/>
  <c r="BK147" i="1"/>
  <c r="BL147" i="1"/>
  <c r="BM147" i="1"/>
  <c r="BN147" i="1"/>
  <c r="BO147" i="1"/>
  <c r="BP147" i="1"/>
  <c r="BQ147" i="1"/>
  <c r="BR147" i="1"/>
  <c r="BT147" i="1" s="1"/>
  <c r="AY150" i="1"/>
  <c r="AY149" i="1"/>
  <c r="AY148" i="1"/>
  <c r="AY147" i="1"/>
  <c r="AZ146" i="1"/>
  <c r="BA146" i="1"/>
  <c r="BB146" i="1"/>
  <c r="BC146" i="1"/>
  <c r="BD146" i="1"/>
  <c r="BE146" i="1"/>
  <c r="BF146" i="1"/>
  <c r="BG146" i="1"/>
  <c r="BH146" i="1"/>
  <c r="BI146" i="1"/>
  <c r="BJ146" i="1"/>
  <c r="BK146" i="1"/>
  <c r="BL146" i="1"/>
  <c r="BM146" i="1"/>
  <c r="BN146" i="1"/>
  <c r="BO146" i="1"/>
  <c r="BP146" i="1"/>
  <c r="BQ146" i="1"/>
  <c r="BR146" i="1"/>
  <c r="BT146" i="1" s="1"/>
  <c r="AY146" i="1"/>
  <c r="AZ144" i="1"/>
  <c r="BA144" i="1"/>
  <c r="BB144" i="1"/>
  <c r="BC144" i="1"/>
  <c r="BD144" i="1"/>
  <c r="BE144" i="1"/>
  <c r="BF144" i="1"/>
  <c r="BG144" i="1"/>
  <c r="BH144" i="1"/>
  <c r="BI144" i="1"/>
  <c r="BJ144" i="1"/>
  <c r="BK144" i="1"/>
  <c r="BL144" i="1"/>
  <c r="BM144" i="1"/>
  <c r="BN144" i="1"/>
  <c r="BO144" i="1"/>
  <c r="BP144" i="1"/>
  <c r="BQ144" i="1"/>
  <c r="BR144" i="1"/>
  <c r="BT144" i="1" s="1"/>
  <c r="AZ145" i="1"/>
  <c r="BA145" i="1"/>
  <c r="BB145" i="1"/>
  <c r="BC145" i="1"/>
  <c r="BD145" i="1"/>
  <c r="BE145" i="1"/>
  <c r="BF145" i="1"/>
  <c r="BG145" i="1"/>
  <c r="BH145" i="1"/>
  <c r="BI145" i="1"/>
  <c r="BJ145" i="1"/>
  <c r="BK145" i="1"/>
  <c r="BL145" i="1"/>
  <c r="BM145" i="1"/>
  <c r="BN145" i="1"/>
  <c r="BO145" i="1"/>
  <c r="BP145" i="1"/>
  <c r="BQ145" i="1"/>
  <c r="BR145" i="1"/>
  <c r="BT145" i="1" s="1"/>
  <c r="AY145" i="1"/>
  <c r="AY144" i="1"/>
  <c r="W164" i="1"/>
  <c r="Y164" i="1" s="1"/>
  <c r="W163" i="1"/>
  <c r="Y163" i="1" s="1"/>
  <c r="W162" i="1"/>
  <c r="Y162" i="1" s="1"/>
  <c r="W161" i="1"/>
  <c r="Y161" i="1" s="1"/>
  <c r="W160" i="1"/>
  <c r="Y160" i="1" s="1"/>
  <c r="W159" i="1"/>
  <c r="Y159" i="1" s="1"/>
  <c r="W158" i="1"/>
  <c r="Y158" i="1" s="1"/>
  <c r="W150" i="1"/>
  <c r="Y150" i="1" s="1"/>
  <c r="W149" i="1"/>
  <c r="Y149" i="1" s="1"/>
  <c r="W148" i="1"/>
  <c r="Y148" i="1" s="1"/>
  <c r="W147" i="1"/>
  <c r="Y147" i="1" s="1"/>
  <c r="W146" i="1"/>
  <c r="Y146" i="1" s="1"/>
  <c r="W145" i="1"/>
  <c r="Y145" i="1" s="1"/>
  <c r="W144" i="1"/>
  <c r="Y144" i="1" s="1"/>
  <c r="W136" i="1"/>
  <c r="Y136" i="1" s="1"/>
  <c r="W135" i="1"/>
  <c r="Y135" i="1" s="1"/>
  <c r="W134" i="1"/>
  <c r="Y134" i="1" s="1"/>
  <c r="W133" i="1"/>
  <c r="Y133" i="1" s="1"/>
  <c r="W132" i="1"/>
  <c r="Y132" i="1" s="1"/>
  <c r="W131" i="1"/>
  <c r="Y131" i="1" s="1"/>
  <c r="W130" i="1"/>
  <c r="Y130" i="1" s="1"/>
  <c r="W122" i="1"/>
  <c r="Y122" i="1" s="1"/>
  <c r="W121" i="1"/>
  <c r="Y121" i="1" s="1"/>
  <c r="W120" i="1"/>
  <c r="Y120" i="1" s="1"/>
  <c r="W119" i="1"/>
  <c r="Y119" i="1" s="1"/>
  <c r="W118" i="1"/>
  <c r="Y118" i="1" s="1"/>
  <c r="W117" i="1"/>
  <c r="Y117" i="1" s="1"/>
  <c r="W116" i="1"/>
  <c r="Y116" i="1" s="1"/>
  <c r="W108" i="1"/>
  <c r="Y108" i="1" s="1"/>
  <c r="W107" i="1"/>
  <c r="Y107" i="1" s="1"/>
  <c r="W106" i="1"/>
  <c r="Y106" i="1" s="1"/>
  <c r="W105" i="1"/>
  <c r="Y105" i="1" s="1"/>
  <c r="W104" i="1"/>
  <c r="Y104" i="1" s="1"/>
  <c r="W103" i="1"/>
  <c r="Y103" i="1" s="1"/>
  <c r="W102" i="1"/>
  <c r="Y102" i="1" s="1"/>
  <c r="W94" i="1"/>
  <c r="Y94" i="1" s="1"/>
  <c r="W93" i="1"/>
  <c r="Y93" i="1" s="1"/>
  <c r="W92" i="1"/>
  <c r="Y92" i="1" s="1"/>
  <c r="W91" i="1"/>
  <c r="Y91" i="1" s="1"/>
  <c r="W90" i="1"/>
  <c r="Y90" i="1" s="1"/>
  <c r="W89" i="1"/>
  <c r="Y89" i="1" s="1"/>
  <c r="W88" i="1"/>
  <c r="Y88" i="1" s="1"/>
  <c r="W80" i="1"/>
  <c r="Y80" i="1" s="1"/>
  <c r="W79" i="1"/>
  <c r="Y79" i="1" s="1"/>
  <c r="W78" i="1"/>
  <c r="Y78" i="1" s="1"/>
  <c r="W77" i="1"/>
  <c r="Y77" i="1" s="1"/>
  <c r="W76" i="1"/>
  <c r="Y76" i="1" s="1"/>
  <c r="W75" i="1"/>
  <c r="Y75" i="1" s="1"/>
  <c r="W74" i="1"/>
  <c r="Y74" i="1" s="1"/>
  <c r="W52" i="1"/>
  <c r="Y52" i="1" s="1"/>
  <c r="W51" i="1"/>
  <c r="Y51" i="1" s="1"/>
  <c r="W50" i="1"/>
  <c r="Y50" i="1" s="1"/>
  <c r="W49" i="1"/>
  <c r="Y49" i="1" s="1"/>
  <c r="W48" i="1"/>
  <c r="Y48" i="1" s="1"/>
  <c r="W47" i="1"/>
  <c r="Y47" i="1" s="1"/>
  <c r="W46" i="1"/>
  <c r="Y46" i="1" s="1"/>
  <c r="W38" i="1"/>
  <c r="Y38" i="1" s="1"/>
  <c r="W37" i="1"/>
  <c r="Y37" i="1" s="1"/>
  <c r="W36" i="1"/>
  <c r="Y36" i="1" s="1"/>
  <c r="W35" i="1"/>
  <c r="Y35" i="1" s="1"/>
  <c r="W34" i="1"/>
  <c r="Y34" i="1" s="1"/>
  <c r="W33" i="1"/>
  <c r="Y33" i="1" s="1"/>
  <c r="Y32" i="1"/>
  <c r="Y24" i="1"/>
  <c r="Y23" i="1"/>
  <c r="Y22" i="1"/>
  <c r="Y21" i="1"/>
  <c r="Y20" i="1"/>
  <c r="Y19" i="1"/>
  <c r="Y18" i="1"/>
  <c r="V165" i="1"/>
  <c r="T165" i="1"/>
  <c r="S165" i="1"/>
  <c r="R165" i="1"/>
  <c r="P165" i="1"/>
  <c r="O165" i="1"/>
  <c r="N165" i="1"/>
  <c r="Q165" i="1"/>
  <c r="M165" i="1"/>
  <c r="L165" i="1"/>
  <c r="K165" i="1"/>
  <c r="J165" i="1"/>
  <c r="I165" i="1"/>
  <c r="H165" i="1"/>
  <c r="G165" i="1"/>
  <c r="F165" i="1"/>
  <c r="E165" i="1"/>
  <c r="D165" i="1"/>
  <c r="C165" i="1"/>
  <c r="B165" i="1"/>
  <c r="V151" i="1"/>
  <c r="T151" i="1"/>
  <c r="S151" i="1"/>
  <c r="R151" i="1"/>
  <c r="P151" i="1"/>
  <c r="O151" i="1"/>
  <c r="N151" i="1"/>
  <c r="Q151" i="1"/>
  <c r="M151" i="1"/>
  <c r="L151" i="1"/>
  <c r="K151" i="1"/>
  <c r="J151" i="1"/>
  <c r="I151" i="1"/>
  <c r="H151" i="1"/>
  <c r="G151" i="1"/>
  <c r="F151" i="1"/>
  <c r="E151" i="1"/>
  <c r="D151" i="1"/>
  <c r="C151" i="1"/>
  <c r="B151" i="1"/>
  <c r="W67" i="1" l="1"/>
  <c r="V167" i="1" a="1"/>
  <c r="V167" i="1" s="1"/>
  <c r="C17" i="1"/>
  <c r="B31" i="1" s="1"/>
  <c r="C274" i="2"/>
  <c r="D274" i="2" s="1"/>
  <c r="Y98" i="1"/>
  <c r="Y56" i="1"/>
  <c r="Y84" i="1"/>
  <c r="BT158" i="1"/>
  <c r="BU145" i="1"/>
  <c r="BU146" i="1"/>
  <c r="BU147" i="1"/>
  <c r="BU148" i="1"/>
  <c r="BU149" i="1"/>
  <c r="BU150" i="1"/>
  <c r="BU144" i="1"/>
  <c r="Y126" i="1"/>
  <c r="Y154" i="1"/>
  <c r="V69" i="1" a="1"/>
  <c r="V69" i="1" s="1"/>
  <c r="Y140" i="1"/>
  <c r="Y42" i="1"/>
  <c r="Y168" i="1"/>
  <c r="Y70" i="1"/>
  <c r="Y28" i="1"/>
  <c r="Y112" i="1"/>
  <c r="X153" i="1" a="1"/>
  <c r="X153" i="1" s="1"/>
  <c r="V27" i="1" a="1"/>
  <c r="V27" i="1" s="1"/>
  <c r="V41" i="1" a="1"/>
  <c r="V41" i="1" s="1"/>
  <c r="AB9" i="1"/>
  <c r="AB23" i="1" s="1"/>
  <c r="AB37" i="1" s="1"/>
  <c r="AB51" i="1" s="1"/>
  <c r="Y9" i="1"/>
  <c r="AB6" i="1"/>
  <c r="AB20" i="1" s="1"/>
  <c r="Y6" i="1"/>
  <c r="AB7" i="1"/>
  <c r="AB21" i="1" s="1"/>
  <c r="AB35" i="1" s="1"/>
  <c r="AB49" i="1" s="1"/>
  <c r="Y7" i="1"/>
  <c r="AB5" i="1"/>
  <c r="AB19" i="1" s="1"/>
  <c r="AB33" i="1" s="1"/>
  <c r="AB47" i="1" s="1"/>
  <c r="Y5" i="1"/>
  <c r="AB10" i="1"/>
  <c r="AB24" i="1" s="1"/>
  <c r="AB38" i="1" s="1"/>
  <c r="AB52" i="1" s="1"/>
  <c r="Y10" i="1"/>
  <c r="X167" i="1" a="1"/>
  <c r="X167" i="1" s="1"/>
  <c r="AB4" i="1"/>
  <c r="AB18" i="1" s="1"/>
  <c r="AB32" i="1" s="1"/>
  <c r="AB46" i="1" s="1"/>
  <c r="Y4" i="1"/>
  <c r="AB8" i="1"/>
  <c r="AB22" i="1" s="1"/>
  <c r="AB36" i="1" s="1"/>
  <c r="AB50" i="1" s="1"/>
  <c r="Y8" i="1"/>
  <c r="V55" i="1" a="1"/>
  <c r="V55" i="1" s="1"/>
  <c r="V153" i="1" a="1"/>
  <c r="V153" i="1" s="1"/>
  <c r="U28" i="1"/>
  <c r="U42" i="1" s="1"/>
  <c r="U56" i="1" s="1"/>
  <c r="U70" i="1" s="1"/>
  <c r="U84" i="1" s="1"/>
  <c r="U98" i="1" s="1"/>
  <c r="U112" i="1" s="1"/>
  <c r="U126" i="1" s="1"/>
  <c r="U140" i="1" s="1"/>
  <c r="U154" i="1" s="1"/>
  <c r="U168" i="1" s="1"/>
  <c r="V12" i="1"/>
  <c r="V14" i="1" s="1"/>
  <c r="V28" i="1" s="1"/>
  <c r="V42" i="1" s="1"/>
  <c r="V26" i="1"/>
  <c r="N12" i="1"/>
  <c r="N14" i="1" s="1"/>
  <c r="N28" i="1" s="1"/>
  <c r="N42" i="1" s="1"/>
  <c r="N26" i="1"/>
  <c r="K12" i="1"/>
  <c r="K14" i="1" s="1"/>
  <c r="K28" i="1" s="1"/>
  <c r="K42" i="1" s="1"/>
  <c r="K26" i="1"/>
  <c r="BS145" i="1"/>
  <c r="W25" i="1"/>
  <c r="W169" i="1"/>
  <c r="BS159" i="1"/>
  <c r="Q166" i="1"/>
  <c r="N166" i="1"/>
  <c r="O166" i="1"/>
  <c r="P166" i="1"/>
  <c r="R166" i="1"/>
  <c r="S166" i="1"/>
  <c r="T166" i="1"/>
  <c r="V166" i="1"/>
  <c r="BS147" i="1"/>
  <c r="C166" i="1"/>
  <c r="D166" i="1"/>
  <c r="E166" i="1"/>
  <c r="BS144" i="1"/>
  <c r="BS146" i="1"/>
  <c r="BS164" i="1"/>
  <c r="BS163" i="1"/>
  <c r="BS162" i="1"/>
  <c r="BS161" i="1"/>
  <c r="BS160" i="1"/>
  <c r="BS148" i="1"/>
  <c r="BS149" i="1"/>
  <c r="BS150" i="1"/>
  <c r="I166" i="1"/>
  <c r="F166" i="1"/>
  <c r="H166" i="1"/>
  <c r="G166" i="1"/>
  <c r="J166" i="1"/>
  <c r="K166" i="1"/>
  <c r="L166" i="1"/>
  <c r="W155" i="1"/>
  <c r="V155" i="1"/>
  <c r="W151" i="1"/>
  <c r="M166" i="1"/>
  <c r="W165" i="1"/>
  <c r="B166" i="1"/>
  <c r="V169" i="1"/>
  <c r="C31" i="1" l="1"/>
  <c r="B45" i="1" s="1"/>
  <c r="C308" i="2"/>
  <c r="BU159" i="1"/>
  <c r="BU160" i="1"/>
  <c r="BU161" i="1"/>
  <c r="BU162" i="1"/>
  <c r="BU164" i="1"/>
  <c r="BU158" i="1"/>
  <c r="BU163" i="1"/>
  <c r="Y11" i="1"/>
  <c r="V13" i="1" a="1"/>
  <c r="V13" i="1" s="1"/>
  <c r="AB66" i="1"/>
  <c r="AB80" i="1" s="1"/>
  <c r="AB94" i="1" s="1"/>
  <c r="AB108" i="1" s="1"/>
  <c r="AB122" i="1" s="1"/>
  <c r="AB136" i="1" s="1"/>
  <c r="AB150" i="1" s="1"/>
  <c r="AB164" i="1" s="1"/>
  <c r="AB65" i="1"/>
  <c r="AB79" i="1" s="1"/>
  <c r="AB93" i="1" s="1"/>
  <c r="AB107" i="1" s="1"/>
  <c r="AB121" i="1" s="1"/>
  <c r="AB135" i="1" s="1"/>
  <c r="AB149" i="1" s="1"/>
  <c r="AB163" i="1" s="1"/>
  <c r="AB60" i="1"/>
  <c r="AB74" i="1" s="1"/>
  <c r="AB88" i="1" s="1"/>
  <c r="AB102" i="1" s="1"/>
  <c r="AB116" i="1" s="1"/>
  <c r="AB130" i="1" s="1"/>
  <c r="AB144" i="1" s="1"/>
  <c r="AB158" i="1" s="1"/>
  <c r="AB61" i="1"/>
  <c r="AB75" i="1" s="1"/>
  <c r="AB89" i="1" s="1"/>
  <c r="AB103" i="1" s="1"/>
  <c r="AB117" i="1" s="1"/>
  <c r="AB131" i="1" s="1"/>
  <c r="AB145" i="1" s="1"/>
  <c r="AB159" i="1" s="1"/>
  <c r="AB64" i="1"/>
  <c r="AB78" i="1" s="1"/>
  <c r="AB92" i="1" s="1"/>
  <c r="AB106" i="1" s="1"/>
  <c r="AB120" i="1" s="1"/>
  <c r="AB134" i="1" s="1"/>
  <c r="AB148" i="1" s="1"/>
  <c r="AB162" i="1" s="1"/>
  <c r="AB63" i="1"/>
  <c r="AB77" i="1" s="1"/>
  <c r="AB91" i="1" s="1"/>
  <c r="AB105" i="1" s="1"/>
  <c r="AB119" i="1" s="1"/>
  <c r="AB133" i="1" s="1"/>
  <c r="AB147" i="1" s="1"/>
  <c r="AB161" i="1" s="1"/>
  <c r="W166" i="1"/>
  <c r="D308" i="2"/>
  <c r="AB34" i="1"/>
  <c r="AB48" i="1" s="1"/>
  <c r="C45" i="1" l="1"/>
  <c r="B59" i="1" s="1"/>
  <c r="C374" i="2" s="1"/>
  <c r="C341" i="2"/>
  <c r="D341" i="2" s="1"/>
  <c r="AB62" i="1"/>
  <c r="AB76" i="1" s="1"/>
  <c r="AB90" i="1" s="1"/>
  <c r="AB104" i="1" s="1"/>
  <c r="AB118" i="1" s="1"/>
  <c r="AB132" i="1" s="1"/>
  <c r="AB146" i="1" s="1"/>
  <c r="AB160" i="1" s="1"/>
  <c r="AZ136" i="1"/>
  <c r="BA136" i="1"/>
  <c r="BB136" i="1"/>
  <c r="BC136" i="1"/>
  <c r="BD136" i="1"/>
  <c r="BE136" i="1"/>
  <c r="BF136" i="1"/>
  <c r="BG136" i="1"/>
  <c r="BH136" i="1"/>
  <c r="BI136" i="1"/>
  <c r="BJ136" i="1"/>
  <c r="BK136" i="1"/>
  <c r="BL136" i="1"/>
  <c r="BM136" i="1"/>
  <c r="BN136" i="1"/>
  <c r="BO136" i="1"/>
  <c r="BP136" i="1"/>
  <c r="BQ136" i="1"/>
  <c r="BR136" i="1"/>
  <c r="BT136" i="1" s="1"/>
  <c r="AZ135" i="1"/>
  <c r="BA135" i="1"/>
  <c r="BB135" i="1"/>
  <c r="BC135" i="1"/>
  <c r="BD135" i="1"/>
  <c r="BE135" i="1"/>
  <c r="BF135" i="1"/>
  <c r="BG135" i="1"/>
  <c r="BH135" i="1"/>
  <c r="BI135" i="1"/>
  <c r="BJ135" i="1"/>
  <c r="BK135" i="1"/>
  <c r="BL135" i="1"/>
  <c r="BM135" i="1"/>
  <c r="BN135" i="1"/>
  <c r="BO135" i="1"/>
  <c r="BP135" i="1"/>
  <c r="BQ135" i="1"/>
  <c r="BR135" i="1"/>
  <c r="BT135" i="1" s="1"/>
  <c r="AZ134" i="1"/>
  <c r="BA134" i="1"/>
  <c r="BB134" i="1"/>
  <c r="BC134" i="1"/>
  <c r="BD134" i="1"/>
  <c r="BE134" i="1"/>
  <c r="BF134" i="1"/>
  <c r="BG134" i="1"/>
  <c r="BH134" i="1"/>
  <c r="BI134" i="1"/>
  <c r="BJ134" i="1"/>
  <c r="BK134" i="1"/>
  <c r="BL134" i="1"/>
  <c r="BM134" i="1"/>
  <c r="BN134" i="1"/>
  <c r="BO134" i="1"/>
  <c r="BP134" i="1"/>
  <c r="BQ134" i="1"/>
  <c r="BR134" i="1"/>
  <c r="BT134" i="1" s="1"/>
  <c r="AZ133" i="1"/>
  <c r="BA133" i="1"/>
  <c r="BB133" i="1"/>
  <c r="BC133" i="1"/>
  <c r="BD133" i="1"/>
  <c r="BE133" i="1"/>
  <c r="BF133" i="1"/>
  <c r="BG133" i="1"/>
  <c r="BH133" i="1"/>
  <c r="BI133" i="1"/>
  <c r="BJ133" i="1"/>
  <c r="BK133" i="1"/>
  <c r="BL133" i="1"/>
  <c r="BM133" i="1"/>
  <c r="BN133" i="1"/>
  <c r="BO133" i="1"/>
  <c r="BP133" i="1"/>
  <c r="BQ133" i="1"/>
  <c r="BR133" i="1"/>
  <c r="BT133" i="1" s="1"/>
  <c r="AZ132" i="1"/>
  <c r="BA132" i="1"/>
  <c r="BB132" i="1"/>
  <c r="BC132" i="1"/>
  <c r="BD132" i="1"/>
  <c r="BE132" i="1"/>
  <c r="BF132" i="1"/>
  <c r="BG132" i="1"/>
  <c r="BH132" i="1"/>
  <c r="BI132" i="1"/>
  <c r="BJ132" i="1"/>
  <c r="BK132" i="1"/>
  <c r="BL132" i="1"/>
  <c r="BM132" i="1"/>
  <c r="BN132" i="1"/>
  <c r="BO132" i="1"/>
  <c r="BP132" i="1"/>
  <c r="BQ132" i="1"/>
  <c r="BR132" i="1"/>
  <c r="BT132" i="1" s="1"/>
  <c r="AZ131" i="1"/>
  <c r="BA131" i="1"/>
  <c r="BB131" i="1"/>
  <c r="BC131" i="1"/>
  <c r="BD131" i="1"/>
  <c r="BE131" i="1"/>
  <c r="BF131" i="1"/>
  <c r="BG131" i="1"/>
  <c r="BH131" i="1"/>
  <c r="BI131" i="1"/>
  <c r="BJ131" i="1"/>
  <c r="BK131" i="1"/>
  <c r="BL131" i="1"/>
  <c r="BM131" i="1"/>
  <c r="BN131" i="1"/>
  <c r="BO131" i="1"/>
  <c r="BP131" i="1"/>
  <c r="BQ131" i="1"/>
  <c r="BR131" i="1"/>
  <c r="BT131" i="1" s="1"/>
  <c r="AZ130" i="1"/>
  <c r="BA130" i="1"/>
  <c r="BB130" i="1"/>
  <c r="BC130" i="1"/>
  <c r="BD130" i="1"/>
  <c r="BE130" i="1"/>
  <c r="BF130" i="1"/>
  <c r="BG130" i="1"/>
  <c r="BH130" i="1"/>
  <c r="BI130" i="1"/>
  <c r="BJ130" i="1"/>
  <c r="BK130" i="1"/>
  <c r="BL130" i="1"/>
  <c r="BM130" i="1"/>
  <c r="BN130" i="1"/>
  <c r="BO130" i="1"/>
  <c r="BP130" i="1"/>
  <c r="BQ130" i="1"/>
  <c r="BR130" i="1"/>
  <c r="BT130" i="1" s="1"/>
  <c r="AY136" i="1"/>
  <c r="AY135" i="1"/>
  <c r="AY134" i="1"/>
  <c r="AY133" i="1"/>
  <c r="AY132" i="1"/>
  <c r="AY131" i="1"/>
  <c r="AY130" i="1"/>
  <c r="AZ122" i="1"/>
  <c r="BA122" i="1"/>
  <c r="BB122" i="1"/>
  <c r="BC122" i="1"/>
  <c r="BD122" i="1"/>
  <c r="BE122" i="1"/>
  <c r="BF122" i="1"/>
  <c r="BG122" i="1"/>
  <c r="BH122" i="1"/>
  <c r="BI122" i="1"/>
  <c r="BJ122" i="1"/>
  <c r="BK122" i="1"/>
  <c r="BL122" i="1"/>
  <c r="BM122" i="1"/>
  <c r="BN122" i="1"/>
  <c r="BO122" i="1"/>
  <c r="BP122" i="1"/>
  <c r="BQ122" i="1"/>
  <c r="BR122" i="1"/>
  <c r="BT122" i="1" s="1"/>
  <c r="AZ121" i="1"/>
  <c r="BA121" i="1"/>
  <c r="BB121" i="1"/>
  <c r="BC121" i="1"/>
  <c r="BD121" i="1"/>
  <c r="BE121" i="1"/>
  <c r="BF121" i="1"/>
  <c r="BG121" i="1"/>
  <c r="BH121" i="1"/>
  <c r="BI121" i="1"/>
  <c r="BJ121" i="1"/>
  <c r="BK121" i="1"/>
  <c r="BL121" i="1"/>
  <c r="BM121" i="1"/>
  <c r="BN121" i="1"/>
  <c r="BO121" i="1"/>
  <c r="BP121" i="1"/>
  <c r="BQ121" i="1"/>
  <c r="BR121" i="1"/>
  <c r="BT121" i="1" s="1"/>
  <c r="AZ120" i="1"/>
  <c r="BA120" i="1"/>
  <c r="BB120" i="1"/>
  <c r="BC120" i="1"/>
  <c r="BD120" i="1"/>
  <c r="BE120" i="1"/>
  <c r="BF120" i="1"/>
  <c r="BG120" i="1"/>
  <c r="BH120" i="1"/>
  <c r="BI120" i="1"/>
  <c r="BJ120" i="1"/>
  <c r="BK120" i="1"/>
  <c r="BL120" i="1"/>
  <c r="BM120" i="1"/>
  <c r="BN120" i="1"/>
  <c r="BO120" i="1"/>
  <c r="BP120" i="1"/>
  <c r="BQ120" i="1"/>
  <c r="BR120" i="1"/>
  <c r="BT120" i="1" s="1"/>
  <c r="AZ119" i="1"/>
  <c r="BA119" i="1"/>
  <c r="BB119" i="1"/>
  <c r="BC119" i="1"/>
  <c r="BD119" i="1"/>
  <c r="BE119" i="1"/>
  <c r="BF119" i="1"/>
  <c r="BG119" i="1"/>
  <c r="BH119" i="1"/>
  <c r="BI119" i="1"/>
  <c r="BJ119" i="1"/>
  <c r="BK119" i="1"/>
  <c r="BL119" i="1"/>
  <c r="BM119" i="1"/>
  <c r="BN119" i="1"/>
  <c r="BO119" i="1"/>
  <c r="BP119" i="1"/>
  <c r="BQ119" i="1"/>
  <c r="BR119" i="1"/>
  <c r="BT119" i="1" s="1"/>
  <c r="AZ118" i="1"/>
  <c r="BA118" i="1"/>
  <c r="BB118" i="1"/>
  <c r="BC118" i="1"/>
  <c r="BD118" i="1"/>
  <c r="BE118" i="1"/>
  <c r="BF118" i="1"/>
  <c r="BG118" i="1"/>
  <c r="BH118" i="1"/>
  <c r="BI118" i="1"/>
  <c r="BJ118" i="1"/>
  <c r="BK118" i="1"/>
  <c r="BL118" i="1"/>
  <c r="BM118" i="1"/>
  <c r="BN118" i="1"/>
  <c r="BO118" i="1"/>
  <c r="BP118" i="1"/>
  <c r="BQ118" i="1"/>
  <c r="BR118" i="1"/>
  <c r="BT118" i="1" s="1"/>
  <c r="AZ117" i="1"/>
  <c r="BA117" i="1"/>
  <c r="BB117" i="1"/>
  <c r="BC117" i="1"/>
  <c r="BD117" i="1"/>
  <c r="BE117" i="1"/>
  <c r="BF117" i="1"/>
  <c r="BG117" i="1"/>
  <c r="BH117" i="1"/>
  <c r="BI117" i="1"/>
  <c r="BJ117" i="1"/>
  <c r="BK117" i="1"/>
  <c r="BL117" i="1"/>
  <c r="BM117" i="1"/>
  <c r="BN117" i="1"/>
  <c r="BO117" i="1"/>
  <c r="BP117" i="1"/>
  <c r="BQ117" i="1"/>
  <c r="BR117" i="1"/>
  <c r="BT117" i="1" s="1"/>
  <c r="BA116" i="1"/>
  <c r="BB116" i="1"/>
  <c r="BC116" i="1"/>
  <c r="BD116" i="1"/>
  <c r="BE116" i="1"/>
  <c r="BF116" i="1"/>
  <c r="BG116" i="1"/>
  <c r="BH116" i="1"/>
  <c r="BI116" i="1"/>
  <c r="BJ116" i="1"/>
  <c r="BK116" i="1"/>
  <c r="BL116" i="1"/>
  <c r="BM116" i="1"/>
  <c r="BN116" i="1"/>
  <c r="BO116" i="1"/>
  <c r="BP116" i="1"/>
  <c r="BR116" i="1"/>
  <c r="AY122" i="1"/>
  <c r="AY121" i="1"/>
  <c r="AY120" i="1"/>
  <c r="AY119" i="1"/>
  <c r="AY118" i="1"/>
  <c r="AY117" i="1"/>
  <c r="AZ108" i="1"/>
  <c r="BA108" i="1"/>
  <c r="BB108" i="1"/>
  <c r="BC108" i="1"/>
  <c r="BD108" i="1"/>
  <c r="BE108" i="1"/>
  <c r="BF108" i="1"/>
  <c r="BG108" i="1"/>
  <c r="BH108" i="1"/>
  <c r="BI108" i="1"/>
  <c r="BJ108" i="1"/>
  <c r="BK108" i="1"/>
  <c r="BL108" i="1"/>
  <c r="BM108" i="1"/>
  <c r="BN108" i="1"/>
  <c r="BO108" i="1"/>
  <c r="BP108" i="1"/>
  <c r="BQ108" i="1"/>
  <c r="BR108" i="1"/>
  <c r="BT108" i="1" s="1"/>
  <c r="AZ107" i="1"/>
  <c r="BA107" i="1"/>
  <c r="BB107" i="1"/>
  <c r="BC107" i="1"/>
  <c r="BD107" i="1"/>
  <c r="BE107" i="1"/>
  <c r="BF107" i="1"/>
  <c r="BG107" i="1"/>
  <c r="BH107" i="1"/>
  <c r="BI107" i="1"/>
  <c r="BJ107" i="1"/>
  <c r="BK107" i="1"/>
  <c r="BL107" i="1"/>
  <c r="BM107" i="1"/>
  <c r="BN107" i="1"/>
  <c r="BO107" i="1"/>
  <c r="BP107" i="1"/>
  <c r="BQ107" i="1"/>
  <c r="BR107" i="1"/>
  <c r="BT107" i="1" s="1"/>
  <c r="AZ106" i="1"/>
  <c r="BA106" i="1"/>
  <c r="BB106" i="1"/>
  <c r="BC106" i="1"/>
  <c r="BD106" i="1"/>
  <c r="BE106" i="1"/>
  <c r="BF106" i="1"/>
  <c r="BG106" i="1"/>
  <c r="BH106" i="1"/>
  <c r="BI106" i="1"/>
  <c r="BJ106" i="1"/>
  <c r="BK106" i="1"/>
  <c r="BL106" i="1"/>
  <c r="BM106" i="1"/>
  <c r="BN106" i="1"/>
  <c r="BO106" i="1"/>
  <c r="BP106" i="1"/>
  <c r="BQ106" i="1"/>
  <c r="BR106" i="1"/>
  <c r="BT106" i="1" s="1"/>
  <c r="AZ105" i="1"/>
  <c r="BA105" i="1"/>
  <c r="BB105" i="1"/>
  <c r="BC105" i="1"/>
  <c r="BD105" i="1"/>
  <c r="BE105" i="1"/>
  <c r="BF105" i="1"/>
  <c r="BG105" i="1"/>
  <c r="BH105" i="1"/>
  <c r="BI105" i="1"/>
  <c r="BJ105" i="1"/>
  <c r="BK105" i="1"/>
  <c r="BL105" i="1"/>
  <c r="BM105" i="1"/>
  <c r="BN105" i="1"/>
  <c r="BO105" i="1"/>
  <c r="BP105" i="1"/>
  <c r="BQ105" i="1"/>
  <c r="BR105" i="1"/>
  <c r="BT105" i="1" s="1"/>
  <c r="AZ104" i="1"/>
  <c r="BA104" i="1"/>
  <c r="BB104" i="1"/>
  <c r="BC104" i="1"/>
  <c r="BD104" i="1"/>
  <c r="BE104" i="1"/>
  <c r="BF104" i="1"/>
  <c r="BG104" i="1"/>
  <c r="BH104" i="1"/>
  <c r="BI104" i="1"/>
  <c r="BJ104" i="1"/>
  <c r="BK104" i="1"/>
  <c r="BL104" i="1"/>
  <c r="BM104" i="1"/>
  <c r="BN104" i="1"/>
  <c r="BO104" i="1"/>
  <c r="BP104" i="1"/>
  <c r="BQ104" i="1"/>
  <c r="BR104" i="1"/>
  <c r="BT104" i="1" s="1"/>
  <c r="AZ103" i="1"/>
  <c r="BA103" i="1"/>
  <c r="BB103" i="1"/>
  <c r="BC103" i="1"/>
  <c r="BD103" i="1"/>
  <c r="BE103" i="1"/>
  <c r="BF103" i="1"/>
  <c r="BG103" i="1"/>
  <c r="BH103" i="1"/>
  <c r="BI103" i="1"/>
  <c r="BJ103" i="1"/>
  <c r="BK103" i="1"/>
  <c r="BL103" i="1"/>
  <c r="BM103" i="1"/>
  <c r="BN103" i="1"/>
  <c r="BO103" i="1"/>
  <c r="BP103" i="1"/>
  <c r="BQ103" i="1"/>
  <c r="BR103" i="1"/>
  <c r="BT103" i="1" s="1"/>
  <c r="AZ102" i="1"/>
  <c r="BA102" i="1"/>
  <c r="BB102" i="1"/>
  <c r="BC102" i="1"/>
  <c r="BD102" i="1"/>
  <c r="BE102" i="1"/>
  <c r="BF102" i="1"/>
  <c r="BG102" i="1"/>
  <c r="BH102" i="1"/>
  <c r="BI102" i="1"/>
  <c r="BJ102" i="1"/>
  <c r="BK102" i="1"/>
  <c r="BL102" i="1"/>
  <c r="BM102" i="1"/>
  <c r="BN102" i="1"/>
  <c r="BO102" i="1"/>
  <c r="BP102" i="1"/>
  <c r="BQ102" i="1"/>
  <c r="BR102" i="1"/>
  <c r="BT102" i="1" s="1"/>
  <c r="AY108" i="1"/>
  <c r="AY107" i="1"/>
  <c r="AY106" i="1"/>
  <c r="AY105" i="1"/>
  <c r="AY104" i="1"/>
  <c r="AY103" i="1"/>
  <c r="AY102" i="1"/>
  <c r="AZ94" i="1"/>
  <c r="BA94" i="1"/>
  <c r="BB94" i="1"/>
  <c r="BC94" i="1"/>
  <c r="BD94" i="1"/>
  <c r="BE94" i="1"/>
  <c r="BF94" i="1"/>
  <c r="BG94" i="1"/>
  <c r="BH94" i="1"/>
  <c r="BI94" i="1"/>
  <c r="BJ94" i="1"/>
  <c r="BK94" i="1"/>
  <c r="BL94" i="1"/>
  <c r="BM94" i="1"/>
  <c r="BN94" i="1"/>
  <c r="BO94" i="1"/>
  <c r="BP94" i="1"/>
  <c r="BQ94" i="1"/>
  <c r="BR94" i="1"/>
  <c r="BT94" i="1" s="1"/>
  <c r="AZ93" i="1"/>
  <c r="BA93" i="1"/>
  <c r="BB93" i="1"/>
  <c r="BC93" i="1"/>
  <c r="BD93" i="1"/>
  <c r="BE93" i="1"/>
  <c r="BF93" i="1"/>
  <c r="BG93" i="1"/>
  <c r="BH93" i="1"/>
  <c r="BI93" i="1"/>
  <c r="BJ93" i="1"/>
  <c r="BK93" i="1"/>
  <c r="BL93" i="1"/>
  <c r="BM93" i="1"/>
  <c r="BN93" i="1"/>
  <c r="BO93" i="1"/>
  <c r="BP93" i="1"/>
  <c r="BQ93" i="1"/>
  <c r="BR93" i="1"/>
  <c r="BT93" i="1" s="1"/>
  <c r="AZ92" i="1"/>
  <c r="BA92" i="1"/>
  <c r="BB92" i="1"/>
  <c r="BC92" i="1"/>
  <c r="BD92" i="1"/>
  <c r="BE92" i="1"/>
  <c r="BF92" i="1"/>
  <c r="BG92" i="1"/>
  <c r="BH92" i="1"/>
  <c r="BI92" i="1"/>
  <c r="BJ92" i="1"/>
  <c r="BK92" i="1"/>
  <c r="BL92" i="1"/>
  <c r="BM92" i="1"/>
  <c r="BN92" i="1"/>
  <c r="BO92" i="1"/>
  <c r="BP92" i="1"/>
  <c r="BQ92" i="1"/>
  <c r="BR92" i="1"/>
  <c r="BT92" i="1" s="1"/>
  <c r="AZ91" i="1"/>
  <c r="BA91" i="1"/>
  <c r="BB91" i="1"/>
  <c r="BC91" i="1"/>
  <c r="BD91" i="1"/>
  <c r="BE91" i="1"/>
  <c r="BF91" i="1"/>
  <c r="BG91" i="1"/>
  <c r="BH91" i="1"/>
  <c r="BI91" i="1"/>
  <c r="BJ91" i="1"/>
  <c r="BK91" i="1"/>
  <c r="BL91" i="1"/>
  <c r="BM91" i="1"/>
  <c r="BN91" i="1"/>
  <c r="BO91" i="1"/>
  <c r="BP91" i="1"/>
  <c r="BQ91" i="1"/>
  <c r="BR91" i="1"/>
  <c r="BT91" i="1" s="1"/>
  <c r="AZ90" i="1"/>
  <c r="BA90" i="1"/>
  <c r="BB90" i="1"/>
  <c r="BC90" i="1"/>
  <c r="BD90" i="1"/>
  <c r="BE90" i="1"/>
  <c r="BF90" i="1"/>
  <c r="BG90" i="1"/>
  <c r="BH90" i="1"/>
  <c r="BI90" i="1"/>
  <c r="BJ90" i="1"/>
  <c r="BK90" i="1"/>
  <c r="BL90" i="1"/>
  <c r="BM90" i="1"/>
  <c r="BN90" i="1"/>
  <c r="BO90" i="1"/>
  <c r="BP90" i="1"/>
  <c r="BQ90" i="1"/>
  <c r="BR90" i="1"/>
  <c r="BT90" i="1" s="1"/>
  <c r="AZ89" i="1"/>
  <c r="BA89" i="1"/>
  <c r="BB89" i="1"/>
  <c r="BC89" i="1"/>
  <c r="BD89" i="1"/>
  <c r="BE89" i="1"/>
  <c r="BF89" i="1"/>
  <c r="BG89" i="1"/>
  <c r="BH89" i="1"/>
  <c r="BI89" i="1"/>
  <c r="BJ89" i="1"/>
  <c r="BK89" i="1"/>
  <c r="BL89" i="1"/>
  <c r="BM89" i="1"/>
  <c r="BN89" i="1"/>
  <c r="BO89" i="1"/>
  <c r="BP89" i="1"/>
  <c r="BQ89" i="1"/>
  <c r="BR89" i="1"/>
  <c r="BT89" i="1" s="1"/>
  <c r="AZ88" i="1"/>
  <c r="BA88" i="1"/>
  <c r="BB88" i="1"/>
  <c r="BC88" i="1"/>
  <c r="BD88" i="1"/>
  <c r="BE88" i="1"/>
  <c r="BF88" i="1"/>
  <c r="BG88" i="1"/>
  <c r="BH88" i="1"/>
  <c r="BI88" i="1"/>
  <c r="BJ88" i="1"/>
  <c r="BK88" i="1"/>
  <c r="BL88" i="1"/>
  <c r="BM88" i="1"/>
  <c r="BN88" i="1"/>
  <c r="BO88" i="1"/>
  <c r="BP88" i="1"/>
  <c r="BQ88" i="1"/>
  <c r="BR88" i="1"/>
  <c r="BT88" i="1" s="1"/>
  <c r="AY94" i="1"/>
  <c r="AY93" i="1"/>
  <c r="AY92" i="1"/>
  <c r="AY91" i="1"/>
  <c r="AY90" i="1"/>
  <c r="AY89" i="1"/>
  <c r="AY88" i="1"/>
  <c r="AZ80" i="1"/>
  <c r="BA80" i="1"/>
  <c r="BB80" i="1"/>
  <c r="BC80" i="1"/>
  <c r="BD80" i="1"/>
  <c r="BE80" i="1"/>
  <c r="BF80" i="1"/>
  <c r="BG80" i="1"/>
  <c r="BH80" i="1"/>
  <c r="BI80" i="1"/>
  <c r="BJ80" i="1"/>
  <c r="BK80" i="1"/>
  <c r="BL80" i="1"/>
  <c r="BM80" i="1"/>
  <c r="BN80" i="1"/>
  <c r="BO80" i="1"/>
  <c r="BP80" i="1"/>
  <c r="BQ80" i="1"/>
  <c r="BR80" i="1"/>
  <c r="BT80" i="1" s="1"/>
  <c r="AZ79" i="1"/>
  <c r="BA79" i="1"/>
  <c r="BB79" i="1"/>
  <c r="BC79" i="1"/>
  <c r="BD79" i="1"/>
  <c r="BE79" i="1"/>
  <c r="BF79" i="1"/>
  <c r="BG79" i="1"/>
  <c r="BH79" i="1"/>
  <c r="BI79" i="1"/>
  <c r="BJ79" i="1"/>
  <c r="BK79" i="1"/>
  <c r="BL79" i="1"/>
  <c r="BM79" i="1"/>
  <c r="BN79" i="1"/>
  <c r="BO79" i="1"/>
  <c r="BP79" i="1"/>
  <c r="BQ79" i="1"/>
  <c r="BR79" i="1"/>
  <c r="BT79" i="1" s="1"/>
  <c r="AZ78" i="1"/>
  <c r="BA78" i="1"/>
  <c r="BB78" i="1"/>
  <c r="BC78" i="1"/>
  <c r="BD78" i="1"/>
  <c r="BE78" i="1"/>
  <c r="BF78" i="1"/>
  <c r="BG78" i="1"/>
  <c r="BH78" i="1"/>
  <c r="BI78" i="1"/>
  <c r="BJ78" i="1"/>
  <c r="BK78" i="1"/>
  <c r="BL78" i="1"/>
  <c r="BM78" i="1"/>
  <c r="BN78" i="1"/>
  <c r="BO78" i="1"/>
  <c r="BP78" i="1"/>
  <c r="BQ78" i="1"/>
  <c r="BR78" i="1"/>
  <c r="BT78" i="1" s="1"/>
  <c r="AZ77" i="1"/>
  <c r="BA77" i="1"/>
  <c r="BB77" i="1"/>
  <c r="BC77" i="1"/>
  <c r="BD77" i="1"/>
  <c r="BE77" i="1"/>
  <c r="BF77" i="1"/>
  <c r="BG77" i="1"/>
  <c r="BH77" i="1"/>
  <c r="BI77" i="1"/>
  <c r="BJ77" i="1"/>
  <c r="BK77" i="1"/>
  <c r="BL77" i="1"/>
  <c r="BM77" i="1"/>
  <c r="BN77" i="1"/>
  <c r="BO77" i="1"/>
  <c r="BP77" i="1"/>
  <c r="BQ77" i="1"/>
  <c r="BR77" i="1"/>
  <c r="BT77" i="1" s="1"/>
  <c r="AZ76" i="1"/>
  <c r="BA76" i="1"/>
  <c r="BB76" i="1"/>
  <c r="BC76" i="1"/>
  <c r="BD76" i="1"/>
  <c r="BE76" i="1"/>
  <c r="BF76" i="1"/>
  <c r="BG76" i="1"/>
  <c r="BH76" i="1"/>
  <c r="BI76" i="1"/>
  <c r="BJ76" i="1"/>
  <c r="BK76" i="1"/>
  <c r="BL76" i="1"/>
  <c r="BM76" i="1"/>
  <c r="BN76" i="1"/>
  <c r="BO76" i="1"/>
  <c r="BP76" i="1"/>
  <c r="BQ76" i="1"/>
  <c r="BR76" i="1"/>
  <c r="BT76" i="1" s="1"/>
  <c r="AZ75" i="1"/>
  <c r="BA75" i="1"/>
  <c r="BB75" i="1"/>
  <c r="BC75" i="1"/>
  <c r="BD75" i="1"/>
  <c r="BE75" i="1"/>
  <c r="BF75" i="1"/>
  <c r="BG75" i="1"/>
  <c r="BH75" i="1"/>
  <c r="BI75" i="1"/>
  <c r="BJ75" i="1"/>
  <c r="BK75" i="1"/>
  <c r="BL75" i="1"/>
  <c r="BM75" i="1"/>
  <c r="BN75" i="1"/>
  <c r="BO75" i="1"/>
  <c r="BP75" i="1"/>
  <c r="BQ75" i="1"/>
  <c r="BR75" i="1"/>
  <c r="BT75" i="1" s="1"/>
  <c r="AZ74" i="1"/>
  <c r="BA74" i="1"/>
  <c r="BB74" i="1"/>
  <c r="BC74" i="1"/>
  <c r="BD74" i="1"/>
  <c r="BE74" i="1"/>
  <c r="BF74" i="1"/>
  <c r="BG74" i="1"/>
  <c r="BH74" i="1"/>
  <c r="BI74" i="1"/>
  <c r="BJ74" i="1"/>
  <c r="BK74" i="1"/>
  <c r="BL74" i="1"/>
  <c r="BM74" i="1"/>
  <c r="BN74" i="1"/>
  <c r="BO74" i="1"/>
  <c r="BP74" i="1"/>
  <c r="BQ74" i="1"/>
  <c r="BR74" i="1"/>
  <c r="BT74" i="1" s="1"/>
  <c r="AY80" i="1"/>
  <c r="AY79" i="1"/>
  <c r="AY78" i="1"/>
  <c r="AY77" i="1"/>
  <c r="AY76" i="1"/>
  <c r="AY75" i="1"/>
  <c r="AY74" i="1"/>
  <c r="AZ66" i="1"/>
  <c r="BA66" i="1"/>
  <c r="BB66" i="1"/>
  <c r="BC66" i="1"/>
  <c r="BD66" i="1"/>
  <c r="BE66" i="1"/>
  <c r="BF66" i="1"/>
  <c r="BG66" i="1"/>
  <c r="BH66" i="1"/>
  <c r="BI66" i="1"/>
  <c r="BJ66" i="1"/>
  <c r="BK66" i="1"/>
  <c r="BL66" i="1"/>
  <c r="BM66" i="1"/>
  <c r="BN66" i="1"/>
  <c r="BO66" i="1"/>
  <c r="BP66" i="1"/>
  <c r="BQ66" i="1"/>
  <c r="BR66" i="1"/>
  <c r="BT66" i="1" s="1"/>
  <c r="AZ65" i="1"/>
  <c r="BA65" i="1"/>
  <c r="BB65" i="1"/>
  <c r="BC65" i="1"/>
  <c r="BD65" i="1"/>
  <c r="BE65" i="1"/>
  <c r="BF65" i="1"/>
  <c r="BG65" i="1"/>
  <c r="BH65" i="1"/>
  <c r="BI65" i="1"/>
  <c r="BJ65" i="1"/>
  <c r="BK65" i="1"/>
  <c r="BL65" i="1"/>
  <c r="BM65" i="1"/>
  <c r="BN65" i="1"/>
  <c r="BO65" i="1"/>
  <c r="BP65" i="1"/>
  <c r="BQ65" i="1"/>
  <c r="BR65" i="1"/>
  <c r="BT65" i="1" s="1"/>
  <c r="AZ64" i="1"/>
  <c r="BA64" i="1"/>
  <c r="BB64" i="1"/>
  <c r="BC64" i="1"/>
  <c r="BD64" i="1"/>
  <c r="BE64" i="1"/>
  <c r="BF64" i="1"/>
  <c r="BG64" i="1"/>
  <c r="BH64" i="1"/>
  <c r="BI64" i="1"/>
  <c r="BJ64" i="1"/>
  <c r="BK64" i="1"/>
  <c r="BL64" i="1"/>
  <c r="BM64" i="1"/>
  <c r="BN64" i="1"/>
  <c r="BO64" i="1"/>
  <c r="BP64" i="1"/>
  <c r="BQ64" i="1"/>
  <c r="BR64" i="1"/>
  <c r="BT64" i="1" s="1"/>
  <c r="AZ63" i="1"/>
  <c r="BA63" i="1"/>
  <c r="BB63" i="1"/>
  <c r="BC63" i="1"/>
  <c r="BD63" i="1"/>
  <c r="BE63" i="1"/>
  <c r="BF63" i="1"/>
  <c r="BG63" i="1"/>
  <c r="BH63" i="1"/>
  <c r="BI63" i="1"/>
  <c r="BJ63" i="1"/>
  <c r="BK63" i="1"/>
  <c r="BL63" i="1"/>
  <c r="BM63" i="1"/>
  <c r="BN63" i="1"/>
  <c r="BO63" i="1"/>
  <c r="BP63" i="1"/>
  <c r="BQ63" i="1"/>
  <c r="BR63" i="1"/>
  <c r="BT63" i="1" s="1"/>
  <c r="AZ62" i="1"/>
  <c r="BA62" i="1"/>
  <c r="BB62" i="1"/>
  <c r="BC62" i="1"/>
  <c r="BD62" i="1"/>
  <c r="BE62" i="1"/>
  <c r="BF62" i="1"/>
  <c r="BG62" i="1"/>
  <c r="BH62" i="1"/>
  <c r="BI62" i="1"/>
  <c r="BJ62" i="1"/>
  <c r="BK62" i="1"/>
  <c r="BL62" i="1"/>
  <c r="BM62" i="1"/>
  <c r="BN62" i="1"/>
  <c r="BO62" i="1"/>
  <c r="BP62" i="1"/>
  <c r="BQ62" i="1"/>
  <c r="BR62" i="1"/>
  <c r="BT62" i="1" s="1"/>
  <c r="AZ61" i="1"/>
  <c r="BA61" i="1"/>
  <c r="BB61" i="1"/>
  <c r="BC61" i="1"/>
  <c r="BD61" i="1"/>
  <c r="BE61" i="1"/>
  <c r="BF61" i="1"/>
  <c r="BG61" i="1"/>
  <c r="BH61" i="1"/>
  <c r="BI61" i="1"/>
  <c r="BJ61" i="1"/>
  <c r="BK61" i="1"/>
  <c r="BL61" i="1"/>
  <c r="BM61" i="1"/>
  <c r="BN61" i="1"/>
  <c r="BO61" i="1"/>
  <c r="BP61" i="1"/>
  <c r="BQ61" i="1"/>
  <c r="BR61" i="1"/>
  <c r="BT61" i="1" s="1"/>
  <c r="AZ60" i="1"/>
  <c r="BA60" i="1"/>
  <c r="BB60" i="1"/>
  <c r="BC60" i="1"/>
  <c r="BD60" i="1"/>
  <c r="BE60" i="1"/>
  <c r="BF60" i="1"/>
  <c r="BG60" i="1"/>
  <c r="BH60" i="1"/>
  <c r="BI60" i="1"/>
  <c r="BJ60" i="1"/>
  <c r="BK60" i="1"/>
  <c r="BL60" i="1"/>
  <c r="BM60" i="1"/>
  <c r="BN60" i="1"/>
  <c r="BO60" i="1"/>
  <c r="BP60" i="1"/>
  <c r="BQ60" i="1"/>
  <c r="BR60" i="1"/>
  <c r="AY66" i="1"/>
  <c r="AY65" i="1"/>
  <c r="AY64" i="1"/>
  <c r="AY63" i="1"/>
  <c r="AY62" i="1"/>
  <c r="AY61" i="1"/>
  <c r="AY60" i="1"/>
  <c r="AZ52" i="1"/>
  <c r="BA52" i="1"/>
  <c r="BB52" i="1"/>
  <c r="BC52" i="1"/>
  <c r="BD52" i="1"/>
  <c r="BE52" i="1"/>
  <c r="BF52" i="1"/>
  <c r="BG52" i="1"/>
  <c r="BH52" i="1"/>
  <c r="BI52" i="1"/>
  <c r="BJ52" i="1"/>
  <c r="BK52" i="1"/>
  <c r="BL52" i="1"/>
  <c r="BM52" i="1"/>
  <c r="BN52" i="1"/>
  <c r="BO52" i="1"/>
  <c r="BP52" i="1"/>
  <c r="BQ52" i="1"/>
  <c r="BR52" i="1"/>
  <c r="BT52" i="1" s="1"/>
  <c r="AZ51" i="1"/>
  <c r="BA51" i="1"/>
  <c r="BB51" i="1"/>
  <c r="BC51" i="1"/>
  <c r="BD51" i="1"/>
  <c r="BE51" i="1"/>
  <c r="BF51" i="1"/>
  <c r="BG51" i="1"/>
  <c r="BH51" i="1"/>
  <c r="BI51" i="1"/>
  <c r="BJ51" i="1"/>
  <c r="BK51" i="1"/>
  <c r="BL51" i="1"/>
  <c r="BM51" i="1"/>
  <c r="BN51" i="1"/>
  <c r="BO51" i="1"/>
  <c r="BP51" i="1"/>
  <c r="BQ51" i="1"/>
  <c r="BR51" i="1"/>
  <c r="BT51" i="1" s="1"/>
  <c r="AZ50" i="1"/>
  <c r="BA50" i="1"/>
  <c r="BB50" i="1"/>
  <c r="BC50" i="1"/>
  <c r="BD50" i="1"/>
  <c r="BE50" i="1"/>
  <c r="BF50" i="1"/>
  <c r="BG50" i="1"/>
  <c r="BH50" i="1"/>
  <c r="BI50" i="1"/>
  <c r="BJ50" i="1"/>
  <c r="BK50" i="1"/>
  <c r="BL50" i="1"/>
  <c r="BM50" i="1"/>
  <c r="BN50" i="1"/>
  <c r="BO50" i="1"/>
  <c r="BP50" i="1"/>
  <c r="BQ50" i="1"/>
  <c r="BR50" i="1"/>
  <c r="BT50" i="1" s="1"/>
  <c r="AZ49" i="1"/>
  <c r="BA49" i="1"/>
  <c r="BB49" i="1"/>
  <c r="BC49" i="1"/>
  <c r="BD49" i="1"/>
  <c r="BE49" i="1"/>
  <c r="BF49" i="1"/>
  <c r="BG49" i="1"/>
  <c r="BH49" i="1"/>
  <c r="BI49" i="1"/>
  <c r="BJ49" i="1"/>
  <c r="BK49" i="1"/>
  <c r="BL49" i="1"/>
  <c r="BM49" i="1"/>
  <c r="BN49" i="1"/>
  <c r="BO49" i="1"/>
  <c r="BP49" i="1"/>
  <c r="BQ49" i="1"/>
  <c r="BR49" i="1"/>
  <c r="BT49" i="1" s="1"/>
  <c r="AZ48" i="1"/>
  <c r="BA48" i="1"/>
  <c r="BB48" i="1"/>
  <c r="BC48" i="1"/>
  <c r="BD48" i="1"/>
  <c r="BE48" i="1"/>
  <c r="BF48" i="1"/>
  <c r="BG48" i="1"/>
  <c r="BH48" i="1"/>
  <c r="BI48" i="1"/>
  <c r="BJ48" i="1"/>
  <c r="BK48" i="1"/>
  <c r="BL48" i="1"/>
  <c r="BM48" i="1"/>
  <c r="BN48" i="1"/>
  <c r="BO48" i="1"/>
  <c r="BP48" i="1"/>
  <c r="BQ48" i="1"/>
  <c r="BR48" i="1"/>
  <c r="BT48" i="1" s="1"/>
  <c r="AZ47" i="1"/>
  <c r="BA47" i="1"/>
  <c r="BB47" i="1"/>
  <c r="BC47" i="1"/>
  <c r="BD47" i="1"/>
  <c r="BE47" i="1"/>
  <c r="BF47" i="1"/>
  <c r="BG47" i="1"/>
  <c r="BH47" i="1"/>
  <c r="BI47" i="1"/>
  <c r="BJ47" i="1"/>
  <c r="BK47" i="1"/>
  <c r="BL47" i="1"/>
  <c r="BM47" i="1"/>
  <c r="BN47" i="1"/>
  <c r="BO47" i="1"/>
  <c r="BP47" i="1"/>
  <c r="BQ47" i="1"/>
  <c r="BR47" i="1"/>
  <c r="BT47" i="1" s="1"/>
  <c r="AZ46" i="1"/>
  <c r="BA46" i="1"/>
  <c r="BB46" i="1"/>
  <c r="BC46" i="1"/>
  <c r="BD46" i="1"/>
  <c r="BE46" i="1"/>
  <c r="BF46" i="1"/>
  <c r="BG46" i="1"/>
  <c r="BH46" i="1"/>
  <c r="BI46" i="1"/>
  <c r="BJ46" i="1"/>
  <c r="BK46" i="1"/>
  <c r="BL46" i="1"/>
  <c r="BM46" i="1"/>
  <c r="BN46" i="1"/>
  <c r="BO46" i="1"/>
  <c r="BP46" i="1"/>
  <c r="BQ46" i="1"/>
  <c r="BR46" i="1"/>
  <c r="BT46" i="1" s="1"/>
  <c r="AY52" i="1"/>
  <c r="AY51" i="1"/>
  <c r="AY50" i="1"/>
  <c r="AY49" i="1"/>
  <c r="AY48" i="1"/>
  <c r="AY47" i="1"/>
  <c r="AY46" i="1"/>
  <c r="AZ38" i="1"/>
  <c r="BA38" i="1"/>
  <c r="BB38" i="1"/>
  <c r="BC38" i="1"/>
  <c r="BD38" i="1"/>
  <c r="BE38" i="1"/>
  <c r="BF38" i="1"/>
  <c r="BG38" i="1"/>
  <c r="BH38" i="1"/>
  <c r="BI38" i="1"/>
  <c r="BJ38" i="1"/>
  <c r="BK38" i="1"/>
  <c r="BL38" i="1"/>
  <c r="BM38" i="1"/>
  <c r="BN38" i="1"/>
  <c r="BO38" i="1"/>
  <c r="BP38" i="1"/>
  <c r="BQ38" i="1"/>
  <c r="BR38" i="1"/>
  <c r="BT38" i="1" s="1"/>
  <c r="AZ37" i="1"/>
  <c r="BA37" i="1"/>
  <c r="BB37" i="1"/>
  <c r="BC37" i="1"/>
  <c r="BD37" i="1"/>
  <c r="BE37" i="1"/>
  <c r="BF37" i="1"/>
  <c r="BG37" i="1"/>
  <c r="BH37" i="1"/>
  <c r="BI37" i="1"/>
  <c r="BJ37" i="1"/>
  <c r="BK37" i="1"/>
  <c r="BL37" i="1"/>
  <c r="BM37" i="1"/>
  <c r="BN37" i="1"/>
  <c r="BO37" i="1"/>
  <c r="BP37" i="1"/>
  <c r="BQ37" i="1"/>
  <c r="BR37" i="1"/>
  <c r="BT37" i="1" s="1"/>
  <c r="AZ36" i="1"/>
  <c r="BA36" i="1"/>
  <c r="BB36" i="1"/>
  <c r="BC36" i="1"/>
  <c r="BD36" i="1"/>
  <c r="BE36" i="1"/>
  <c r="BF36" i="1"/>
  <c r="BG36" i="1"/>
  <c r="BH36" i="1"/>
  <c r="BI36" i="1"/>
  <c r="BJ36" i="1"/>
  <c r="BK36" i="1"/>
  <c r="BL36" i="1"/>
  <c r="BM36" i="1"/>
  <c r="BN36" i="1"/>
  <c r="BO36" i="1"/>
  <c r="BP36" i="1"/>
  <c r="BQ36" i="1"/>
  <c r="BR36" i="1"/>
  <c r="BT36" i="1" s="1"/>
  <c r="AZ35" i="1"/>
  <c r="BA35" i="1"/>
  <c r="BB35" i="1"/>
  <c r="BC35" i="1"/>
  <c r="BD35" i="1"/>
  <c r="BE35" i="1"/>
  <c r="BF35" i="1"/>
  <c r="BG35" i="1"/>
  <c r="BH35" i="1"/>
  <c r="BI35" i="1"/>
  <c r="BJ35" i="1"/>
  <c r="BK35" i="1"/>
  <c r="BL35" i="1"/>
  <c r="BM35" i="1"/>
  <c r="BN35" i="1"/>
  <c r="BO35" i="1"/>
  <c r="BP35" i="1"/>
  <c r="BQ35" i="1"/>
  <c r="BR35" i="1"/>
  <c r="BT35" i="1" s="1"/>
  <c r="AZ34" i="1"/>
  <c r="BA34" i="1"/>
  <c r="BB34" i="1"/>
  <c r="BC34" i="1"/>
  <c r="BD34" i="1"/>
  <c r="BE34" i="1"/>
  <c r="BF34" i="1"/>
  <c r="BG34" i="1"/>
  <c r="BH34" i="1"/>
  <c r="BI34" i="1"/>
  <c r="BJ34" i="1"/>
  <c r="BK34" i="1"/>
  <c r="BL34" i="1"/>
  <c r="BM34" i="1"/>
  <c r="BN34" i="1"/>
  <c r="BO34" i="1"/>
  <c r="BP34" i="1"/>
  <c r="BQ34" i="1"/>
  <c r="BR34" i="1"/>
  <c r="BT34" i="1" s="1"/>
  <c r="AZ33" i="1"/>
  <c r="BA33" i="1"/>
  <c r="BB33" i="1"/>
  <c r="BC33" i="1"/>
  <c r="BD33" i="1"/>
  <c r="BE33" i="1"/>
  <c r="BF33" i="1"/>
  <c r="BG33" i="1"/>
  <c r="BH33" i="1"/>
  <c r="BI33" i="1"/>
  <c r="BJ33" i="1"/>
  <c r="BK33" i="1"/>
  <c r="BL33" i="1"/>
  <c r="BM33" i="1"/>
  <c r="BN33" i="1"/>
  <c r="BO33" i="1"/>
  <c r="BP33" i="1"/>
  <c r="BQ33" i="1"/>
  <c r="BR33" i="1"/>
  <c r="BT33" i="1" s="1"/>
  <c r="AZ32" i="1"/>
  <c r="BA32" i="1"/>
  <c r="BB32" i="1"/>
  <c r="BC32" i="1"/>
  <c r="BD32" i="1"/>
  <c r="BE32" i="1"/>
  <c r="BF32" i="1"/>
  <c r="BG32" i="1"/>
  <c r="BH32" i="1"/>
  <c r="BI32" i="1"/>
  <c r="BJ32" i="1"/>
  <c r="BK32" i="1"/>
  <c r="BL32" i="1"/>
  <c r="BM32" i="1"/>
  <c r="BN32" i="1"/>
  <c r="BO32" i="1"/>
  <c r="BP32" i="1"/>
  <c r="BQ32" i="1"/>
  <c r="BR32" i="1"/>
  <c r="BT32" i="1" s="1"/>
  <c r="AY37" i="1"/>
  <c r="AY38" i="1"/>
  <c r="AY36" i="1"/>
  <c r="AY35" i="1"/>
  <c r="AY34" i="1"/>
  <c r="AY33" i="1"/>
  <c r="AY32" i="1"/>
  <c r="AZ24" i="1"/>
  <c r="BA24" i="1"/>
  <c r="BB24" i="1"/>
  <c r="BC24" i="1"/>
  <c r="BD24" i="1"/>
  <c r="BE24" i="1"/>
  <c r="BF24" i="1"/>
  <c r="BG24" i="1"/>
  <c r="BH24" i="1"/>
  <c r="BI24" i="1"/>
  <c r="BJ24" i="1"/>
  <c r="BK24" i="1"/>
  <c r="BL24" i="1"/>
  <c r="BM24" i="1"/>
  <c r="BN24" i="1"/>
  <c r="BO24" i="1"/>
  <c r="BP24" i="1"/>
  <c r="BQ24" i="1"/>
  <c r="BR24" i="1"/>
  <c r="BT24" i="1" s="1"/>
  <c r="AZ23" i="1"/>
  <c r="BA23" i="1"/>
  <c r="BB23" i="1"/>
  <c r="BC23" i="1"/>
  <c r="BD23" i="1"/>
  <c r="BE23" i="1"/>
  <c r="BF23" i="1"/>
  <c r="BG23" i="1"/>
  <c r="BH23" i="1"/>
  <c r="BI23" i="1"/>
  <c r="BJ23" i="1"/>
  <c r="BK23" i="1"/>
  <c r="BL23" i="1"/>
  <c r="BM23" i="1"/>
  <c r="BN23" i="1"/>
  <c r="BO23" i="1"/>
  <c r="BP23" i="1"/>
  <c r="BQ23" i="1"/>
  <c r="BR23" i="1"/>
  <c r="BT23" i="1" s="1"/>
  <c r="AY24" i="1"/>
  <c r="AY23" i="1"/>
  <c r="AZ22" i="1"/>
  <c r="BA22" i="1"/>
  <c r="BB22" i="1"/>
  <c r="BC22" i="1"/>
  <c r="BD22" i="1"/>
  <c r="BE22" i="1"/>
  <c r="BF22" i="1"/>
  <c r="BG22" i="1"/>
  <c r="BH22" i="1"/>
  <c r="BI22" i="1"/>
  <c r="BJ22" i="1"/>
  <c r="BK22" i="1"/>
  <c r="BL22" i="1"/>
  <c r="BM22" i="1"/>
  <c r="BN22" i="1"/>
  <c r="BO22" i="1"/>
  <c r="BP22" i="1"/>
  <c r="BQ22" i="1"/>
  <c r="BR22" i="1"/>
  <c r="BT22" i="1" s="1"/>
  <c r="AY22" i="1"/>
  <c r="AZ21" i="1"/>
  <c r="BA21" i="1"/>
  <c r="BB21" i="1"/>
  <c r="BC21" i="1"/>
  <c r="BD21" i="1"/>
  <c r="BE21" i="1"/>
  <c r="BF21" i="1"/>
  <c r="BG21" i="1"/>
  <c r="BH21" i="1"/>
  <c r="BI21" i="1"/>
  <c r="BJ21" i="1"/>
  <c r="BK21" i="1"/>
  <c r="BL21" i="1"/>
  <c r="BM21" i="1"/>
  <c r="BN21" i="1"/>
  <c r="BO21" i="1"/>
  <c r="BP21" i="1"/>
  <c r="BQ21" i="1"/>
  <c r="BR21" i="1"/>
  <c r="BT21" i="1" s="1"/>
  <c r="AY21" i="1"/>
  <c r="AZ20" i="1"/>
  <c r="BA20" i="1"/>
  <c r="BB20" i="1"/>
  <c r="BC20" i="1"/>
  <c r="BD20" i="1"/>
  <c r="BE20" i="1"/>
  <c r="BF20" i="1"/>
  <c r="BG20" i="1"/>
  <c r="BH20" i="1"/>
  <c r="BI20" i="1"/>
  <c r="BJ20" i="1"/>
  <c r="BK20" i="1"/>
  <c r="BL20" i="1"/>
  <c r="BM20" i="1"/>
  <c r="BN20" i="1"/>
  <c r="BO20" i="1"/>
  <c r="BP20" i="1"/>
  <c r="BQ20" i="1"/>
  <c r="BR20" i="1"/>
  <c r="BT20" i="1" s="1"/>
  <c r="AY20" i="1"/>
  <c r="AZ19" i="1"/>
  <c r="BA19" i="1"/>
  <c r="BB19" i="1"/>
  <c r="BC19" i="1"/>
  <c r="BD19" i="1"/>
  <c r="BE19" i="1"/>
  <c r="BF19" i="1"/>
  <c r="BG19" i="1"/>
  <c r="BH19" i="1"/>
  <c r="BI19" i="1"/>
  <c r="BJ19" i="1"/>
  <c r="BK19" i="1"/>
  <c r="BL19" i="1"/>
  <c r="BM19" i="1"/>
  <c r="BN19" i="1"/>
  <c r="BO19" i="1"/>
  <c r="BP19" i="1"/>
  <c r="BQ19" i="1"/>
  <c r="BR19" i="1"/>
  <c r="BT19" i="1" s="1"/>
  <c r="AY19" i="1"/>
  <c r="AZ18" i="1"/>
  <c r="BA18" i="1"/>
  <c r="BB18" i="1"/>
  <c r="BC18" i="1"/>
  <c r="BD18" i="1"/>
  <c r="BE18" i="1"/>
  <c r="BF18" i="1"/>
  <c r="BG18" i="1"/>
  <c r="BH18" i="1"/>
  <c r="BI18" i="1"/>
  <c r="BJ18" i="1"/>
  <c r="BK18" i="1"/>
  <c r="BL18" i="1"/>
  <c r="BM18" i="1"/>
  <c r="BN18" i="1"/>
  <c r="BO18" i="1"/>
  <c r="BP18" i="1"/>
  <c r="BQ18" i="1"/>
  <c r="BR18" i="1"/>
  <c r="BT18" i="1" s="1"/>
  <c r="AY18" i="1"/>
  <c r="AZ10" i="1"/>
  <c r="BA10" i="1"/>
  <c r="BB10" i="1"/>
  <c r="BC10" i="1"/>
  <c r="BD10" i="1"/>
  <c r="BE10" i="1"/>
  <c r="BF10" i="1"/>
  <c r="BG10" i="1"/>
  <c r="BH10" i="1"/>
  <c r="BI10" i="1"/>
  <c r="BJ10" i="1"/>
  <c r="BK10" i="1"/>
  <c r="BL10" i="1"/>
  <c r="BM10" i="1"/>
  <c r="BN10" i="1"/>
  <c r="BO10" i="1"/>
  <c r="BP10" i="1"/>
  <c r="BQ10" i="1"/>
  <c r="BR10" i="1"/>
  <c r="BT10" i="1" s="1"/>
  <c r="AZ9" i="1"/>
  <c r="BA9" i="1"/>
  <c r="BB9" i="1"/>
  <c r="BC9" i="1"/>
  <c r="BD9" i="1"/>
  <c r="BE9" i="1"/>
  <c r="BF9" i="1"/>
  <c r="BG9" i="1"/>
  <c r="BH9" i="1"/>
  <c r="BI9" i="1"/>
  <c r="BJ9" i="1"/>
  <c r="BK9" i="1"/>
  <c r="BL9" i="1"/>
  <c r="BM9" i="1"/>
  <c r="BN9" i="1"/>
  <c r="BO9" i="1"/>
  <c r="BP9" i="1"/>
  <c r="BQ9" i="1"/>
  <c r="BR9" i="1"/>
  <c r="BT9" i="1" s="1"/>
  <c r="AZ8" i="1"/>
  <c r="BA8" i="1"/>
  <c r="BB8" i="1"/>
  <c r="BC8" i="1"/>
  <c r="BD8" i="1"/>
  <c r="BE8" i="1"/>
  <c r="BF8" i="1"/>
  <c r="BG8" i="1"/>
  <c r="BH8" i="1"/>
  <c r="BI8" i="1"/>
  <c r="BJ8" i="1"/>
  <c r="BK8" i="1"/>
  <c r="BL8" i="1"/>
  <c r="BM8" i="1"/>
  <c r="BN8" i="1"/>
  <c r="BO8" i="1"/>
  <c r="BP8" i="1"/>
  <c r="BQ8" i="1"/>
  <c r="BR8" i="1"/>
  <c r="BT8" i="1" s="1"/>
  <c r="AZ7" i="1"/>
  <c r="BA7" i="1"/>
  <c r="BB7" i="1"/>
  <c r="BC7" i="1"/>
  <c r="BD7" i="1"/>
  <c r="BE7" i="1"/>
  <c r="BF7" i="1"/>
  <c r="BG7" i="1"/>
  <c r="BH7" i="1"/>
  <c r="BI7" i="1"/>
  <c r="BJ7" i="1"/>
  <c r="BK7" i="1"/>
  <c r="BL7" i="1"/>
  <c r="BM7" i="1"/>
  <c r="BN7" i="1"/>
  <c r="BO7" i="1"/>
  <c r="BP7" i="1"/>
  <c r="BQ7" i="1"/>
  <c r="BR7" i="1"/>
  <c r="BT7" i="1" s="1"/>
  <c r="AZ6" i="1"/>
  <c r="BA6" i="1"/>
  <c r="BB6" i="1"/>
  <c r="BC6" i="1"/>
  <c r="BD6" i="1"/>
  <c r="BE6" i="1"/>
  <c r="BF6" i="1"/>
  <c r="BG6" i="1"/>
  <c r="BH6" i="1"/>
  <c r="BI6" i="1"/>
  <c r="BJ6" i="1"/>
  <c r="BK6" i="1"/>
  <c r="BL6" i="1"/>
  <c r="BM6" i="1"/>
  <c r="BN6" i="1"/>
  <c r="BO6" i="1"/>
  <c r="BP6" i="1"/>
  <c r="BQ6" i="1"/>
  <c r="BR6" i="1"/>
  <c r="BT6" i="1" s="1"/>
  <c r="AY10" i="1"/>
  <c r="AY9" i="1"/>
  <c r="AY8" i="1"/>
  <c r="AY7" i="1"/>
  <c r="AY6" i="1"/>
  <c r="AY5" i="1"/>
  <c r="AZ5" i="1"/>
  <c r="BA5" i="1"/>
  <c r="BB5" i="1"/>
  <c r="BC5" i="1"/>
  <c r="BD5" i="1"/>
  <c r="BE5" i="1"/>
  <c r="BF5" i="1"/>
  <c r="BG5" i="1"/>
  <c r="BH5" i="1"/>
  <c r="BI5" i="1"/>
  <c r="BJ5" i="1"/>
  <c r="BK5" i="1"/>
  <c r="BL5" i="1"/>
  <c r="BM5" i="1"/>
  <c r="BN5" i="1"/>
  <c r="BO5" i="1"/>
  <c r="BP5" i="1"/>
  <c r="BQ5" i="1"/>
  <c r="BR5" i="1"/>
  <c r="BT5" i="1" s="1"/>
  <c r="BR4" i="1"/>
  <c r="BT4" i="1" s="1"/>
  <c r="AZ4" i="1"/>
  <c r="BA4" i="1"/>
  <c r="BB4" i="1"/>
  <c r="BC4" i="1"/>
  <c r="BD4" i="1"/>
  <c r="BE4" i="1"/>
  <c r="BF4" i="1"/>
  <c r="BG4" i="1"/>
  <c r="BH4" i="1"/>
  <c r="BI4" i="1"/>
  <c r="BJ4" i="1"/>
  <c r="BK4" i="1"/>
  <c r="BL4" i="1"/>
  <c r="BM4" i="1"/>
  <c r="BN4" i="1"/>
  <c r="BO4" i="1"/>
  <c r="BP4" i="1"/>
  <c r="BQ4" i="1"/>
  <c r="AY4" i="1"/>
  <c r="V137" i="1"/>
  <c r="V152" i="1" s="1"/>
  <c r="T137" i="1"/>
  <c r="T152" i="1" s="1"/>
  <c r="S137" i="1"/>
  <c r="S152" i="1" s="1"/>
  <c r="R137" i="1"/>
  <c r="R152" i="1" s="1"/>
  <c r="P137" i="1"/>
  <c r="P152" i="1" s="1"/>
  <c r="O137" i="1"/>
  <c r="O152" i="1" s="1"/>
  <c r="N137" i="1"/>
  <c r="N152" i="1" s="1"/>
  <c r="Q137" i="1"/>
  <c r="Q152" i="1" s="1"/>
  <c r="M137" i="1"/>
  <c r="M152" i="1" s="1"/>
  <c r="L137" i="1"/>
  <c r="K137" i="1"/>
  <c r="K152" i="1" s="1"/>
  <c r="J137" i="1"/>
  <c r="J152" i="1" s="1"/>
  <c r="I137" i="1"/>
  <c r="I152" i="1" s="1"/>
  <c r="H137" i="1"/>
  <c r="H152" i="1" s="1"/>
  <c r="G137" i="1"/>
  <c r="G152" i="1" s="1"/>
  <c r="F137" i="1"/>
  <c r="F152" i="1" s="1"/>
  <c r="E137" i="1"/>
  <c r="E152" i="1" s="1"/>
  <c r="D137" i="1"/>
  <c r="D152" i="1" s="1"/>
  <c r="C137" i="1"/>
  <c r="B137" i="1"/>
  <c r="V123" i="1"/>
  <c r="T123" i="1"/>
  <c r="S123" i="1"/>
  <c r="R123" i="1"/>
  <c r="P123" i="1"/>
  <c r="O123" i="1"/>
  <c r="N123" i="1"/>
  <c r="Q123" i="1"/>
  <c r="M123" i="1"/>
  <c r="L123" i="1"/>
  <c r="K123" i="1"/>
  <c r="J123" i="1"/>
  <c r="I123" i="1"/>
  <c r="H123" i="1"/>
  <c r="G123" i="1"/>
  <c r="F123" i="1"/>
  <c r="E123" i="1"/>
  <c r="D123" i="1"/>
  <c r="C123" i="1"/>
  <c r="B123" i="1"/>
  <c r="W123" i="1"/>
  <c r="V109" i="1"/>
  <c r="T109" i="1"/>
  <c r="S109" i="1"/>
  <c r="R109" i="1"/>
  <c r="P109" i="1"/>
  <c r="O109" i="1"/>
  <c r="N109" i="1"/>
  <c r="Q109" i="1"/>
  <c r="M109" i="1"/>
  <c r="L109" i="1"/>
  <c r="K109" i="1"/>
  <c r="J109" i="1"/>
  <c r="I109" i="1"/>
  <c r="H109" i="1"/>
  <c r="G109" i="1"/>
  <c r="F109" i="1"/>
  <c r="E109" i="1"/>
  <c r="D109" i="1"/>
  <c r="C109" i="1"/>
  <c r="B109" i="1"/>
  <c r="V95" i="1"/>
  <c r="T95" i="1"/>
  <c r="S95" i="1"/>
  <c r="R95" i="1"/>
  <c r="P95" i="1"/>
  <c r="O95" i="1"/>
  <c r="N95" i="1"/>
  <c r="Q95" i="1"/>
  <c r="M95" i="1"/>
  <c r="L95" i="1"/>
  <c r="K95" i="1"/>
  <c r="J95" i="1"/>
  <c r="I95" i="1"/>
  <c r="H95" i="1"/>
  <c r="G95" i="1"/>
  <c r="F95" i="1"/>
  <c r="E95" i="1"/>
  <c r="D95" i="1"/>
  <c r="C95" i="1"/>
  <c r="B95" i="1"/>
  <c r="M81" i="1"/>
  <c r="Q81" i="1"/>
  <c r="N81" i="1"/>
  <c r="O81" i="1"/>
  <c r="P81" i="1"/>
  <c r="R81" i="1"/>
  <c r="S81" i="1"/>
  <c r="T81" i="1"/>
  <c r="V81" i="1"/>
  <c r="C53" i="1"/>
  <c r="C68" i="1" s="1"/>
  <c r="D53" i="1"/>
  <c r="D68" i="1" s="1"/>
  <c r="E53" i="1"/>
  <c r="E68" i="1" s="1"/>
  <c r="F53" i="1"/>
  <c r="F68" i="1" s="1"/>
  <c r="G53" i="1"/>
  <c r="G68" i="1" s="1"/>
  <c r="H53" i="1"/>
  <c r="H68" i="1" s="1"/>
  <c r="I53" i="1"/>
  <c r="I68" i="1" s="1"/>
  <c r="J53" i="1"/>
  <c r="J68" i="1" s="1"/>
  <c r="K53" i="1"/>
  <c r="K68" i="1" s="1"/>
  <c r="L53" i="1"/>
  <c r="L68" i="1" s="1"/>
  <c r="M53" i="1"/>
  <c r="M68" i="1" s="1"/>
  <c r="Q53" i="1"/>
  <c r="Q68" i="1" s="1"/>
  <c r="N53" i="1"/>
  <c r="N68" i="1" s="1"/>
  <c r="O53" i="1"/>
  <c r="O68" i="1" s="1"/>
  <c r="P53" i="1"/>
  <c r="P68" i="1" s="1"/>
  <c r="R53" i="1"/>
  <c r="R68" i="1" s="1"/>
  <c r="S53" i="1"/>
  <c r="S68" i="1" s="1"/>
  <c r="T53" i="1"/>
  <c r="T68" i="1" s="1"/>
  <c r="V53" i="1"/>
  <c r="V68" i="1" s="1"/>
  <c r="D11" i="1"/>
  <c r="D26" i="1" s="1"/>
  <c r="E11" i="1"/>
  <c r="E26" i="1" s="1"/>
  <c r="F11" i="1"/>
  <c r="F26" i="1" s="1"/>
  <c r="G11" i="1"/>
  <c r="G26" i="1" s="1"/>
  <c r="H11" i="1"/>
  <c r="H26" i="1" s="1"/>
  <c r="I11" i="1"/>
  <c r="I26" i="1" s="1"/>
  <c r="J11" i="1"/>
  <c r="J26" i="1" s="1"/>
  <c r="L11" i="1"/>
  <c r="L26" i="1" s="1"/>
  <c r="M11" i="1"/>
  <c r="M26" i="1" s="1"/>
  <c r="Q11" i="1"/>
  <c r="Q26" i="1" s="1"/>
  <c r="O11" i="1"/>
  <c r="O26" i="1" s="1"/>
  <c r="P11" i="1"/>
  <c r="P26" i="1" s="1"/>
  <c r="R11" i="1"/>
  <c r="R26" i="1" s="1"/>
  <c r="S11" i="1"/>
  <c r="S26" i="1" s="1"/>
  <c r="T11" i="1"/>
  <c r="T26" i="1" s="1"/>
  <c r="B53" i="1"/>
  <c r="B11" i="1"/>
  <c r="BU132" i="1" l="1"/>
  <c r="BU134" i="1"/>
  <c r="BU135" i="1"/>
  <c r="BU131" i="1"/>
  <c r="BU133" i="1"/>
  <c r="BU136" i="1"/>
  <c r="BU130" i="1"/>
  <c r="BS116" i="1"/>
  <c r="BT116" i="1"/>
  <c r="BU102" i="1"/>
  <c r="BU104" i="1"/>
  <c r="BU108" i="1"/>
  <c r="BU103" i="1"/>
  <c r="BU105" i="1"/>
  <c r="BU106" i="1"/>
  <c r="BU107" i="1"/>
  <c r="BU89" i="1"/>
  <c r="BU91" i="1"/>
  <c r="BU93" i="1"/>
  <c r="BU94" i="1"/>
  <c r="BU90" i="1"/>
  <c r="BU92" i="1"/>
  <c r="BU88" i="1"/>
  <c r="BU76" i="1"/>
  <c r="BU77" i="1"/>
  <c r="BU78" i="1"/>
  <c r="BU79" i="1"/>
  <c r="BU74" i="1"/>
  <c r="BU75" i="1"/>
  <c r="BU80" i="1"/>
  <c r="BS60" i="1"/>
  <c r="BT60" i="1"/>
  <c r="BU50" i="1"/>
  <c r="BU51" i="1"/>
  <c r="BU48" i="1"/>
  <c r="BU49" i="1"/>
  <c r="BU52" i="1"/>
  <c r="BU46" i="1"/>
  <c r="BU47" i="1"/>
  <c r="BU33" i="1"/>
  <c r="BU34" i="1"/>
  <c r="BU35" i="1"/>
  <c r="BU36" i="1"/>
  <c r="BU32" i="1"/>
  <c r="BU37" i="1"/>
  <c r="BU38" i="1"/>
  <c r="BU24" i="1"/>
  <c r="BU18" i="1"/>
  <c r="BU19" i="1"/>
  <c r="BU20" i="1"/>
  <c r="BU21" i="1"/>
  <c r="BU22" i="1"/>
  <c r="BU23" i="1"/>
  <c r="BU6" i="1"/>
  <c r="BU7" i="1"/>
  <c r="BU8" i="1"/>
  <c r="BU9" i="1"/>
  <c r="BU10" i="1"/>
  <c r="BU5" i="1"/>
  <c r="BU4" i="1"/>
  <c r="V139" i="1" a="1"/>
  <c r="V139" i="1" s="1"/>
  <c r="V125" i="1" a="1"/>
  <c r="V125" i="1" s="1"/>
  <c r="V99" i="1"/>
  <c r="W57" i="1"/>
  <c r="V57" i="1"/>
  <c r="B68" i="1"/>
  <c r="W68" i="1" s="1"/>
  <c r="V15" i="1"/>
  <c r="B26" i="1"/>
  <c r="B152" i="1"/>
  <c r="C152" i="1"/>
  <c r="V56" i="1"/>
  <c r="N56" i="1"/>
  <c r="K56" i="1"/>
  <c r="C12" i="1"/>
  <c r="C14" i="1" s="1"/>
  <c r="C28" i="1" s="1"/>
  <c r="C42" i="1" s="1"/>
  <c r="C56" i="1" s="1"/>
  <c r="I12" i="1"/>
  <c r="I14" i="1" s="1"/>
  <c r="I28" i="1" s="1"/>
  <c r="I42" i="1" s="1"/>
  <c r="I56" i="1" s="1"/>
  <c r="G12" i="1"/>
  <c r="G14" i="1" s="1"/>
  <c r="G28" i="1" s="1"/>
  <c r="G42" i="1" s="1"/>
  <c r="G56" i="1" s="1"/>
  <c r="H12" i="1"/>
  <c r="H14" i="1" s="1"/>
  <c r="M12" i="1"/>
  <c r="M14" i="1" s="1"/>
  <c r="L12" i="1"/>
  <c r="L14" i="1" s="1"/>
  <c r="L28" i="1" s="1"/>
  <c r="L42" i="1" s="1"/>
  <c r="L56" i="1" s="1"/>
  <c r="J12" i="1"/>
  <c r="J14" i="1" s="1"/>
  <c r="F12" i="1"/>
  <c r="F14" i="1" s="1"/>
  <c r="E12" i="1"/>
  <c r="E14" i="1" s="1"/>
  <c r="B12" i="1"/>
  <c r="B14" i="1" s="1"/>
  <c r="B28" i="1" s="1"/>
  <c r="B42" i="1" s="1"/>
  <c r="B56" i="1" s="1"/>
  <c r="T12" i="1"/>
  <c r="T14" i="1" s="1"/>
  <c r="S12" i="1"/>
  <c r="S14" i="1" s="1"/>
  <c r="R12" i="1"/>
  <c r="R14" i="1" s="1"/>
  <c r="P12" i="1"/>
  <c r="P14" i="1" s="1"/>
  <c r="O12" i="1"/>
  <c r="O14" i="1" s="1"/>
  <c r="Q12" i="1"/>
  <c r="Q14" i="1" s="1"/>
  <c r="D12" i="1"/>
  <c r="D14" i="1" s="1"/>
  <c r="L152" i="1"/>
  <c r="BS131" i="1"/>
  <c r="C59" i="1"/>
  <c r="B73" i="1" s="1"/>
  <c r="D374" i="2"/>
  <c r="BS90" i="1"/>
  <c r="BS62" i="1"/>
  <c r="BS103" i="1"/>
  <c r="BS47" i="1"/>
  <c r="BS91" i="1"/>
  <c r="BS34" i="1"/>
  <c r="BS94" i="1"/>
  <c r="BS93" i="1"/>
  <c r="BS108" i="1"/>
  <c r="BS122" i="1"/>
  <c r="BS106" i="1"/>
  <c r="BS75" i="1"/>
  <c r="BS107" i="1"/>
  <c r="BS136" i="1"/>
  <c r="BS61" i="1"/>
  <c r="BS35" i="1"/>
  <c r="BS105" i="1"/>
  <c r="BS104" i="1"/>
  <c r="BS66" i="1"/>
  <c r="BS65" i="1"/>
  <c r="BS64" i="1"/>
  <c r="BS63" i="1"/>
  <c r="BS32" i="1"/>
  <c r="BS88" i="1"/>
  <c r="BS89" i="1"/>
  <c r="BS130" i="1"/>
  <c r="BS120" i="1"/>
  <c r="W137" i="1"/>
  <c r="BS38" i="1"/>
  <c r="BS92" i="1"/>
  <c r="BS119" i="1"/>
  <c r="BS118" i="1"/>
  <c r="BS33" i="1"/>
  <c r="BS121" i="1"/>
  <c r="BS117" i="1"/>
  <c r="BS133" i="1"/>
  <c r="BS77" i="1"/>
  <c r="BS135" i="1"/>
  <c r="BS52" i="1"/>
  <c r="BS79" i="1"/>
  <c r="BS49" i="1"/>
  <c r="BS76" i="1"/>
  <c r="BS74" i="1"/>
  <c r="K54" i="1"/>
  <c r="BS46" i="1"/>
  <c r="BS80" i="1"/>
  <c r="BS51" i="1"/>
  <c r="BS78" i="1"/>
  <c r="BS50" i="1"/>
  <c r="BS48" i="1"/>
  <c r="BS102" i="1"/>
  <c r="BS134" i="1"/>
  <c r="N82" i="1"/>
  <c r="BS37" i="1"/>
  <c r="BS36" i="1"/>
  <c r="BS132" i="1"/>
  <c r="BS5" i="1"/>
  <c r="BS6" i="1"/>
  <c r="BS7" i="1"/>
  <c r="BS8" i="1"/>
  <c r="BS9" i="1"/>
  <c r="BS10" i="1"/>
  <c r="BS4" i="1"/>
  <c r="S54" i="1"/>
  <c r="R54" i="1"/>
  <c r="G54" i="1"/>
  <c r="F54" i="1"/>
  <c r="B110" i="1"/>
  <c r="C110" i="1"/>
  <c r="D110" i="1"/>
  <c r="E110" i="1"/>
  <c r="F110" i="1"/>
  <c r="G110" i="1"/>
  <c r="H110" i="1"/>
  <c r="I110" i="1"/>
  <c r="J110" i="1"/>
  <c r="K110" i="1"/>
  <c r="L110" i="1"/>
  <c r="M110" i="1"/>
  <c r="Q110" i="1"/>
  <c r="N110" i="1"/>
  <c r="O110" i="1"/>
  <c r="P110" i="1"/>
  <c r="R110" i="1"/>
  <c r="S110" i="1"/>
  <c r="T110" i="1"/>
  <c r="V110" i="1"/>
  <c r="B124" i="1"/>
  <c r="C124" i="1"/>
  <c r="D124" i="1"/>
  <c r="E124" i="1"/>
  <c r="F124" i="1"/>
  <c r="G124" i="1"/>
  <c r="H124" i="1"/>
  <c r="I124" i="1"/>
  <c r="J124" i="1"/>
  <c r="K124" i="1"/>
  <c r="L124" i="1"/>
  <c r="M124" i="1"/>
  <c r="Q124" i="1"/>
  <c r="N124" i="1"/>
  <c r="O124" i="1"/>
  <c r="P124" i="1"/>
  <c r="R124" i="1"/>
  <c r="S124" i="1"/>
  <c r="T124" i="1"/>
  <c r="V124" i="1"/>
  <c r="B138" i="1"/>
  <c r="C138" i="1"/>
  <c r="D138" i="1"/>
  <c r="E138" i="1"/>
  <c r="F138" i="1"/>
  <c r="G138" i="1"/>
  <c r="H138" i="1"/>
  <c r="I138" i="1"/>
  <c r="J138" i="1"/>
  <c r="K138" i="1"/>
  <c r="L138" i="1"/>
  <c r="M138" i="1"/>
  <c r="Q138" i="1"/>
  <c r="N138" i="1"/>
  <c r="O138" i="1"/>
  <c r="P138" i="1"/>
  <c r="R138" i="1"/>
  <c r="S138" i="1"/>
  <c r="T138" i="1"/>
  <c r="V138" i="1"/>
  <c r="BS19" i="1"/>
  <c r="BS20" i="1"/>
  <c r="BS21" i="1"/>
  <c r="BS22" i="1"/>
  <c r="BS23" i="1"/>
  <c r="BS24" i="1"/>
  <c r="BS18" i="1"/>
  <c r="W141" i="1"/>
  <c r="V141" i="1"/>
  <c r="W127" i="1"/>
  <c r="V127" i="1"/>
  <c r="W109" i="1"/>
  <c r="V113" i="1"/>
  <c r="W113" i="1"/>
  <c r="W124" i="1" s="1"/>
  <c r="W11" i="1"/>
  <c r="W81" i="1"/>
  <c r="H96" i="1"/>
  <c r="T96" i="1"/>
  <c r="W53" i="1"/>
  <c r="I96" i="1"/>
  <c r="V96" i="1"/>
  <c r="Q96" i="1"/>
  <c r="O82" i="1"/>
  <c r="C96" i="1"/>
  <c r="B96" i="1"/>
  <c r="M54" i="1"/>
  <c r="W29" i="1"/>
  <c r="F96" i="1"/>
  <c r="R96" i="1"/>
  <c r="W39" i="1"/>
  <c r="G96" i="1"/>
  <c r="S96" i="1"/>
  <c r="B54" i="1"/>
  <c r="L96" i="1"/>
  <c r="V82" i="1"/>
  <c r="J96" i="1"/>
  <c r="K96" i="1"/>
  <c r="T82" i="1"/>
  <c r="M96" i="1"/>
  <c r="N96" i="1"/>
  <c r="D96" i="1"/>
  <c r="O96" i="1"/>
  <c r="E96" i="1"/>
  <c r="P96" i="1"/>
  <c r="W99" i="1"/>
  <c r="W95" i="1"/>
  <c r="S82" i="1"/>
  <c r="M82" i="1"/>
  <c r="R82" i="1"/>
  <c r="P82" i="1"/>
  <c r="J54" i="1"/>
  <c r="I54" i="1"/>
  <c r="V54" i="1"/>
  <c r="N54" i="1"/>
  <c r="C54" i="1"/>
  <c r="W43" i="1"/>
  <c r="L54" i="1"/>
  <c r="P54" i="1"/>
  <c r="E54" i="1"/>
  <c r="O54" i="1"/>
  <c r="Q54" i="1"/>
  <c r="T54" i="1"/>
  <c r="H54" i="1"/>
  <c r="D54" i="1"/>
  <c r="Q82" i="1"/>
  <c r="W85" i="1"/>
  <c r="V85" i="1"/>
  <c r="C73" i="1" l="1"/>
  <c r="B87" i="1" s="1"/>
  <c r="C409" i="2"/>
  <c r="D409" i="2" s="1"/>
  <c r="BU117" i="1"/>
  <c r="BU119" i="1"/>
  <c r="BU122" i="1"/>
  <c r="BU118" i="1"/>
  <c r="BU120" i="1"/>
  <c r="BU121" i="1"/>
  <c r="BU116" i="1"/>
  <c r="BU62" i="1"/>
  <c r="BU66" i="1"/>
  <c r="BU61" i="1"/>
  <c r="BU63" i="1"/>
  <c r="BU64" i="1"/>
  <c r="BU65" i="1"/>
  <c r="BU60" i="1"/>
  <c r="Q28" i="1"/>
  <c r="Q42" i="1" s="1"/>
  <c r="Q56" i="1" s="1"/>
  <c r="Q70" i="1" s="1"/>
  <c r="Q84" i="1" s="1"/>
  <c r="Q98" i="1" s="1"/>
  <c r="Q112" i="1" s="1"/>
  <c r="Q126" i="1" s="1"/>
  <c r="Q140" i="1" s="1"/>
  <c r="Q154" i="1" s="1"/>
  <c r="Q168" i="1" s="1"/>
  <c r="E28" i="1"/>
  <c r="E42" i="1" s="1"/>
  <c r="E56" i="1" s="1"/>
  <c r="E70" i="1" s="1"/>
  <c r="E84" i="1" s="1"/>
  <c r="E98" i="1" s="1"/>
  <c r="E112" i="1" s="1"/>
  <c r="E126" i="1" s="1"/>
  <c r="E140" i="1" s="1"/>
  <c r="E154" i="1" s="1"/>
  <c r="E168" i="1" s="1"/>
  <c r="J28" i="1"/>
  <c r="J42" i="1" s="1"/>
  <c r="J56" i="1" s="1"/>
  <c r="J70" i="1" s="1"/>
  <c r="J84" i="1" s="1"/>
  <c r="J98" i="1" s="1"/>
  <c r="J112" i="1" s="1"/>
  <c r="J126" i="1" s="1"/>
  <c r="J140" i="1" s="1"/>
  <c r="J154" i="1" s="1"/>
  <c r="J168" i="1" s="1"/>
  <c r="M28" i="1"/>
  <c r="M42" i="1" s="1"/>
  <c r="M56" i="1" s="1"/>
  <c r="M70" i="1" s="1"/>
  <c r="M84" i="1" s="1"/>
  <c r="M98" i="1" s="1"/>
  <c r="M112" i="1" s="1"/>
  <c r="M126" i="1" s="1"/>
  <c r="M140" i="1" s="1"/>
  <c r="M154" i="1" s="1"/>
  <c r="M168" i="1" s="1"/>
  <c r="P28" i="1"/>
  <c r="P42" i="1" s="1"/>
  <c r="P56" i="1" s="1"/>
  <c r="P70" i="1" s="1"/>
  <c r="P84" i="1" s="1"/>
  <c r="P98" i="1" s="1"/>
  <c r="P112" i="1" s="1"/>
  <c r="P126" i="1" s="1"/>
  <c r="P140" i="1" s="1"/>
  <c r="P154" i="1" s="1"/>
  <c r="P168" i="1" s="1"/>
  <c r="S28" i="1"/>
  <c r="S42" i="1" s="1"/>
  <c r="S56" i="1" s="1"/>
  <c r="S70" i="1" s="1"/>
  <c r="S84" i="1" s="1"/>
  <c r="S98" i="1" s="1"/>
  <c r="S112" i="1" s="1"/>
  <c r="S126" i="1" s="1"/>
  <c r="S140" i="1" s="1"/>
  <c r="S154" i="1" s="1"/>
  <c r="S168" i="1" s="1"/>
  <c r="O28" i="1"/>
  <c r="O42" i="1" s="1"/>
  <c r="O56" i="1" s="1"/>
  <c r="O70" i="1" s="1"/>
  <c r="O84" i="1" s="1"/>
  <c r="O98" i="1" s="1"/>
  <c r="O112" i="1" s="1"/>
  <c r="O126" i="1" s="1"/>
  <c r="O140" i="1" s="1"/>
  <c r="O154" i="1" s="1"/>
  <c r="O168" i="1" s="1"/>
  <c r="R28" i="1"/>
  <c r="R42" i="1" s="1"/>
  <c r="R56" i="1" s="1"/>
  <c r="R70" i="1" s="1"/>
  <c r="R84" i="1" s="1"/>
  <c r="R98" i="1" s="1"/>
  <c r="R112" i="1" s="1"/>
  <c r="R126" i="1" s="1"/>
  <c r="R140" i="1" s="1"/>
  <c r="R154" i="1" s="1"/>
  <c r="R168" i="1" s="1"/>
  <c r="T28" i="1"/>
  <c r="T42" i="1" s="1"/>
  <c r="T56" i="1" s="1"/>
  <c r="T70" i="1" s="1"/>
  <c r="T84" i="1" s="1"/>
  <c r="T98" i="1" s="1"/>
  <c r="T112" i="1" s="1"/>
  <c r="T126" i="1" s="1"/>
  <c r="T140" i="1" s="1"/>
  <c r="T154" i="1" s="1"/>
  <c r="T168" i="1" s="1"/>
  <c r="F28" i="1"/>
  <c r="F42" i="1" s="1"/>
  <c r="F56" i="1" s="1"/>
  <c r="F70" i="1" s="1"/>
  <c r="F84" i="1" s="1"/>
  <c r="F98" i="1" s="1"/>
  <c r="F112" i="1" s="1"/>
  <c r="F126" i="1" s="1"/>
  <c r="F140" i="1" s="1"/>
  <c r="F154" i="1" s="1"/>
  <c r="F168" i="1" s="1"/>
  <c r="H28" i="1"/>
  <c r="H42" i="1" s="1"/>
  <c r="H56" i="1" s="1"/>
  <c r="H70" i="1" s="1"/>
  <c r="H84" i="1" s="1"/>
  <c r="H98" i="1" s="1"/>
  <c r="H112" i="1" s="1"/>
  <c r="H126" i="1" s="1"/>
  <c r="H140" i="1" s="1"/>
  <c r="H154" i="1" s="1"/>
  <c r="H168" i="1" s="1"/>
  <c r="D28" i="1"/>
  <c r="D42" i="1" s="1"/>
  <c r="D56" i="1" s="1"/>
  <c r="D70" i="1" s="1"/>
  <c r="D84" i="1" s="1"/>
  <c r="D98" i="1" s="1"/>
  <c r="D112" i="1" s="1"/>
  <c r="D126" i="1" s="1"/>
  <c r="D140" i="1" s="1"/>
  <c r="D154" i="1" s="1"/>
  <c r="D168" i="1" s="1"/>
  <c r="L70" i="1"/>
  <c r="L84" i="1" s="1"/>
  <c r="L98" i="1" s="1"/>
  <c r="L112" i="1" s="1"/>
  <c r="L126" i="1" s="1"/>
  <c r="L140" i="1" s="1"/>
  <c r="L154" i="1" s="1"/>
  <c r="L168" i="1" s="1"/>
  <c r="B70" i="1"/>
  <c r="B84" i="1" s="1"/>
  <c r="B98" i="1" s="1"/>
  <c r="G70" i="1"/>
  <c r="G84" i="1" s="1"/>
  <c r="G98" i="1" s="1"/>
  <c r="G112" i="1" s="1"/>
  <c r="G126" i="1" s="1"/>
  <c r="G140" i="1" s="1"/>
  <c r="G154" i="1" s="1"/>
  <c r="G168" i="1" s="1"/>
  <c r="N70" i="1"/>
  <c r="N84" i="1" s="1"/>
  <c r="N98" i="1" s="1"/>
  <c r="N112" i="1" s="1"/>
  <c r="N126" i="1" s="1"/>
  <c r="N140" i="1" s="1"/>
  <c r="N154" i="1" s="1"/>
  <c r="N168" i="1" s="1"/>
  <c r="K70" i="1"/>
  <c r="K84" i="1" s="1"/>
  <c r="K98" i="1" s="1"/>
  <c r="K112" i="1" s="1"/>
  <c r="K126" i="1" s="1"/>
  <c r="K140" i="1" s="1"/>
  <c r="K154" i="1" s="1"/>
  <c r="K168" i="1" s="1"/>
  <c r="V70" i="1"/>
  <c r="V84" i="1" s="1"/>
  <c r="V98" i="1" s="1"/>
  <c r="V112" i="1" s="1"/>
  <c r="V126" i="1" s="1"/>
  <c r="V140" i="1" s="1"/>
  <c r="V154" i="1" s="1"/>
  <c r="V168" i="1" s="1"/>
  <c r="I70" i="1"/>
  <c r="I84" i="1" s="1"/>
  <c r="I98" i="1" s="1"/>
  <c r="I112" i="1" s="1"/>
  <c r="I126" i="1" s="1"/>
  <c r="I140" i="1" s="1"/>
  <c r="I154" i="1" s="1"/>
  <c r="I168" i="1" s="1"/>
  <c r="C70" i="1"/>
  <c r="C84" i="1" s="1"/>
  <c r="C98" i="1" s="1"/>
  <c r="C112" i="1" s="1"/>
  <c r="C126" i="1" s="1"/>
  <c r="C140" i="1" s="1"/>
  <c r="C154" i="1" s="1"/>
  <c r="C168" i="1" s="1"/>
  <c r="W110" i="1"/>
  <c r="W14" i="1"/>
  <c r="W28" i="1" s="1"/>
  <c r="W42" i="1" s="1"/>
  <c r="W56" i="1" s="1"/>
  <c r="W12" i="1"/>
  <c r="W15" i="1"/>
  <c r="W26" i="1"/>
  <c r="W82" i="1"/>
  <c r="W138" i="1"/>
  <c r="W152" i="1"/>
  <c r="W96" i="1"/>
  <c r="W54" i="1"/>
  <c r="W40" i="1"/>
  <c r="B112" i="1" l="1"/>
  <c r="B126" i="1" s="1"/>
  <c r="B140" i="1" s="1"/>
  <c r="B154" i="1" s="1"/>
  <c r="B168" i="1" s="1"/>
  <c r="W70" i="1"/>
  <c r="W84" i="1" s="1"/>
  <c r="W98" i="1" s="1"/>
  <c r="W112" i="1" s="1"/>
  <c r="W126" i="1" s="1"/>
  <c r="W140" i="1" s="1"/>
  <c r="W154" i="1" s="1"/>
  <c r="W168" i="1" s="1"/>
  <c r="C87" i="1"/>
  <c r="B101" i="1" s="1"/>
  <c r="C443" i="2"/>
  <c r="D443" i="2" s="1"/>
  <c r="C101" i="1" l="1"/>
  <c r="B115" i="1" s="1"/>
  <c r="C474" i="2"/>
  <c r="D474" i="2" s="1"/>
  <c r="C506" i="2" l="1"/>
  <c r="D506" i="2" s="1"/>
  <c r="C115" i="1"/>
  <c r="B129" i="1" s="1"/>
  <c r="C541" i="2" l="1"/>
  <c r="D541" i="2" s="1"/>
  <c r="C129" i="1"/>
  <c r="B143" i="1" s="1"/>
  <c r="C577" i="2" l="1"/>
  <c r="D577" i="2" s="1"/>
  <c r="C143" i="1"/>
  <c r="B157" i="1" s="1"/>
  <c r="C611" i="2" l="1"/>
  <c r="D611" i="2" s="1"/>
  <c r="C157" i="1"/>
  <c r="J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Bhargav Kaipa</author>
  </authors>
  <commentList>
    <comment ref="A2" authorId="0" shapeId="0" xr:uid="{8D572498-CFD8-48E2-9270-7947076E352D}">
      <text>
        <r>
          <rPr>
            <sz val="9"/>
            <color indexed="81"/>
            <rFont val="Tahoma"/>
            <family val="2"/>
          </rPr>
          <t xml:space="preserve">
</t>
        </r>
        <r>
          <rPr>
            <b/>
            <sz val="9"/>
            <color indexed="81"/>
            <rFont val="Tahoma"/>
            <family val="2"/>
          </rPr>
          <t>The Following columns you are seeing are just set fo Example activities/hobbies and qualities. Feel free to customise it. Take a good 1 minute to analyse how your everyday is, and alter these columns with your set of productive hobbies that are already a part of your life or you wish to incorporate furthermore. And you decide the score metrics . Also, Do not forget to enter the start date, and a firm realistic goal you can achieve before week 12 sunday!. Come Here everyday and evaluate the day.
All The Best!!!
                                                                                                                                                                                                                                                                                                     ( For much more clear instructions , Go to sheet 4 "PJ-about,rules)</t>
        </r>
      </text>
    </comment>
    <comment ref="B2" authorId="0" shapeId="0" xr:uid="{B685BF89-48E1-486E-9A64-9C8B05BF16AB}">
      <text>
        <r>
          <rPr>
            <b/>
            <sz val="9"/>
            <color indexed="81"/>
            <rFont val="Tahoma"/>
            <family val="2"/>
          </rPr>
          <t>You are awarded 3 pts if you wake up at 6am.  Every hour you procastinate 1 hour, you loose 1 pt. 
e.g1:  7:30 am = 1 1/2 pts
           10 am =-1pt
           5:30 am = 3 1/2 pts</t>
        </r>
      </text>
    </comment>
    <comment ref="C2" authorId="0" shapeId="0" xr:uid="{D6328B9F-835F-46DD-9432-3C43E727E302}">
      <text>
        <r>
          <rPr>
            <b/>
            <sz val="9"/>
            <color indexed="81"/>
            <rFont val="Tahoma"/>
            <family val="2"/>
          </rPr>
          <t>Activities such as Prayer, meditation, or any mindful activities describe this column .
  Give the score according to how effective your mindful session  was .
E.g 20 min meditation - 2pts 
       10 min sun basking / moring coffee - 1 pt  . (ur wish)</t>
        </r>
      </text>
    </comment>
    <comment ref="D2" authorId="0" shapeId="0" xr:uid="{B20E24BB-4415-42C9-8F44-F598DD59A5E1}">
      <text>
        <r>
          <rPr>
            <b/>
            <sz val="9"/>
            <color indexed="81"/>
            <rFont val="Tahoma"/>
            <family val="2"/>
          </rPr>
          <t>A Good 1 hr of studying / researching/ practising something that is useful to you is awarded 3 pts
. 4 or more pts depending on the effectiveness of your study session. 
e.g- 3 hrs of studying for exam (with three 10 min short breaks in between) = 9 pts
          2 hrs working on your independent project = 8 pts (assuming they were very effective)</t>
        </r>
        <r>
          <rPr>
            <sz val="9"/>
            <color indexed="81"/>
            <rFont val="Tahoma"/>
            <family val="2"/>
          </rPr>
          <t xml:space="preserve">
</t>
        </r>
      </text>
    </comment>
    <comment ref="E2" authorId="0" shapeId="0" xr:uid="{FA6F61C9-31CD-4CDD-920A-B8E7395092EC}">
      <text>
        <r>
          <rPr>
            <b/>
            <sz val="9"/>
            <color indexed="81"/>
            <rFont val="Tahoma"/>
            <family val="2"/>
          </rPr>
          <t>1 pt- good warm up                   
4 pts - for 4 variations 
(1 pt for each variation)
1 pt - postworkout (</t>
        </r>
        <r>
          <rPr>
            <b/>
            <sz val="8"/>
            <color indexed="81"/>
            <rFont val="Tahoma"/>
            <family val="2"/>
          </rPr>
          <t xml:space="preserve">cardio, stretches), </t>
        </r>
        <r>
          <rPr>
            <b/>
            <sz val="9"/>
            <color indexed="81"/>
            <rFont val="Tahoma"/>
            <family val="2"/>
          </rPr>
          <t xml:space="preserve">
</t>
        </r>
      </text>
    </comment>
    <comment ref="F2" authorId="0" shapeId="0" xr:uid="{DD4E18B8-3375-4368-B8BC-80DB3F21F753}">
      <text>
        <r>
          <rPr>
            <b/>
            <sz val="8"/>
            <color indexed="81"/>
            <rFont val="Tahoma"/>
            <family val="2"/>
          </rPr>
          <t xml:space="preserve">1 pt for each hr you are clocked in . 
Xtra pts if ur shift is intense maybe. 
e.g : 8 hrs work= 8pts </t>
        </r>
      </text>
    </comment>
    <comment ref="G2" authorId="0" shapeId="0" xr:uid="{1028199A-4786-4AB2-A738-5E52E09FEFA3}">
      <text>
        <r>
          <rPr>
            <b/>
            <sz val="9"/>
            <color indexed="81"/>
            <rFont val="Tahoma"/>
            <family val="2"/>
          </rPr>
          <t xml:space="preserve">For the hrs/tasks you work xtra, you might feel its not worth it. but it is! Make sure you appreciate yourself by counting them in and value more cuz clearly your manager wont (pun intended)         e.g:  you have a 8 hr shift but you ended up working 12 hr shift . then work= 12 pts , overtime = 4pts . total = 16pts. </t>
        </r>
      </text>
    </comment>
    <comment ref="H2" authorId="0" shapeId="0" xr:uid="{E8279D8E-8833-4C45-A2BA-74CB25E67E9D}">
      <text>
        <r>
          <rPr>
            <b/>
            <sz val="9"/>
            <color indexed="81"/>
            <rFont val="Tahoma"/>
            <family val="2"/>
          </rPr>
          <t xml:space="preserve">Each recipie depending on how healthy,tasty and long lasting  gets 0- 2pts . 
E.g (entire day) I cooked rice(1pt), salad(0.5pts), cowboy stew(2pts) -1+0.5+2 pts </t>
        </r>
      </text>
    </comment>
    <comment ref="I2" authorId="0" shapeId="0" xr:uid="{E51B315B-410D-4312-88CC-68DAF43E3E35}">
      <text>
        <r>
          <rPr>
            <b/>
            <sz val="9"/>
            <color indexed="81"/>
            <rFont val="Tahoma"/>
            <family val="2"/>
          </rPr>
          <t xml:space="preserve">How artistic were you today?
for any art related activities like sketching, Dance,editing etc. (You can also include any activity /games that itches your creativity...chess, Minecraft, any rpg games).  </t>
        </r>
      </text>
    </comment>
    <comment ref="J2" authorId="0" shapeId="0" xr:uid="{9C5F0419-FF3B-4E26-922A-DDB1C37AD18A}">
      <text>
        <r>
          <rPr>
            <b/>
            <sz val="9"/>
            <color indexed="81"/>
            <rFont val="Tahoma"/>
            <family val="2"/>
          </rPr>
          <t xml:space="preserve">I think playing chess is productively very effective cuz it improves your brain in so many levels. </t>
        </r>
        <r>
          <rPr>
            <sz val="9"/>
            <color indexed="81"/>
            <rFont val="Tahoma"/>
            <family val="2"/>
          </rPr>
          <t xml:space="preserve">
2 pts if u win a match, 1 if u loose. 
(You can replace/delete this column if not needed. )</t>
        </r>
      </text>
    </comment>
    <comment ref="K2" authorId="0" shapeId="0" xr:uid="{A9A53A0E-6970-491C-A1C9-5784AE144325}">
      <text>
        <r>
          <rPr>
            <b/>
            <sz val="9"/>
            <color indexed="81"/>
            <rFont val="Tahoma"/>
            <family val="2"/>
          </rPr>
          <t xml:space="preserve">In the age of Doom Scrolling and short attention span, Binge watching feels productive. </t>
        </r>
        <r>
          <rPr>
            <sz val="9"/>
            <color indexed="81"/>
            <rFont val="Tahoma"/>
            <family val="2"/>
          </rPr>
          <t xml:space="preserve">
</t>
        </r>
        <r>
          <rPr>
            <b/>
            <sz val="9"/>
            <color indexed="81"/>
            <rFont val="Tahoma"/>
            <family val="2"/>
          </rPr>
          <t>1 pt / hr.  E.g  I watched 40 eps of one piece - that’s 13 hrs. I get 13 pts (oof)</t>
        </r>
      </text>
    </comment>
    <comment ref="L2" authorId="0" shapeId="0" xr:uid="{08C5A05C-4062-4A97-87C1-8FF857D5ECE4}">
      <text>
        <r>
          <rPr>
            <b/>
            <sz val="9"/>
            <color indexed="81"/>
            <rFont val="Tahoma"/>
            <family val="2"/>
          </rPr>
          <t>Useful If you are overcoming any addiction . Everyday u resist from ur addiction ur awarded 2 pts</t>
        </r>
      </text>
    </comment>
    <comment ref="M2" authorId="0" shapeId="0" xr:uid="{EADB3773-92D9-4368-8077-996ED712ACA8}">
      <text>
        <r>
          <rPr>
            <b/>
            <sz val="9"/>
            <color indexed="81"/>
            <rFont val="Tahoma"/>
            <family val="2"/>
          </rPr>
          <t>every help you do to any awards you a point. The value can go above or below depending the size of the help. E. g I helped 4 ppl today- 4 pts.applaud urself</t>
        </r>
      </text>
    </comment>
    <comment ref="N2" authorId="0" shapeId="0" xr:uid="{44DE40E9-96C0-49D2-9AA3-0394B80B4C91}">
      <text>
        <r>
          <rPr>
            <b/>
            <sz val="9"/>
            <color indexed="81"/>
            <rFont val="Tahoma"/>
            <family val="2"/>
          </rPr>
          <t xml:space="preserve">Updating Productive journaling awards you 1 pt by default. Any other journaling methods are also included </t>
        </r>
        <r>
          <rPr>
            <sz val="9"/>
            <color indexed="81"/>
            <rFont val="Tahoma"/>
            <family val="2"/>
          </rPr>
          <t xml:space="preserve">
</t>
        </r>
        <r>
          <rPr>
            <b/>
            <sz val="9"/>
            <color indexed="81"/>
            <rFont val="Tahoma"/>
            <family val="2"/>
          </rPr>
          <t xml:space="preserve">e.g wrote diary - 1.5 pts cuz that’s effective, I was browsing my old photos today- 0.5 pts. </t>
        </r>
      </text>
    </comment>
    <comment ref="O2" authorId="0" shapeId="0" xr:uid="{F3BD01FD-9E96-4EA3-A2FB-32B328F2F762}">
      <text>
        <r>
          <rPr>
            <b/>
            <sz val="9"/>
            <color indexed="81"/>
            <rFont val="Tahoma"/>
            <family val="2"/>
          </rPr>
          <t xml:space="preserve">Same As waking up @ 6am, u are rewarded 3 pts if u sleep by 11pm. 
E.g I slept by 10:30pm,=3.5 pts
I slept at 12am = 1 pt
I slept at 5am = -9 pts </t>
        </r>
      </text>
    </comment>
    <comment ref="P2" authorId="0" shapeId="0" xr:uid="{995A037F-0BBB-422C-857F-C2DC103B397D}">
      <text>
        <r>
          <rPr>
            <b/>
            <sz val="9"/>
            <color indexed="81"/>
            <rFont val="Tahoma"/>
            <family val="2"/>
          </rPr>
          <t>Judge and rate how healthy your diet today is. It also includes ur apetite, avoiding junk foods ad how hydrated you are for the day.</t>
        </r>
      </text>
    </comment>
    <comment ref="Q2" authorId="0" shapeId="0" xr:uid="{65A71DE7-69E4-4917-BAB7-C881257FA4D9}">
      <text>
        <r>
          <rPr>
            <b/>
            <sz val="9"/>
            <color indexed="81"/>
            <rFont val="Tahoma"/>
            <family val="2"/>
          </rPr>
          <t xml:space="preserve">How Busy/packed were you the whole day? </t>
        </r>
        <r>
          <rPr>
            <b/>
            <sz val="8"/>
            <color indexed="81"/>
            <rFont val="Tahoma"/>
            <family val="2"/>
          </rPr>
          <t>How fast were u overall?</t>
        </r>
        <r>
          <rPr>
            <b/>
            <sz val="9"/>
            <color indexed="81"/>
            <rFont val="Tahoma"/>
            <family val="2"/>
          </rPr>
          <t xml:space="preserve">
Rate it 0-3 or (beyond : if extreme busy)</t>
        </r>
      </text>
    </comment>
    <comment ref="R2" authorId="0" shapeId="0" xr:uid="{3178CC4C-6777-46BE-A0A7-45E673534FAC}">
      <text>
        <r>
          <rPr>
            <b/>
            <sz val="9"/>
            <color indexed="81"/>
            <rFont val="Tahoma"/>
            <family val="2"/>
          </rPr>
          <t xml:space="preserve">How Clean did you keep your surroundings? </t>
        </r>
        <r>
          <rPr>
            <sz val="9"/>
            <color indexed="81"/>
            <rFont val="Tahoma"/>
            <family val="2"/>
          </rPr>
          <t xml:space="preserve">
</t>
        </r>
        <r>
          <rPr>
            <b/>
            <sz val="9"/>
            <color indexed="81"/>
            <rFont val="Tahoma"/>
            <family val="2"/>
          </rPr>
          <t xml:space="preserve">include if you had to do any cleaning activities and rate it from 0-2. (or beyond)
If you are neat and hygiene , You get a point.Bonus pts if you extra neat. 
</t>
        </r>
      </text>
    </comment>
    <comment ref="S2" authorId="0" shapeId="0" xr:uid="{CD062351-C6CC-4471-B371-84F57E310E3D}">
      <text>
        <r>
          <rPr>
            <b/>
            <sz val="9"/>
            <color indexed="81"/>
            <rFont val="Tahoma"/>
            <family val="2"/>
          </rPr>
          <t>How true and legit were you today? Or
Did you do all the things your suppsed to do today? Rate it out of 0-3</t>
        </r>
      </text>
    </comment>
    <comment ref="T2" authorId="0" shapeId="0" xr:uid="{1F16584A-F965-47FA-8ACE-9722BD45DD70}">
      <text>
        <r>
          <rPr>
            <b/>
            <sz val="9"/>
            <color indexed="81"/>
            <rFont val="Tahoma"/>
            <family val="2"/>
          </rPr>
          <t xml:space="preserve">Any extra activities that you do which are not included In these hobbies are counted and valued. Everythingu do is productive at some scale. (U decide whats that scale). 
E.g . Took the trash out(1pt)+ bought groceries (3pts)+did laundry (2pts) , Mowned the lawn (2 pts),, etc=1+3+2+2=8pts {u deserve it} . </t>
        </r>
      </text>
    </comment>
    <comment ref="U2" authorId="0" shapeId="0" xr:uid="{984CDF0D-2860-4E19-95A4-D59A89166143}">
      <text>
        <r>
          <rPr>
            <b/>
            <sz val="8.5"/>
            <color indexed="81"/>
            <rFont val="Tahoma"/>
            <family val="2"/>
          </rPr>
          <t>Any actions that you are guilty of (which is normal), You can punish urself by penalising the score in this column.. any mistakes that you did for the day, or any errors or slip ups can be included. (time to be brutally honest)
e.g- snitched ab my frnd behind his back(-2pts), broke a trafic rule (-1), i was rude to someone (-1)= --4. (if u do, then uve got guts to be honest.So, bravo!!!)</t>
        </r>
      </text>
    </comment>
    <comment ref="V2" authorId="0" shapeId="0" xr:uid="{C8B64185-DCC7-44B1-A99D-DA816480E520}">
      <text>
        <r>
          <rPr>
            <b/>
            <sz val="9"/>
            <color indexed="81"/>
            <rFont val="Tahoma"/>
            <family val="2"/>
          </rPr>
          <t xml:space="preserve">Rate  your day out of 1-5. </t>
        </r>
        <r>
          <rPr>
            <sz val="9"/>
            <color indexed="81"/>
            <rFont val="Tahoma"/>
            <family val="2"/>
          </rPr>
          <t xml:space="preserve">
</t>
        </r>
      </text>
    </comment>
    <comment ref="Z2" authorId="0" shapeId="0" xr:uid="{599E957E-40ED-4FC4-80E9-BC60D0583B94}">
      <text>
        <r>
          <rPr>
            <b/>
            <sz val="9"/>
            <color indexed="81"/>
            <rFont val="Tahoma"/>
            <family val="2"/>
          </rPr>
          <t xml:space="preserve">Reflect about your day. Give a title to it maybe. Or just breif it up in a sentence. </t>
        </r>
      </text>
    </comment>
    <comment ref="AA2" authorId="0" shapeId="0" xr:uid="{E236EAF9-9522-4B1B-A736-BD68B1CBB3AE}">
      <text>
        <r>
          <rPr>
            <b/>
            <sz val="9"/>
            <color indexed="81"/>
            <rFont val="Tahoma"/>
            <family val="2"/>
          </rPr>
          <t xml:space="preserve">it's important to practice gratitude as it helps us to grow. Offer your thanks to someone you couldn’t say thanks to . Be grateful for the small things in your day . (helps you not being so self centric). </t>
        </r>
      </text>
    </comment>
    <comment ref="B4" authorId="0" shapeId="0" xr:uid="{014623DB-15A9-4B3F-997C-DF374D947A93}">
      <text>
        <r>
          <rPr>
            <b/>
            <sz val="9"/>
            <color indexed="81"/>
            <rFont val="Tahoma"/>
            <family val="2"/>
          </rPr>
          <t xml:space="preserve">insert number (score/pts)
</t>
        </r>
      </text>
    </comment>
    <comment ref="A12" authorId="0" shapeId="0" xr:uid="{F357F6B0-E98E-46AA-AE69-9396D95FCD3A}">
      <text>
        <r>
          <rPr>
            <b/>
            <sz val="9"/>
            <color indexed="81"/>
            <rFont val="Tahoma"/>
            <family val="2"/>
          </rPr>
          <t>Bhargav Kaipa:</t>
        </r>
        <r>
          <rPr>
            <sz val="9"/>
            <color indexed="81"/>
            <rFont val="Tahoma"/>
            <family val="2"/>
          </rPr>
          <t xml:space="preserve">
ADD COMMENTS HERE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<sst xmlns="http://schemas.openxmlformats.org/spreadsheetml/2006/main" count="973" uniqueCount="199">
  <si>
    <t xml:space="preserve">Total
</t>
  </si>
  <si>
    <t>@ 6am</t>
  </si>
  <si>
    <t>Bootup</t>
  </si>
  <si>
    <t>Study</t>
  </si>
  <si>
    <t>Gym</t>
  </si>
  <si>
    <t>Work</t>
  </si>
  <si>
    <t>Overtime</t>
  </si>
  <si>
    <t>Cooking</t>
  </si>
  <si>
    <t>D &amp;H</t>
  </si>
  <si>
    <t>Art</t>
  </si>
  <si>
    <t>Chess</t>
  </si>
  <si>
    <t>P &amp; I</t>
  </si>
  <si>
    <t xml:space="preserve">Cleanliness </t>
  </si>
  <si>
    <t xml:space="preserve"> Hygeine</t>
  </si>
  <si>
    <t>Resist</t>
  </si>
  <si>
    <t>Binge</t>
  </si>
  <si>
    <t>Help</t>
  </si>
  <si>
    <t>Journal</t>
  </si>
  <si>
    <t>Vibe</t>
  </si>
  <si>
    <t>by 11pm</t>
  </si>
  <si>
    <t>Bonus/penalties</t>
  </si>
  <si>
    <t>Week</t>
  </si>
  <si>
    <t>Mon</t>
  </si>
  <si>
    <t>Tue</t>
  </si>
  <si>
    <t>Wed</t>
  </si>
  <si>
    <t>Thu</t>
  </si>
  <si>
    <t>Fri</t>
  </si>
  <si>
    <t>Sat</t>
  </si>
  <si>
    <t>Sun</t>
  </si>
  <si>
    <t>Total ind</t>
  </si>
  <si>
    <t>ratio</t>
  </si>
  <si>
    <t>negpos</t>
  </si>
  <si>
    <t>week2</t>
  </si>
  <si>
    <t>Ratio</t>
  </si>
  <si>
    <t>Negpos</t>
  </si>
  <si>
    <t>week3</t>
  </si>
  <si>
    <t>week4</t>
  </si>
  <si>
    <t>week 5</t>
  </si>
  <si>
    <t>week 6</t>
  </si>
  <si>
    <t>week 7</t>
  </si>
  <si>
    <t>week 8</t>
  </si>
  <si>
    <t xml:space="preserve">cumulative </t>
  </si>
  <si>
    <t xml:space="preserve">total </t>
  </si>
  <si>
    <t>Cumulative  charts</t>
  </si>
  <si>
    <t xml:space="preserve">Conclusion: </t>
  </si>
  <si>
    <t>week 1:</t>
  </si>
  <si>
    <t>week 2:</t>
  </si>
  <si>
    <t xml:space="preserve">week 3: </t>
  </si>
  <si>
    <t>week 4:</t>
  </si>
  <si>
    <t>week 5:</t>
  </si>
  <si>
    <t>week 6:</t>
  </si>
  <si>
    <t>week 7:</t>
  </si>
  <si>
    <t>week 9:</t>
  </si>
  <si>
    <t>Gratitude</t>
  </si>
  <si>
    <t>week10</t>
  </si>
  <si>
    <t>week11</t>
  </si>
  <si>
    <t>week12</t>
  </si>
  <si>
    <t>week 10:</t>
  </si>
  <si>
    <t>week 11</t>
  </si>
  <si>
    <t>week 12:</t>
  </si>
  <si>
    <t>week 9</t>
  </si>
  <si>
    <t>Teu</t>
  </si>
  <si>
    <t>W1</t>
  </si>
  <si>
    <t>W2</t>
  </si>
  <si>
    <t>W3</t>
  </si>
  <si>
    <t>W4</t>
  </si>
  <si>
    <t>W5</t>
  </si>
  <si>
    <t>W6</t>
  </si>
  <si>
    <t>W7</t>
  </si>
  <si>
    <t>W8</t>
  </si>
  <si>
    <t>W9</t>
  </si>
  <si>
    <t>W10</t>
  </si>
  <si>
    <t>W11</t>
  </si>
  <si>
    <t>W12</t>
  </si>
  <si>
    <t>-</t>
  </si>
  <si>
    <t>Moment Of the day?</t>
  </si>
  <si>
    <t xml:space="preserve"> Funny Moment (s)?</t>
  </si>
  <si>
    <t>Song(s) Of the day</t>
  </si>
  <si>
    <t>tough situation(s)</t>
  </si>
  <si>
    <t>Rant(optional)</t>
  </si>
  <si>
    <t>Start Date</t>
  </si>
  <si>
    <t>End Date</t>
  </si>
  <si>
    <t>Be</t>
  </si>
  <si>
    <t>Honest</t>
  </si>
  <si>
    <t>its</t>
  </si>
  <si>
    <t>an</t>
  </si>
  <si>
    <t>observation</t>
  </si>
  <si>
    <t>before</t>
  </si>
  <si>
    <t>competion.</t>
  </si>
  <si>
    <t>Productive  Journaling</t>
  </si>
  <si>
    <t>12 Weeks + 1week rest = 1 edition</t>
  </si>
  <si>
    <t>3 editions + 1 restful edition = 1 chapter</t>
  </si>
  <si>
    <t>-&gt;</t>
  </si>
  <si>
    <t>You can take that 1 week break whenever you want in between the whole 12 weeks. If you don’t want to take any break, you can add that to the next edition.</t>
  </si>
  <si>
    <t>1 restful edition is nothing but 12 weeks of rest.</t>
  </si>
  <si>
    <t xml:space="preserve">Now u can use it as rest if you want but this period is exists so you still be productive, and etc. </t>
  </si>
  <si>
    <t xml:space="preserve"> but No score involved. A reminder that you are being productive for yourself but not to score max.You can use this period to reflect, evaluate your actions, priorities</t>
  </si>
  <si>
    <t xml:space="preserve">1 month of </t>
  </si>
  <si>
    <t>Cumulative Days</t>
  </si>
  <si>
    <t>Cumulative</t>
  </si>
  <si>
    <t>Bonus
(depends)</t>
  </si>
  <si>
    <t>Penalties
(depends)</t>
  </si>
  <si>
    <t>Art
(Depends)</t>
  </si>
  <si>
    <t>Hobbies / Activities</t>
  </si>
  <si>
    <t>Quaities</t>
  </si>
  <si>
    <t>Cleanliness(2pts) &amp;  
Heigine (1pt)</t>
  </si>
  <si>
    <t>Set Only 1 or few goals.</t>
  </si>
  <si>
    <t>Week 1</t>
  </si>
  <si>
    <t>Pj</t>
  </si>
  <si>
    <t>.</t>
  </si>
  <si>
    <t>Streaks</t>
  </si>
  <si>
    <t>Streak  
Bonus</t>
  </si>
  <si>
    <t>Consistency</t>
  </si>
  <si>
    <t xml:space="preserve">Total
(with Bonus)
</t>
  </si>
  <si>
    <t>Streak Bonus</t>
  </si>
  <si>
    <t>Total with bonus</t>
  </si>
  <si>
    <t>Charts</t>
  </si>
  <si>
    <t>everyday performance</t>
  </si>
  <si>
    <t>Comparison Weekly</t>
  </si>
  <si>
    <t>Comparison Weekly(streak bonus)</t>
  </si>
  <si>
    <t>Everyday performance(Streak Bonus)</t>
  </si>
  <si>
    <t>w2</t>
  </si>
  <si>
    <t>w3</t>
  </si>
  <si>
    <t>w4</t>
  </si>
  <si>
    <t>w5</t>
  </si>
  <si>
    <t>w6</t>
  </si>
  <si>
    <t>w7</t>
  </si>
  <si>
    <t>w8</t>
  </si>
  <si>
    <t>w9</t>
  </si>
  <si>
    <t>w10</t>
  </si>
  <si>
    <t>w11</t>
  </si>
  <si>
    <t>w12</t>
  </si>
  <si>
    <t xml:space="preserve">Compete </t>
  </si>
  <si>
    <t xml:space="preserve">With </t>
  </si>
  <si>
    <t>Yourself</t>
  </si>
  <si>
    <t xml:space="preserve">a </t>
  </si>
  <si>
    <t xml:space="preserve">"What </t>
  </si>
  <si>
    <t>Beautiful  Painting!!"</t>
  </si>
  <si>
    <t>(ignore)</t>
  </si>
  <si>
    <t>"Every action  of yours holds a VALUE ."</t>
  </si>
  <si>
    <t>MOOOOOORRE!!!</t>
  </si>
  <si>
    <t>make</t>
  </si>
  <si>
    <t xml:space="preserve">your </t>
  </si>
  <si>
    <t xml:space="preserve">last </t>
  </si>
  <si>
    <t xml:space="preserve">the </t>
  </si>
  <si>
    <t>Best</t>
  </si>
  <si>
    <t>letsgo</t>
  </si>
  <si>
    <r>
      <t xml:space="preserve">Like the cliche-old saying:
                                                                                                                                                                                                                                        </t>
    </r>
    <r>
      <rPr>
        <b/>
        <sz val="11"/>
        <color rgb="FFFF0000"/>
        <rFont val="Aptos Narrow"/>
        <family val="2"/>
      </rPr>
      <t xml:space="preserve"> </t>
    </r>
    <r>
      <rPr>
        <b/>
        <sz val="14"/>
        <color rgb="FFFF0000"/>
        <rFont val="Aptos Narrow"/>
        <family val="2"/>
      </rPr>
      <t>"Trying to live today a wee bit better than before."</t>
    </r>
    <r>
      <rPr>
        <sz val="11"/>
        <color rgb="FFFF0000"/>
        <rFont val="Aptos Narrow"/>
        <family val="2"/>
      </rPr>
      <t xml:space="preserve"> 
                                                 (And I dont mean by trying to be more productive for its own sake, but by actually enjoying your day. Yes, we must push ourselves forward and survive tough situations. But</t>
    </r>
    <r>
      <rPr>
        <u/>
        <sz val="11"/>
        <color rgb="FFFF0000"/>
        <rFont val="Aptos Narrow"/>
        <family val="2"/>
      </rPr>
      <t xml:space="preserve"> what is being productive without enjoying or striving to be productive? )
</t>
    </r>
    <r>
      <rPr>
        <sz val="11"/>
        <color rgb="FFFF0000"/>
        <rFont val="Aptos Narrow"/>
        <family val="2"/>
      </rPr>
      <t xml:space="preserve">                                                                                                                                                                                           Productivity is not just advancing forward in life, but also being content with what you have.
                                                                                                                                                                                   </t>
    </r>
    <r>
      <rPr>
        <u/>
        <sz val="11"/>
        <color rgb="FFFF0000"/>
        <rFont val="Aptos Narrow"/>
        <family val="2"/>
      </rPr>
      <t xml:space="preserve"> And THIS tool helps you track where you are standing, and helps you enjoy  ̷b̷̷e̷̷i̷̷n̷̷g̷ ̷p̷̷r̷̷o̷̷d̷̷u̷̷c̷̷t̷̷i̷̷v̷̷e̷  life.</t>
    </r>
  </si>
  <si>
    <r>
      <rPr>
        <b/>
        <sz val="24"/>
        <color rgb="FF000000"/>
        <rFont val="Aptos Narrow"/>
        <family val="2"/>
      </rPr>
      <t>What is Productive Journaling?</t>
    </r>
    <r>
      <rPr>
        <sz val="11"/>
        <color rgb="FF000000"/>
        <rFont val="Aptos Narrow"/>
        <family val="2"/>
      </rPr>
      <t xml:space="preserve">
An idea centered on awareness of your actions . A private space to notice effort, patterns, and progress over time.
Productive journaling not only measures your daily performance but mainly  to stay aware of how you spend your days in a leightweight way which can demand about 5 minutes of your everyday.  
More than focusing on perfect routines or streaks, it focuses on</t>
    </r>
    <r>
      <rPr>
        <b/>
        <sz val="11"/>
        <color rgb="FF000000"/>
        <rFont val="Aptos Narrow"/>
        <family val="2"/>
      </rPr>
      <t xml:space="preserve"> honest reflection</t>
    </r>
    <r>
      <rPr>
        <sz val="11"/>
        <color rgb="FF000000"/>
        <rFont val="Aptos Narrow"/>
        <family val="2"/>
      </rPr>
      <t xml:space="preserve">. You log what you actually did, how your day felt, and how you chose to use your time.
It  gives you the oppurtunity to reward yourself of those efforts which will go unheard/unnoticed but you.
There’s no “good” or “bad” day here.
Only days that </t>
    </r>
    <r>
      <rPr>
        <b/>
        <sz val="11"/>
        <color rgb="FF000000"/>
        <rFont val="Aptos Narrow"/>
        <family val="2"/>
      </rPr>
      <t>happened</t>
    </r>
    <r>
      <rPr>
        <sz val="11"/>
        <color rgb="FF000000"/>
        <rFont val="Aptos Narrow"/>
        <family val="2"/>
      </rPr>
      <t>.
~By also pushing you to maintain</t>
    </r>
    <r>
      <rPr>
        <b/>
        <sz val="11"/>
        <color rgb="FF000000"/>
        <rFont val="Aptos Narrow"/>
        <family val="2"/>
      </rPr>
      <t xml:space="preserve"> consistent-intensity</t>
    </r>
    <r>
      <rPr>
        <sz val="11"/>
        <color rgb="FF000000"/>
        <rFont val="Aptos Narrow"/>
        <family val="2"/>
      </rPr>
      <t xml:space="preserve"> of every activity/interest of yours. 
Over time, this helps you see where your energy goes, what you value, and how your days naturally balance work, rest, and interests.
A journal that is done differently  than a traditional diary (can be one if you want to).
Not a productivity system that tells you what to do
</t>
    </r>
    <r>
      <rPr>
        <b/>
        <u/>
        <sz val="11"/>
        <color rgb="FF000000"/>
        <rFont val="Aptos Narrow"/>
        <family val="2"/>
      </rPr>
      <t>Everything stays with you.</t>
    </r>
    <r>
      <rPr>
        <u/>
        <sz val="11"/>
        <color rgb="FF000000"/>
        <rFont val="Aptos Narrow"/>
        <family val="2"/>
      </rPr>
      <t xml:space="preserve">
</t>
    </r>
    <r>
      <rPr>
        <sz val="11"/>
        <color rgb="FF000000"/>
        <rFont val="Aptos Narrow"/>
        <family val="2"/>
      </rPr>
      <t xml:space="preserve">You decide what matters, how much detail to add, and how seriously to take it. </t>
    </r>
  </si>
  <si>
    <t>Enter your start date :</t>
  </si>
  <si>
    <t>Goal(s) by week 12:</t>
  </si>
  <si>
    <t>Productive Journaling is a life-time observation . Hence,If you wish to continue using it long term,  this is a recommended structure, and  The structure is very broad and long-term</t>
  </si>
  <si>
    <t xml:space="preserve">HIGHLY RECOMMENDED  you try this journal/template for 8 days. </t>
  </si>
  <si>
    <t xml:space="preserve">or atleast 2 days to get a gist of the whole idea.  And , </t>
  </si>
  <si>
    <t xml:space="preserve">Please leave us your valuable feeback </t>
  </si>
  <si>
    <t xml:space="preserve">Click me </t>
  </si>
  <si>
    <t xml:space="preserve">Please Leave us Your Valuable Feedback here : </t>
  </si>
  <si>
    <t xml:space="preserve">Click Me </t>
  </si>
  <si>
    <t xml:space="preserve">Contact Details: </t>
  </si>
  <si>
    <t xml:space="preserve">just hit me up on ig </t>
  </si>
  <si>
    <t>@vilgakz</t>
  </si>
  <si>
    <t>for boomers</t>
  </si>
  <si>
    <t>+91 8050279050</t>
  </si>
  <si>
    <t>+ 44 7341671943</t>
  </si>
  <si>
    <t>@kaipasaibhargav83@gmail.com</t>
  </si>
  <si>
    <t>for redditors</t>
  </si>
  <si>
    <t>r/theweirdlyguy</t>
  </si>
  <si>
    <t>( this sheet is still in experimental stage)</t>
  </si>
  <si>
    <r>
      <rPr>
        <b/>
        <sz val="24"/>
        <color rgb="FF000000"/>
        <rFont val="Aptos Narrow"/>
        <family val="2"/>
      </rPr>
      <t>How to use/instructions</t>
    </r>
    <r>
      <rPr>
        <sz val="11"/>
        <color rgb="FF000000"/>
        <rFont val="Aptos Narrow"/>
        <family val="2"/>
      </rPr>
      <t xml:space="preserve">
This template is meant to be simple.
You don’t need to understand everything before starting.
</t>
    </r>
    <r>
      <rPr>
        <b/>
        <sz val="11"/>
        <color rgb="FF000000"/>
        <rFont val="Aptos Narrow"/>
        <family val="2"/>
      </rPr>
      <t>Step 1 — One-time setup</t>
    </r>
    <r>
      <rPr>
        <sz val="11"/>
        <color rgb="FF000000"/>
        <rFont val="Aptos Narrow"/>
        <family val="2"/>
      </rPr>
      <t xml:space="preserve"> (≈ 5 minutes)
In the setup sheet, edit the activities, hobbies, or qualities that matter to you.
You decide what deserves attention — and how much.
There’s no “correct” scoring system here.
Set scores in a way that feels fair and realistic to you.
(edit the hobby comments/descriptions 'rightclick column-&gt;edit comment')
</t>
    </r>
    <r>
      <rPr>
        <b/>
        <sz val="11"/>
        <color rgb="FF000000"/>
        <rFont val="Aptos Narrow"/>
        <family val="2"/>
      </rPr>
      <t xml:space="preserve">Step 2 — Daily use </t>
    </r>
    <r>
      <rPr>
        <sz val="11"/>
        <color rgb="FF000000"/>
        <rFont val="Aptos Narrow"/>
        <family val="2"/>
      </rPr>
      <t xml:space="preserve">(≈ 1–2 minutes)
At the end of the day/the next day morning/anytime you prefer,
give yourself a score honestly
write a short line about how the day felt, or give it a title
That’s enough.
(If you want to vent, reflect deeper, or write more — you can.
If not, a single sentence is perfectly fine.)
</t>
    </r>
    <r>
      <rPr>
        <b/>
        <sz val="11"/>
        <color rgb="FF000000"/>
        <rFont val="Aptos Narrow"/>
        <family val="2"/>
      </rPr>
      <t>Step 3 — Let patterns form</t>
    </r>
    <r>
      <rPr>
        <sz val="11"/>
        <color rgb="FF000000"/>
        <rFont val="Aptos Narrow"/>
        <family val="2"/>
      </rPr>
      <t xml:space="preserve">
Use it daily without trying to optimize it early.
Over time, the charts and summaries begin to show patterns and enjoy!
Good days, bad days, boring days — they all count.
That’s the whole system.</t>
    </r>
  </si>
  <si>
    <t>e.g1:  art of doing nothin                                                          (erase and  write ur title of the day)</t>
  </si>
  <si>
    <t>Comments
(title of the day)/(rant)(vent)/(How was ur day)</t>
  </si>
  <si>
    <t>How's your week?</t>
  </si>
  <si>
    <t xml:space="preserve">How's your week? : </t>
  </si>
  <si>
    <t>How's your week?:</t>
  </si>
  <si>
    <t>How's Your week?</t>
  </si>
  <si>
    <t>How's Your week?:</t>
  </si>
  <si>
    <t>Did you live up to ur resolution(s) set in week1?:</t>
  </si>
  <si>
    <t>e.g 1 - thanks to omar for inviting me to dinner</t>
  </si>
  <si>
    <t>e.g2: Shoutout to my mother, and my father didn't pull out</t>
  </si>
  <si>
    <t>why 12 weeks? Do you know us humans have the capability to achieve a 12 month resolve/goal compressed within 12 weeks if done right?</t>
  </si>
  <si>
    <t>(~The 12 week year)</t>
  </si>
  <si>
    <t>Mon (e.g-&gt;)</t>
  </si>
  <si>
    <t>Wakeup @     6am
(3pts)</t>
  </si>
  <si>
    <t>Bootup 
(3pts)</t>
  </si>
  <si>
    <t>Research &amp; Study
(4pts/3pts pr hr)</t>
  </si>
  <si>
    <t>Gym
(6pts)</t>
  </si>
  <si>
    <t>Work
(1pt/hr)</t>
  </si>
  <si>
    <t>Overtime
(1pt/hr)</t>
  </si>
  <si>
    <t>Cooking
(2pts)</t>
  </si>
  <si>
    <t>Chess
(2/1/.5pts)</t>
  </si>
  <si>
    <t>Binge
(1pt/hr)</t>
  </si>
  <si>
    <t>Resist
(2pts)</t>
  </si>
  <si>
    <t>Help others
(1pt/hr)</t>
  </si>
  <si>
    <t>Journal
(2pts)</t>
  </si>
  <si>
    <t>Sleep by 11pm
(3pts)</t>
  </si>
  <si>
    <t>Diet &amp; Hydration
(4pts)</t>
  </si>
  <si>
    <t>Pace &amp; Intensity
(3pts)</t>
  </si>
  <si>
    <t>Integrity
(3pts)</t>
  </si>
  <si>
    <t>Vibe Check
(5pts)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</si>
</sst>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rgb="FF000000"/>
      <name val="Aptos Narrow"/>
      <family val="2"/>
    </font>
    <font>
      <sz val="11"/>
      <color rgb="FFFFFFFF"/>
      <name val="Aptos Narrow"/>
      <family val="2"/>
    </font>
    <font>
      <sz val="11"/>
      <color rgb="FF9C0006"/>
      <name val="Aptos Narrow"/>
      <family val="2"/>
    </font>
    <font>
      <sz val="8"/>
      <name val="Aptos Narrow"/>
      <family val="2"/>
    </font>
    <font>
      <sz val="48"/>
      <color rgb="FF000000"/>
      <name val="Aptos Narrow"/>
      <family val="2"/>
    </font>
    <font>
      <sz val="24"/>
      <color rgb="FF000000"/>
      <name val="Aptos Narrow"/>
      <family val="2"/>
    </font>
    <font>
      <sz val="72"/>
      <color rgb="FF000000"/>
      <name val="Sylfaen"/>
      <family val="1"/>
    </font>
    <font>
      <b/>
      <sz val="11"/>
      <color rgb="FF000000"/>
      <name val="Aptos Narrow"/>
      <family val="2"/>
    </font>
    <font>
      <b/>
      <u/>
      <sz val="11"/>
      <color rgb="FF000000"/>
      <name val="Aptos Narrow"/>
      <family val="2"/>
    </font>
    <font>
      <sz val="9"/>
      <color indexed="81"/>
      <name val="Tahoma"/>
      <family val="2"/>
    </font>
    <font>
      <b/>
      <sz val="9"/>
      <color indexed="81"/>
      <name val="Tahoma"/>
      <family val="2"/>
    </font>
    <font>
      <b/>
      <sz val="8"/>
      <color indexed="81"/>
      <name val="Tahoma"/>
      <family val="2"/>
    </font>
    <font>
      <b/>
      <sz val="8.5"/>
      <color indexed="81"/>
      <name val="Tahoma"/>
      <family val="2"/>
    </font>
    <font>
      <sz val="11"/>
      <color theme="0"/>
      <name val="Aptos Narrow"/>
      <family val="2"/>
    </font>
    <font>
      <b/>
      <sz val="11"/>
      <color theme="0"/>
      <name val="Aptos Narrow"/>
      <family val="2"/>
    </font>
    <font>
      <b/>
      <sz val="11"/>
      <color theme="7"/>
      <name val="Aptos Narrow"/>
      <family val="2"/>
    </font>
    <font>
      <b/>
      <sz val="11"/>
      <color theme="4"/>
      <name val="Aptos Narrow"/>
      <family val="2"/>
    </font>
    <font>
      <b/>
      <sz val="11"/>
      <color theme="5"/>
      <name val="Aptos Narrow"/>
      <family val="2"/>
    </font>
    <font>
      <b/>
      <sz val="11"/>
      <color theme="6"/>
      <name val="Aptos Narrow"/>
      <family val="2"/>
    </font>
    <font>
      <b/>
      <sz val="11"/>
      <color theme="8"/>
      <name val="Aptos Narrow"/>
      <family val="2"/>
    </font>
    <font>
      <b/>
      <sz val="11"/>
      <color theme="9"/>
      <name val="Aptos Narrow"/>
      <family val="2"/>
    </font>
    <font>
      <b/>
      <sz val="11"/>
      <color theme="3"/>
      <name val="Aptos Narrow"/>
      <family val="2"/>
    </font>
    <font>
      <b/>
      <sz val="11"/>
      <color rgb="FF860043"/>
      <name val="Aptos Narrow"/>
      <family val="2"/>
    </font>
    <font>
      <sz val="11"/>
      <color theme="5" tint="-0.499984740745262"/>
      <name val="Aptos Narrow"/>
      <family val="2"/>
    </font>
    <font>
      <b/>
      <i/>
      <u val="double"/>
      <sz val="11"/>
      <color rgb="FFFF0000"/>
      <name val="Aptos Narrow"/>
      <family val="2"/>
    </font>
    <font>
      <sz val="11"/>
      <color rgb="FF000000"/>
      <name val="Sylfaen"/>
      <family val="1"/>
    </font>
    <font>
      <u/>
      <sz val="11"/>
      <color rgb="FF000000"/>
      <name val="Aptos Narrow"/>
      <family val="2"/>
    </font>
    <font>
      <sz val="11"/>
      <color rgb="FFFF0000"/>
      <name val="Aptos Narrow"/>
      <family val="2"/>
    </font>
    <font>
      <b/>
      <sz val="11"/>
      <color rgb="FFFF0000"/>
      <name val="Aptos Narrow"/>
      <family val="2"/>
    </font>
    <font>
      <u/>
      <sz val="11"/>
      <color rgb="FFFF0000"/>
      <name val="Aptos Narrow"/>
      <family val="2"/>
    </font>
    <font>
      <b/>
      <i/>
      <u/>
      <sz val="11"/>
      <color rgb="FFFF0000"/>
      <name val="Aptos Narrow"/>
      <family val="2"/>
    </font>
    <font>
      <b/>
      <sz val="14"/>
      <color rgb="FFFF0000"/>
      <name val="Aptos Narrow"/>
      <family val="2"/>
    </font>
    <font>
      <b/>
      <sz val="24"/>
      <color rgb="FF000000"/>
      <name val="Aptos Narrow"/>
      <family val="2"/>
    </font>
    <font>
      <u/>
      <sz val="11"/>
      <color theme="10"/>
      <name val="Aptos Narrow"/>
      <family val="2"/>
    </font>
  </fonts>
  <fills count="37">
    <fill>
      <patternFill patternType="none"/>
    </fill>
    <fill>
      <patternFill patternType="gray125"/>
    </fill>
    <fill>
      <patternFill patternType="solid">
        <fgColor rgb="FFA02B93"/>
        <bgColor rgb="FFA02B93"/>
      </patternFill>
    </fill>
    <fill>
      <patternFill patternType="solid">
        <fgColor rgb="FF4EA72E"/>
        <bgColor rgb="FF4EA72E"/>
      </patternFill>
    </fill>
    <fill>
      <patternFill patternType="solid">
        <fgColor rgb="FFFFC7CE"/>
        <bgColor rgb="FFFFC7CE"/>
      </patternFill>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rgb="FFC00000"/>
        <bgColor indexed="64"/>
      </patternFill>
    </fill>
    <fill>
      <patternFill patternType="solid">
        <fgColor rgb="FFFF7C8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FF4B"/>
        <bgColor indexed="64"/>
      </patternFill>
    </fill>
    <fill>
      <patternFill patternType="solid">
        <fgColor theme="1" tint="0.499984740745262"/>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9" tint="-0.499984740745262"/>
        <bgColor indexed="64"/>
      </patternFill>
    </fill>
    <fill>
      <patternFill patternType="solid">
        <fgColor rgb="FFFFFFAF"/>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theme="2" tint="-0.749992370372631"/>
        <bgColor indexed="64"/>
      </patternFill>
    </fill>
    <fill>
      <patternFill patternType="solid">
        <fgColor theme="6" tint="-0.499984740745262"/>
        <bgColor indexed="64"/>
      </patternFill>
    </fill>
    <fill>
      <patternFill patternType="solid">
        <fgColor theme="3" tint="0.89999084444715716"/>
        <bgColor indexed="64"/>
      </patternFill>
    </fill>
    <fill>
      <patternFill patternType="solid">
        <fgColor theme="9" tint="0.79998168889431442"/>
        <bgColor indexed="64"/>
      </patternFill>
    </fill>
  </fills>
  <borders count="1">
    <border>
      <left/>
      <right/>
      <top/>
      <bottom/>
      <diagonal/>
    </border>
  </borders>
  <cellStyleXfs count="5">
    <xf numFmtId="0" fontId="0" fillId="0" borderId="0"/>
    <xf numFmtId="0" fontId="2" fillId="4"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33" fillId="0" borderId="0" applyNumberFormat="0" applyFill="0" applyBorder="0" applyAlignment="0" applyProtection="0"/>
  </cellStyleXfs>
  <cellXfs count="213">
    <xf numFmtId="0" fontId="0" fillId="0" borderId="0" xfId="0"/>
    <xf numFmtId="0" fontId="0" fillId="0" borderId="0" xfId="0" applyAlignment="1">
      <alignment wrapText="1"/>
    </xf>
    <xf numFmtId="0" fontId="4" fillId="0" borderId="0" xfId="0" applyFont="1"/>
    <xf numFmtId="0" fontId="5" fillId="0" borderId="0" xfId="0" applyFont="1"/>
    <xf numFmtId="0" fontId="6" fillId="0" borderId="0" xfId="0" applyFont="1"/>
    <xf numFmtId="0" fontId="7" fillId="0" borderId="0" xfId="0" quotePrefix="1" applyFont="1" applyAlignment="1">
      <alignment horizontal="center"/>
    </xf>
    <xf numFmtId="14" fontId="8" fillId="0" borderId="0" xfId="0" applyNumberFormat="1" applyFont="1"/>
    <xf numFmtId="0" fontId="0" fillId="0" borderId="0" xfId="0" applyFont="1"/>
    <xf numFmtId="0" fontId="0" fillId="0" borderId="0" xfId="0" applyFont="1" applyAlignment="1">
      <alignment vertical="center"/>
    </xf>
    <xf numFmtId="14" fontId="0" fillId="0" borderId="0" xfId="0" applyNumberFormat="1" applyFont="1" applyAlignment="1">
      <alignment horizontal="center"/>
    </xf>
    <xf numFmtId="0" fontId="0" fillId="0" borderId="0" xfId="0" applyFont="1" applyAlignment="1">
      <alignment horizontal="center"/>
    </xf>
    <xf numFmtId="0" fontId="0" fillId="0" borderId="0" xfId="0" applyFont="1" applyAlignment="1">
      <alignment wrapText="1"/>
    </xf>
    <xf numFmtId="0" fontId="0" fillId="0" borderId="0" xfId="0" applyFont="1" applyAlignment="1">
      <alignment horizontal="center" wrapText="1"/>
    </xf>
    <xf numFmtId="14" fontId="0" fillId="0" borderId="0" xfId="0" applyNumberFormat="1" applyFont="1"/>
    <xf numFmtId="0" fontId="0" fillId="5" borderId="0" xfId="0" applyFont="1" applyFill="1"/>
    <xf numFmtId="11" fontId="0" fillId="5" borderId="0" xfId="0" applyNumberFormat="1" applyFont="1" applyFill="1"/>
    <xf numFmtId="0" fontId="0" fillId="0" borderId="0" xfId="0" applyBorder="1"/>
    <xf numFmtId="0" fontId="0" fillId="0" borderId="0" xfId="0" applyFont="1" applyBorder="1"/>
    <xf numFmtId="0" fontId="0" fillId="7" borderId="0" xfId="0" applyFont="1" applyFill="1" applyBorder="1" applyAlignment="1">
      <alignment wrapText="1"/>
    </xf>
    <xf numFmtId="0" fontId="0" fillId="0" borderId="0" xfId="0" applyFont="1" applyBorder="1" applyAlignment="1">
      <alignment horizontal="center"/>
    </xf>
    <xf numFmtId="0" fontId="0" fillId="0" borderId="0" xfId="0" applyFont="1" applyBorder="1" applyAlignment="1">
      <alignment wrapText="1"/>
    </xf>
    <xf numFmtId="0" fontId="0" fillId="6" borderId="0" xfId="0" applyFont="1" applyFill="1" applyBorder="1"/>
    <xf numFmtId="0" fontId="0" fillId="5" borderId="0" xfId="0" applyFont="1" applyFill="1" applyBorder="1"/>
    <xf numFmtId="0" fontId="0" fillId="8" borderId="0" xfId="0" applyFont="1" applyFill="1" applyBorder="1" applyAlignment="1">
      <alignment wrapText="1"/>
    </xf>
    <xf numFmtId="0" fontId="0" fillId="9" borderId="0" xfId="0" applyFont="1" applyFill="1" applyBorder="1"/>
    <xf numFmtId="0" fontId="0" fillId="12" borderId="0" xfId="0" applyFont="1" applyFill="1"/>
    <xf numFmtId="0" fontId="0" fillId="12" borderId="0" xfId="0" applyFont="1" applyFill="1" applyAlignment="1">
      <alignment wrapText="1"/>
    </xf>
    <xf numFmtId="14" fontId="0" fillId="12" borderId="0" xfId="0" applyNumberFormat="1" applyFont="1" applyFill="1"/>
    <xf numFmtId="14" fontId="0" fillId="6" borderId="0" xfId="0" applyNumberFormat="1" applyFont="1" applyFill="1" applyBorder="1" applyAlignment="1">
      <alignment horizontal="center"/>
    </xf>
    <xf numFmtId="0" fontId="1" fillId="10" borderId="0" xfId="0" applyFont="1" applyFill="1" applyBorder="1"/>
    <xf numFmtId="0" fontId="1" fillId="11" borderId="0" xfId="0" applyFont="1" applyFill="1" applyAlignment="1">
      <alignment wrapText="1"/>
    </xf>
    <xf numFmtId="0" fontId="1" fillId="10" borderId="0" xfId="0" applyFont="1" applyFill="1"/>
    <xf numFmtId="0" fontId="0" fillId="14" borderId="0" xfId="0" applyFont="1" applyFill="1" applyAlignment="1">
      <alignment wrapText="1"/>
    </xf>
    <xf numFmtId="0" fontId="0" fillId="14" borderId="0" xfId="0" applyFont="1" applyFill="1"/>
    <xf numFmtId="14" fontId="0" fillId="14" borderId="0" xfId="0" applyNumberFormat="1" applyFont="1" applyFill="1"/>
    <xf numFmtId="0" fontId="0" fillId="16" borderId="0" xfId="0" applyFont="1" applyFill="1"/>
    <xf numFmtId="0" fontId="1" fillId="11" borderId="0" xfId="0" applyFont="1" applyFill="1"/>
    <xf numFmtId="0" fontId="1" fillId="13" borderId="0" xfId="0" applyFont="1" applyFill="1" applyAlignment="1">
      <alignment horizontal="center" wrapText="1"/>
    </xf>
    <xf numFmtId="0" fontId="1" fillId="13" borderId="0" xfId="0" applyFont="1" applyFill="1" applyAlignment="1">
      <alignment wrapText="1"/>
    </xf>
    <xf numFmtId="0" fontId="1" fillId="15" borderId="0" xfId="0" applyFont="1" applyFill="1" applyAlignment="1">
      <alignment wrapText="1"/>
    </xf>
    <xf numFmtId="14" fontId="0" fillId="16" borderId="0" xfId="0" applyNumberFormat="1" applyFont="1" applyFill="1"/>
    <xf numFmtId="0" fontId="0" fillId="18" borderId="0" xfId="0" applyFont="1" applyFill="1"/>
    <xf numFmtId="14" fontId="0" fillId="18" borderId="0" xfId="0" applyNumberFormat="1" applyFont="1" applyFill="1"/>
    <xf numFmtId="0" fontId="0" fillId="19" borderId="0" xfId="0" applyFont="1" applyFill="1" applyAlignment="1">
      <alignment wrapText="1"/>
    </xf>
    <xf numFmtId="0" fontId="0" fillId="21" borderId="0" xfId="0" applyFont="1" applyFill="1"/>
    <xf numFmtId="14" fontId="0" fillId="21" borderId="0" xfId="0" applyNumberFormat="1" applyFont="1" applyFill="1"/>
    <xf numFmtId="0" fontId="0" fillId="22" borderId="0" xfId="0" applyFont="1" applyFill="1" applyAlignment="1">
      <alignment wrapText="1"/>
    </xf>
    <xf numFmtId="0" fontId="0" fillId="23" borderId="0" xfId="0" applyFont="1" applyFill="1"/>
    <xf numFmtId="14" fontId="0" fillId="23" borderId="0" xfId="0" applyNumberFormat="1" applyFont="1" applyFill="1"/>
    <xf numFmtId="0" fontId="1" fillId="17" borderId="0" xfId="0" applyFont="1" applyFill="1" applyAlignment="1">
      <alignment wrapText="1"/>
    </xf>
    <xf numFmtId="0" fontId="1" fillId="20" borderId="0" xfId="0" applyFont="1" applyFill="1" applyAlignment="1">
      <alignment wrapText="1"/>
    </xf>
    <xf numFmtId="0" fontId="0" fillId="24" borderId="0" xfId="0" applyFont="1" applyFill="1"/>
    <xf numFmtId="14" fontId="0" fillId="24" borderId="0" xfId="0" applyNumberFormat="1" applyFont="1" applyFill="1"/>
    <xf numFmtId="0" fontId="7" fillId="6" borderId="0" xfId="0" applyFont="1" applyFill="1" applyBorder="1"/>
    <xf numFmtId="0" fontId="1" fillId="10" borderId="0" xfId="0" applyFont="1" applyFill="1" applyAlignment="1">
      <alignment wrapText="1"/>
    </xf>
    <xf numFmtId="0" fontId="0" fillId="26" borderId="0" xfId="0" applyFont="1" applyFill="1"/>
    <xf numFmtId="14" fontId="0" fillId="26" borderId="0" xfId="0" applyNumberFormat="1" applyFont="1" applyFill="1"/>
    <xf numFmtId="0" fontId="13" fillId="25" borderId="0" xfId="0" applyFont="1" applyFill="1" applyAlignment="1">
      <alignment wrapText="1"/>
    </xf>
    <xf numFmtId="0" fontId="13" fillId="27" borderId="0" xfId="0" applyFont="1" applyFill="1" applyAlignment="1">
      <alignment wrapText="1"/>
    </xf>
    <xf numFmtId="0" fontId="0" fillId="28" borderId="0" xfId="0" applyFont="1" applyFill="1" applyAlignment="1">
      <alignment wrapText="1"/>
    </xf>
    <xf numFmtId="0" fontId="0" fillId="28" borderId="0" xfId="0" applyFont="1" applyFill="1"/>
    <xf numFmtId="14" fontId="0" fillId="28" borderId="0" xfId="0" applyNumberFormat="1" applyFont="1" applyFill="1"/>
    <xf numFmtId="0" fontId="0" fillId="29" borderId="0" xfId="0" applyFont="1" applyFill="1" applyAlignment="1">
      <alignment wrapText="1"/>
    </xf>
    <xf numFmtId="0" fontId="0" fillId="30" borderId="0" xfId="0" applyFont="1" applyFill="1"/>
    <xf numFmtId="14" fontId="0" fillId="30" borderId="0" xfId="0" applyNumberFormat="1" applyFont="1" applyFill="1"/>
    <xf numFmtId="0" fontId="13" fillId="15" borderId="0" xfId="0" applyFont="1" applyFill="1"/>
    <xf numFmtId="14" fontId="13" fillId="15" borderId="0" xfId="0" applyNumberFormat="1" applyFont="1" applyFill="1"/>
    <xf numFmtId="0" fontId="13" fillId="17" borderId="0" xfId="0" applyFont="1" applyFill="1" applyAlignment="1">
      <alignment wrapText="1"/>
    </xf>
    <xf numFmtId="0" fontId="15" fillId="6" borderId="0" xfId="0" applyFont="1" applyFill="1" applyBorder="1"/>
    <xf numFmtId="0" fontId="16" fillId="6" borderId="0" xfId="0" applyFont="1" applyFill="1" applyBorder="1"/>
    <xf numFmtId="0" fontId="17" fillId="6" borderId="0" xfId="0" applyFont="1" applyFill="1" applyBorder="1"/>
    <xf numFmtId="0" fontId="18" fillId="6" borderId="0" xfId="0" applyFont="1" applyFill="1" applyBorder="1"/>
    <xf numFmtId="0" fontId="19" fillId="6" borderId="0" xfId="0" applyFont="1" applyFill="1" applyBorder="1"/>
    <xf numFmtId="0" fontId="20" fillId="6" borderId="0" xfId="0" applyFont="1" applyFill="1" applyBorder="1"/>
    <xf numFmtId="0" fontId="21" fillId="6" borderId="0" xfId="0" applyFont="1" applyFill="1" applyBorder="1"/>
    <xf numFmtId="0" fontId="16" fillId="12" borderId="0" xfId="0" applyFont="1" applyFill="1"/>
    <xf numFmtId="0" fontId="16" fillId="14" borderId="0" xfId="0" applyFont="1" applyFill="1"/>
    <xf numFmtId="0" fontId="16" fillId="16" borderId="0" xfId="0" applyFont="1" applyFill="1"/>
    <xf numFmtId="0" fontId="16" fillId="18" borderId="0" xfId="0" applyFont="1" applyFill="1"/>
    <xf numFmtId="0" fontId="16" fillId="21" borderId="0" xfId="0" applyFont="1" applyFill="1"/>
    <xf numFmtId="0" fontId="16" fillId="23" borderId="0" xfId="0" applyFont="1" applyFill="1"/>
    <xf numFmtId="0" fontId="16" fillId="26" borderId="0" xfId="0" applyFont="1" applyFill="1"/>
    <xf numFmtId="0" fontId="16" fillId="28" borderId="0" xfId="0" applyFont="1" applyFill="1"/>
    <xf numFmtId="0" fontId="16" fillId="30" borderId="0" xfId="0" applyFont="1" applyFill="1"/>
    <xf numFmtId="0" fontId="16" fillId="15" borderId="0" xfId="0" applyFont="1" applyFill="1"/>
    <xf numFmtId="0" fontId="16" fillId="24" borderId="0" xfId="0" applyFont="1" applyFill="1"/>
    <xf numFmtId="0" fontId="17" fillId="12" borderId="0" xfId="0" applyFont="1" applyFill="1"/>
    <xf numFmtId="0" fontId="17" fillId="14" borderId="0" xfId="0" applyFont="1" applyFill="1"/>
    <xf numFmtId="0" fontId="17" fillId="16" borderId="0" xfId="0" applyFont="1" applyFill="1"/>
    <xf numFmtId="0" fontId="17" fillId="18" borderId="0" xfId="0" applyFont="1" applyFill="1"/>
    <xf numFmtId="0" fontId="17" fillId="21" borderId="0" xfId="0" applyFont="1" applyFill="1"/>
    <xf numFmtId="0" fontId="17" fillId="23" borderId="0" xfId="0" applyFont="1" applyFill="1"/>
    <xf numFmtId="0" fontId="17" fillId="26" borderId="0" xfId="0" applyFont="1" applyFill="1"/>
    <xf numFmtId="0" fontId="17" fillId="28" borderId="0" xfId="0" applyFont="1" applyFill="1"/>
    <xf numFmtId="0" fontId="17" fillId="30" borderId="0" xfId="0" applyFont="1" applyFill="1"/>
    <xf numFmtId="0" fontId="17" fillId="15" borderId="0" xfId="0" applyFont="1" applyFill="1"/>
    <xf numFmtId="0" fontId="17" fillId="24" borderId="0" xfId="0" applyFont="1" applyFill="1"/>
    <xf numFmtId="0" fontId="7" fillId="12" borderId="0" xfId="0" applyFont="1" applyFill="1"/>
    <xf numFmtId="0" fontId="7" fillId="14" borderId="0" xfId="0" applyFont="1" applyFill="1"/>
    <xf numFmtId="0" fontId="7" fillId="16" borderId="0" xfId="0" applyFont="1" applyFill="1"/>
    <xf numFmtId="0" fontId="7" fillId="18" borderId="0" xfId="0" applyFont="1" applyFill="1"/>
    <xf numFmtId="0" fontId="7" fillId="21" borderId="0" xfId="0" applyFont="1" applyFill="1"/>
    <xf numFmtId="0" fontId="7" fillId="23" borderId="0" xfId="0" applyFont="1" applyFill="1"/>
    <xf numFmtId="0" fontId="7" fillId="26" borderId="0" xfId="0" applyFont="1" applyFill="1"/>
    <xf numFmtId="0" fontId="7" fillId="28" borderId="0" xfId="0" applyFont="1" applyFill="1"/>
    <xf numFmtId="0" fontId="7" fillId="30" borderId="0" xfId="0" applyFont="1" applyFill="1"/>
    <xf numFmtId="0" fontId="14" fillId="15" borderId="0" xfId="0" applyFont="1" applyFill="1"/>
    <xf numFmtId="0" fontId="7" fillId="24" borderId="0" xfId="0" applyFont="1" applyFill="1"/>
    <xf numFmtId="0" fontId="18" fillId="0" borderId="0" xfId="0" applyFont="1"/>
    <xf numFmtId="0" fontId="18" fillId="12" borderId="0" xfId="0" applyFont="1" applyFill="1"/>
    <xf numFmtId="0" fontId="18" fillId="14" borderId="0" xfId="0" applyFont="1" applyFill="1"/>
    <xf numFmtId="0" fontId="18" fillId="16" borderId="0" xfId="0" applyFont="1" applyFill="1"/>
    <xf numFmtId="0" fontId="18" fillId="18" borderId="0" xfId="0" applyFont="1" applyFill="1"/>
    <xf numFmtId="0" fontId="18" fillId="21" borderId="0" xfId="0" applyFont="1" applyFill="1"/>
    <xf numFmtId="0" fontId="18" fillId="23" borderId="0" xfId="0" applyFont="1" applyFill="1"/>
    <xf numFmtId="0" fontId="18" fillId="26" borderId="0" xfId="0" applyFont="1" applyFill="1"/>
    <xf numFmtId="0" fontId="18" fillId="28" borderId="0" xfId="0" applyFont="1" applyFill="1"/>
    <xf numFmtId="0" fontId="18" fillId="30" borderId="0" xfId="0" applyFont="1" applyFill="1"/>
    <xf numFmtId="0" fontId="18" fillId="15" borderId="0" xfId="0" applyFont="1" applyFill="1"/>
    <xf numFmtId="0" fontId="18" fillId="24" borderId="0" xfId="0" applyFont="1" applyFill="1"/>
    <xf numFmtId="0" fontId="15" fillId="12" borderId="0" xfId="0" applyFont="1" applyFill="1"/>
    <xf numFmtId="0" fontId="15" fillId="14" borderId="0" xfId="0" applyFont="1" applyFill="1"/>
    <xf numFmtId="0" fontId="15" fillId="16" borderId="0" xfId="0" applyFont="1" applyFill="1"/>
    <xf numFmtId="0" fontId="15" fillId="18" borderId="0" xfId="0" applyFont="1" applyFill="1"/>
    <xf numFmtId="0" fontId="15" fillId="21" borderId="0" xfId="0" applyFont="1" applyFill="1"/>
    <xf numFmtId="0" fontId="15" fillId="23" borderId="0" xfId="0" applyFont="1" applyFill="1"/>
    <xf numFmtId="0" fontId="15" fillId="26" borderId="0" xfId="0" applyFont="1" applyFill="1"/>
    <xf numFmtId="0" fontId="15" fillId="28" borderId="0" xfId="0" applyFont="1" applyFill="1"/>
    <xf numFmtId="0" fontId="15" fillId="30" borderId="0" xfId="0" applyFont="1" applyFill="1"/>
    <xf numFmtId="0" fontId="15" fillId="15" borderId="0" xfId="0" applyFont="1" applyFill="1"/>
    <xf numFmtId="0" fontId="15" fillId="24" borderId="0" xfId="0" applyFont="1" applyFill="1"/>
    <xf numFmtId="0" fontId="19" fillId="12" borderId="0" xfId="0" applyFont="1" applyFill="1"/>
    <xf numFmtId="0" fontId="19" fillId="14" borderId="0" xfId="0" applyFont="1" applyFill="1"/>
    <xf numFmtId="0" fontId="19" fillId="16" borderId="0" xfId="0" applyFont="1" applyFill="1"/>
    <xf numFmtId="0" fontId="19" fillId="18" borderId="0" xfId="0" applyFont="1" applyFill="1"/>
    <xf numFmtId="0" fontId="19" fillId="21" borderId="0" xfId="0" applyFont="1" applyFill="1"/>
    <xf numFmtId="0" fontId="19" fillId="23" borderId="0" xfId="0" applyFont="1" applyFill="1"/>
    <xf numFmtId="0" fontId="19" fillId="26" borderId="0" xfId="0" applyFont="1" applyFill="1"/>
    <xf numFmtId="0" fontId="19" fillId="28" borderId="0" xfId="0" applyFont="1" applyFill="1"/>
    <xf numFmtId="0" fontId="19" fillId="30" borderId="0" xfId="0" applyFont="1" applyFill="1"/>
    <xf numFmtId="0" fontId="19" fillId="15" borderId="0" xfId="0" applyFont="1" applyFill="1"/>
    <xf numFmtId="0" fontId="19" fillId="24" borderId="0" xfId="0" applyFont="1" applyFill="1"/>
    <xf numFmtId="0" fontId="20" fillId="12" borderId="0" xfId="0" applyFont="1" applyFill="1"/>
    <xf numFmtId="0" fontId="20" fillId="14" borderId="0" xfId="0" applyFont="1" applyFill="1"/>
    <xf numFmtId="0" fontId="20" fillId="16" borderId="0" xfId="0" applyFont="1" applyFill="1"/>
    <xf numFmtId="0" fontId="20" fillId="18" borderId="0" xfId="0" applyFont="1" applyFill="1"/>
    <xf numFmtId="0" fontId="20" fillId="21" borderId="0" xfId="0" applyFont="1" applyFill="1"/>
    <xf numFmtId="0" fontId="20" fillId="23" borderId="0" xfId="0" applyFont="1" applyFill="1"/>
    <xf numFmtId="0" fontId="20" fillId="26" borderId="0" xfId="0" applyFont="1" applyFill="1"/>
    <xf numFmtId="0" fontId="20" fillId="28" borderId="0" xfId="0" applyFont="1" applyFill="1"/>
    <xf numFmtId="0" fontId="20" fillId="30" borderId="0" xfId="0" applyFont="1" applyFill="1"/>
    <xf numFmtId="0" fontId="20" fillId="15" borderId="0" xfId="0" applyFont="1" applyFill="1"/>
    <xf numFmtId="0" fontId="20" fillId="24" borderId="0" xfId="0" applyFont="1" applyFill="1"/>
    <xf numFmtId="0" fontId="21" fillId="14" borderId="0" xfId="0" applyFont="1" applyFill="1"/>
    <xf numFmtId="0" fontId="21" fillId="16" borderId="0" xfId="0" applyFont="1" applyFill="1"/>
    <xf numFmtId="0" fontId="21" fillId="18" borderId="0" xfId="0" applyFont="1" applyFill="1"/>
    <xf numFmtId="0" fontId="21" fillId="21" borderId="0" xfId="0" applyFont="1" applyFill="1"/>
    <xf numFmtId="0" fontId="21" fillId="23" borderId="0" xfId="0" applyFont="1" applyFill="1"/>
    <xf numFmtId="0" fontId="21" fillId="26" borderId="0" xfId="0" applyFont="1" applyFill="1"/>
    <xf numFmtId="0" fontId="21" fillId="28" borderId="0" xfId="0" applyFont="1" applyFill="1"/>
    <xf numFmtId="0" fontId="21" fillId="30" borderId="0" xfId="0" applyFont="1" applyFill="1"/>
    <xf numFmtId="0" fontId="21" fillId="15" borderId="0" xfId="0" applyFont="1" applyFill="1"/>
    <xf numFmtId="0" fontId="21" fillId="24" borderId="0" xfId="0" applyFont="1" applyFill="1"/>
    <xf numFmtId="0" fontId="0" fillId="33" borderId="0" xfId="0" applyFill="1"/>
    <xf numFmtId="0" fontId="13" fillId="33" borderId="0" xfId="0" applyFont="1" applyFill="1"/>
    <xf numFmtId="0" fontId="13" fillId="33" borderId="0" xfId="0" applyFont="1" applyFill="1" applyAlignment="1">
      <alignment horizontal="center" vertical="center" wrapText="1"/>
    </xf>
    <xf numFmtId="0" fontId="13" fillId="33" borderId="0" xfId="0" applyFont="1" applyFill="1" applyAlignment="1">
      <alignment horizontal="center" vertical="center"/>
    </xf>
    <xf numFmtId="0" fontId="13" fillId="33" borderId="0" xfId="0" applyFont="1" applyFill="1" applyAlignment="1">
      <alignment vertical="center"/>
    </xf>
    <xf numFmtId="0" fontId="0" fillId="33" borderId="0" xfId="0" applyFill="1" applyAlignment="1">
      <alignment wrapText="1"/>
    </xf>
    <xf numFmtId="0" fontId="23" fillId="0" borderId="0" xfId="0" applyFont="1"/>
    <xf numFmtId="0" fontId="24" fillId="34" borderId="0" xfId="0" applyFont="1" applyFill="1" applyAlignment="1">
      <alignment horizontal="center" vertical="center"/>
    </xf>
    <xf numFmtId="0" fontId="0" fillId="0" borderId="0" xfId="0" applyBorder="1" applyAlignment="1">
      <alignment horizontal="center"/>
    </xf>
    <xf numFmtId="0" fontId="0" fillId="0" borderId="0" xfId="0" applyBorder="1" applyAlignment="1">
      <alignment horizontal="right"/>
    </xf>
    <xf numFmtId="164" fontId="0" fillId="0" borderId="0" xfId="0" applyNumberFormat="1" applyFont="1" applyBorder="1"/>
    <xf numFmtId="164" fontId="0" fillId="0" borderId="0" xfId="0" applyNumberFormat="1" applyFont="1"/>
    <xf numFmtId="0" fontId="14" fillId="10" borderId="0" xfId="0" applyFont="1" applyFill="1" applyAlignment="1">
      <alignment vertical="center"/>
    </xf>
    <xf numFmtId="0" fontId="0" fillId="0" borderId="0" xfId="0" applyFill="1" applyBorder="1"/>
    <xf numFmtId="0" fontId="25" fillId="0" borderId="0" xfId="0" applyFont="1"/>
    <xf numFmtId="0" fontId="7" fillId="0" borderId="0" xfId="0" applyFont="1"/>
    <xf numFmtId="0" fontId="7" fillId="0" borderId="0" xfId="0" applyFont="1" applyAlignment="1">
      <alignment horizontal="center"/>
    </xf>
    <xf numFmtId="0" fontId="7" fillId="0" borderId="0" xfId="0" applyFont="1" applyAlignment="1">
      <alignment horizontal="left"/>
    </xf>
    <xf numFmtId="0" fontId="0" fillId="28" borderId="0" xfId="0" applyFill="1"/>
    <xf numFmtId="0" fontId="0" fillId="28" borderId="0" xfId="0" quotePrefix="1" applyFont="1" applyFill="1"/>
    <xf numFmtId="0" fontId="0" fillId="28" borderId="0" xfId="0" applyFont="1" applyFill="1" applyAlignment="1"/>
    <xf numFmtId="0" fontId="0" fillId="5" borderId="0" xfId="0" applyFont="1" applyFill="1" applyBorder="1" applyAlignment="1">
      <alignment horizontal="left"/>
    </xf>
    <xf numFmtId="0" fontId="33" fillId="28" borderId="0" xfId="4" applyFill="1"/>
    <xf numFmtId="0" fontId="33" fillId="0" borderId="0" xfId="4"/>
    <xf numFmtId="0" fontId="0" fillId="28" borderId="0" xfId="0" quotePrefix="1" applyFill="1"/>
    <xf numFmtId="0" fontId="13" fillId="15" borderId="0" xfId="0" applyFont="1" applyFill="1" applyAlignment="1">
      <alignment wrapText="1"/>
    </xf>
    <xf numFmtId="0" fontId="0" fillId="14" borderId="0" xfId="0" applyFont="1" applyFill="1" applyAlignment="1">
      <alignment horizontal="center" wrapText="1"/>
    </xf>
    <xf numFmtId="0" fontId="0" fillId="16" borderId="0" xfId="0" applyFont="1" applyFill="1" applyAlignment="1">
      <alignment wrapText="1"/>
    </xf>
    <xf numFmtId="0" fontId="0" fillId="18" borderId="0" xfId="0" applyFont="1" applyFill="1" applyAlignment="1">
      <alignment wrapText="1"/>
    </xf>
    <xf numFmtId="0" fontId="0" fillId="23" borderId="0" xfId="0" applyFont="1" applyFill="1" applyAlignment="1">
      <alignment wrapText="1"/>
    </xf>
    <xf numFmtId="0" fontId="0" fillId="26" borderId="0" xfId="0" applyFont="1" applyFill="1" applyAlignment="1">
      <alignment wrapText="1"/>
    </xf>
    <xf numFmtId="0" fontId="0" fillId="28" borderId="0" xfId="0" applyFont="1" applyFill="1" applyAlignment="1">
      <alignment horizontal="left" wrapText="1"/>
    </xf>
    <xf numFmtId="0" fontId="0" fillId="31" borderId="0" xfId="0" applyFont="1" applyFill="1" applyAlignment="1">
      <alignment wrapText="1"/>
    </xf>
    <xf numFmtId="0" fontId="0" fillId="24" borderId="0" xfId="0" applyFont="1" applyFill="1" applyAlignment="1">
      <alignment wrapText="1"/>
    </xf>
    <xf numFmtId="2" fontId="0" fillId="0" borderId="0" xfId="0" applyNumberFormat="1" applyBorder="1"/>
    <xf numFmtId="0" fontId="0" fillId="0" borderId="0" xfId="0" applyFont="1" applyAlignment="1">
      <alignment horizontal="center" wrapText="1"/>
    </xf>
    <xf numFmtId="0" fontId="0" fillId="0" borderId="0" xfId="0" applyFont="1" applyAlignment="1">
      <alignment horizontal="right"/>
    </xf>
    <xf numFmtId="14" fontId="0" fillId="0" borderId="0" xfId="0" applyNumberFormat="1" applyFont="1" applyAlignment="1">
      <alignment horizontal="center" wrapText="1"/>
    </xf>
    <xf numFmtId="14" fontId="0" fillId="0" borderId="0" xfId="0" applyNumberFormat="1" applyFont="1" applyAlignment="1">
      <alignment wrapText="1"/>
    </xf>
    <xf numFmtId="0" fontId="0" fillId="0" borderId="0" xfId="0" applyFont="1" applyFill="1" applyBorder="1"/>
    <xf numFmtId="0" fontId="22" fillId="32" borderId="0" xfId="0" applyFont="1" applyFill="1" applyAlignment="1">
      <alignment horizontal="center" vertical="center"/>
    </xf>
    <xf numFmtId="0" fontId="0" fillId="6" borderId="0" xfId="0" applyFill="1" applyAlignment="1">
      <alignment horizontal="center"/>
    </xf>
    <xf numFmtId="0" fontId="0" fillId="6" borderId="0" xfId="0" applyFont="1" applyFill="1" applyBorder="1" applyAlignment="1">
      <alignment horizontal="center"/>
    </xf>
    <xf numFmtId="0" fontId="0" fillId="0" borderId="0" xfId="0" applyFont="1" applyAlignment="1">
      <alignment horizontal="center" wrapText="1"/>
    </xf>
    <xf numFmtId="0" fontId="30" fillId="20" borderId="0" xfId="0" applyFont="1" applyFill="1" applyAlignment="1">
      <alignment horizontal="center"/>
    </xf>
    <xf numFmtId="0" fontId="0" fillId="28" borderId="0" xfId="0" quotePrefix="1" applyFill="1" applyAlignment="1">
      <alignment horizontal="left"/>
    </xf>
    <xf numFmtId="0" fontId="27" fillId="36" borderId="0" xfId="0" applyFont="1" applyFill="1" applyAlignment="1">
      <alignment horizontal="left" vertical="center" wrapText="1"/>
    </xf>
    <xf numFmtId="0" fontId="27" fillId="20" borderId="0" xfId="0" applyFont="1" applyFill="1" applyAlignment="1">
      <alignment horizontal="center"/>
    </xf>
    <xf numFmtId="0" fontId="0" fillId="35" borderId="0" xfId="0" applyFont="1" applyFill="1" applyAlignment="1">
      <alignment horizontal="left" vertical="center" wrapText="1"/>
    </xf>
    <xf numFmtId="0" fontId="0" fillId="12" borderId="0" xfId="0" applyFont="1" applyFill="1" applyAlignment="1">
      <alignment horizontal="left" wrapText="1"/>
    </xf>
  </cellXfs>
  <cellStyles count="5">
    <cellStyle name="Accent5" xfId="2" builtinId="45" customBuiltin="1"/>
    <cellStyle name="Accent6" xfId="3" builtinId="49" customBuiltin="1"/>
    <cellStyle name="Bad" xfId="1" builtinId="27" customBuiltin="1"/>
    <cellStyle name="Hyperlink" xfId="4" builtinId="8"/>
    <cellStyle name="Normal" xfId="0" builtinId="0" customBuiltin="1"/>
  </cellStyles>
  <dxfs count="218">
    <dxf>
      <font>
        <color theme="1"/>
      </font>
    </dxf>
    <dxf>
      <font>
        <color theme="0"/>
      </font>
    </dxf>
    <dxf>
      <font>
        <color theme="0"/>
      </font>
    </dxf>
    <dxf>
      <font>
        <color theme="1"/>
      </font>
    </dxf>
    <dxf>
      <font>
        <color theme="0"/>
      </font>
    </dxf>
    <dxf>
      <font>
        <color theme="1"/>
      </font>
    </dxf>
    <dxf>
      <font>
        <color theme="0"/>
      </font>
    </dxf>
    <dxf>
      <font>
        <color theme="0"/>
      </font>
    </dxf>
    <dxf>
      <font>
        <color theme="1"/>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0"/>
      </font>
    </dxf>
    <dxf>
      <font>
        <b/>
        <i val="0"/>
        <color theme="1"/>
      </font>
    </dxf>
    <dxf>
      <font>
        <b/>
        <i val="0"/>
        <color theme="0"/>
      </font>
    </dxf>
    <dxf>
      <font>
        <color theme="0"/>
      </font>
    </dxf>
    <dxf>
      <font>
        <b/>
        <i val="0"/>
        <color theme="1"/>
      </font>
    </dxf>
    <dxf>
      <font>
        <b/>
        <i val="0"/>
        <color theme="0"/>
      </font>
    </dxf>
    <dxf>
      <font>
        <b/>
        <i val="0"/>
        <color theme="0"/>
      </font>
    </dxf>
    <dxf>
      <font>
        <b/>
        <i val="0"/>
        <color theme="1"/>
      </font>
    </dxf>
    <dxf>
      <font>
        <b/>
        <i val="0"/>
        <color theme="0"/>
      </font>
    </dxf>
    <dxf>
      <font>
        <b/>
        <i val="0"/>
        <color theme="1"/>
      </font>
    </dxf>
    <dxf>
      <font>
        <b/>
        <i val="0"/>
        <color theme="1"/>
      </font>
    </dxf>
    <dxf>
      <font>
        <b/>
        <i val="0"/>
        <color theme="0"/>
      </font>
    </dxf>
    <dxf>
      <font>
        <b/>
        <i val="0"/>
        <color theme="0"/>
      </font>
    </dxf>
    <dxf>
      <font>
        <b/>
        <i val="0"/>
        <color theme="1"/>
      </font>
    </dxf>
    <dxf>
      <font>
        <b/>
        <i val="0"/>
        <color theme="1"/>
      </font>
    </dxf>
    <dxf>
      <font>
        <b/>
        <i val="0"/>
        <color theme="0"/>
      </font>
    </dxf>
    <dxf>
      <font>
        <b/>
        <i val="0"/>
        <color theme="0"/>
      </font>
    </dxf>
    <dxf>
      <font>
        <b/>
        <i val="0"/>
        <color theme="1"/>
      </font>
    </dxf>
    <dxf>
      <font>
        <b/>
        <i val="0"/>
        <color theme="0"/>
      </font>
    </dxf>
    <dxf>
      <font>
        <b/>
        <i val="0"/>
        <color theme="1"/>
      </font>
    </dxf>
    <dxf>
      <font>
        <b/>
        <i val="0"/>
        <color theme="1"/>
      </font>
    </dxf>
    <dxf>
      <font>
        <b/>
        <i val="0"/>
        <color theme="0"/>
      </font>
    </dxf>
    <dxf>
      <font>
        <b/>
        <i val="0"/>
        <color theme="0"/>
      </font>
    </dxf>
    <dxf>
      <font>
        <b/>
        <i val="0"/>
        <color theme="1"/>
      </font>
    </dxf>
    <dxf>
      <font>
        <b val="0"/>
        <i/>
        <color rgb="FFFF0000"/>
      </font>
      <fill>
        <patternFill>
          <bgColor rgb="FFFFFF00"/>
        </patternFill>
      </fill>
      <border>
        <vertical/>
        <horizontal/>
      </border>
    </dxf>
    <dxf>
      <font>
        <b/>
        <i/>
        <u val="double"/>
        <color theme="1"/>
      </font>
      <fill>
        <patternFill>
          <fgColor rgb="FFC00000"/>
          <bgColor rgb="FFC00000"/>
        </patternFill>
      </fill>
      <border>
        <vertical/>
        <horizontal/>
      </border>
    </dxf>
    <dxf>
      <font>
        <b val="0"/>
        <i/>
        <color rgb="FF7030A0"/>
      </font>
      <fill>
        <patternFill>
          <bgColor theme="7" tint="0.39994506668294322"/>
        </patternFill>
      </fill>
      <border>
        <vertical/>
        <horizontal/>
      </border>
    </dxf>
    <dxf>
      <font>
        <b val="0"/>
        <i/>
        <color theme="9" tint="0.39994506668294322"/>
      </font>
      <fill>
        <patternFill>
          <bgColor theme="0"/>
        </patternFill>
      </fill>
      <border>
        <vertical/>
        <horizontal/>
      </border>
    </dxf>
    <dxf>
      <font>
        <b val="0"/>
        <i/>
        <color rgb="FFFF0000"/>
      </font>
      <fill>
        <patternFill>
          <bgColor theme="0"/>
        </patternFill>
      </fill>
      <border>
        <vertical/>
        <horizontal/>
      </border>
    </dxf>
    <dxf>
      <font>
        <b/>
        <i/>
        <color theme="0"/>
      </font>
      <fill>
        <patternFill>
          <bgColor rgb="FF7030A0"/>
        </patternFill>
      </fill>
      <border>
        <vertical/>
        <horizontal/>
      </border>
    </dxf>
    <dxf>
      <font>
        <color theme="0"/>
      </font>
    </dxf>
    <dxf>
      <font>
        <color theme="1"/>
      </font>
    </dxf>
    <dxf>
      <font>
        <color theme="0"/>
      </font>
    </dxf>
    <dxf>
      <font>
        <color theme="1"/>
      </font>
    </dxf>
    <dxf>
      <font>
        <color rgb="FF006100"/>
      </font>
      <fill>
        <patternFill>
          <bgColor rgb="FFC6EFCE"/>
        </patternFill>
      </fill>
    </dxf>
    <dxf>
      <font>
        <color theme="0"/>
      </font>
    </dxf>
    <dxf>
      <font>
        <color theme="1"/>
      </font>
    </dxf>
    <dxf>
      <font>
        <color theme="0"/>
      </font>
    </dxf>
    <dxf>
      <font>
        <color theme="1"/>
      </font>
    </dxf>
    <dxf>
      <font>
        <color theme="0"/>
      </font>
    </dxf>
    <dxf>
      <font>
        <color theme="0"/>
      </font>
    </dxf>
    <dxf>
      <font>
        <color theme="1"/>
      </font>
    </dxf>
    <dxf>
      <font>
        <color theme="0"/>
      </font>
    </dxf>
    <dxf>
      <font>
        <color theme="1"/>
      </font>
    </dxf>
    <dxf>
      <font>
        <color theme="0"/>
      </font>
    </dxf>
    <dxf>
      <font>
        <color theme="0"/>
      </font>
    </dxf>
    <dxf>
      <font>
        <color theme="1"/>
      </font>
    </dxf>
    <dxf>
      <font>
        <color theme="1"/>
      </font>
    </dxf>
    <dxf>
      <font>
        <color theme="0"/>
      </font>
    </dxf>
    <dxf>
      <font>
        <color theme="1"/>
      </font>
    </dxf>
    <dxf>
      <font>
        <color theme="0"/>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0"/>
      </font>
    </dxf>
    <dxf>
      <font>
        <color theme="1"/>
      </font>
    </dxf>
    <dxf>
      <font>
        <color theme="0"/>
      </font>
    </dxf>
    <dxf>
      <font>
        <color theme="0"/>
      </font>
    </dxf>
    <dxf>
      <font>
        <color theme="1"/>
      </font>
    </dxf>
    <dxf>
      <font>
        <color theme="0"/>
      </font>
    </dxf>
    <dxf>
      <font>
        <color theme="1"/>
      </font>
    </dxf>
    <dxf>
      <font>
        <color theme="0"/>
      </font>
    </dxf>
    <dxf>
      <font>
        <color rgb="FF006100"/>
      </font>
      <fill>
        <patternFill>
          <bgColor rgb="FFC6EFCE"/>
        </patternFill>
      </fill>
    </dxf>
    <dxf>
      <font>
        <b/>
        <i/>
        <u val="double"/>
        <color theme="9" tint="0.39994506668294322"/>
      </font>
    </dxf>
    <dxf>
      <font>
        <color rgb="FF9C0006"/>
      </font>
      <fill>
        <patternFill>
          <bgColor rgb="FFFFC7CE"/>
        </patternFill>
      </fill>
    </dxf>
    <dxf>
      <font>
        <b/>
        <i/>
        <u val="double"/>
        <color rgb="FFC00000"/>
      </font>
    </dxf>
    <dxf>
      <font>
        <color theme="1"/>
      </font>
    </dxf>
    <dxf>
      <font>
        <color theme="0"/>
      </font>
    </dxf>
    <dxf>
      <font>
        <color rgb="FF9C0006"/>
      </font>
    </dxf>
    <dxf>
      <font>
        <color rgb="FF00B050"/>
      </font>
    </dxf>
    <dxf>
      <font>
        <b/>
        <i/>
        <u val="double"/>
        <color theme="0"/>
      </font>
      <fill>
        <patternFill>
          <bgColor rgb="FF7030A0"/>
        </patternFill>
      </fill>
    </dxf>
    <dxf>
      <font>
        <b/>
        <i/>
        <u val="double"/>
        <color auto="1"/>
      </font>
      <fill>
        <patternFill>
          <bgColor rgb="FFFF0000"/>
        </patternFill>
      </fill>
    </dxf>
    <dxf>
      <font>
        <b/>
        <i/>
        <u/>
        <color rgb="FFFFFF00"/>
      </font>
      <fill>
        <patternFill>
          <bgColor rgb="FF0099FF"/>
        </patternFill>
      </fill>
    </dxf>
    <dxf>
      <font>
        <b/>
        <i val="0"/>
        <color theme="0"/>
      </font>
    </dxf>
    <dxf>
      <font>
        <b/>
        <i val="0"/>
        <color theme="1"/>
      </font>
    </dxf>
    <dxf>
      <font>
        <b val="0"/>
        <i/>
        <color rgb="FFFF0000"/>
      </font>
      <fill>
        <patternFill>
          <bgColor rgb="FFFFFF00"/>
        </patternFill>
      </fill>
      <border>
        <vertical/>
        <horizontal/>
      </border>
    </dxf>
    <dxf>
      <font>
        <b val="0"/>
        <i/>
        <color rgb="FF7030A0"/>
      </font>
      <fill>
        <patternFill>
          <bgColor theme="7" tint="0.39994506668294322"/>
        </patternFill>
      </fill>
      <border>
        <vertical/>
        <horizontal/>
      </border>
    </dxf>
    <dxf>
      <font>
        <b/>
        <i/>
        <u val="double"/>
        <color theme="1"/>
      </font>
      <fill>
        <patternFill>
          <fgColor rgb="FFC00000"/>
          <bgColor rgb="FFC00000"/>
        </patternFill>
      </fill>
      <border>
        <vertical/>
        <horizontal/>
      </border>
    </dxf>
    <dxf>
      <font>
        <b val="0"/>
        <i/>
        <color rgb="FFFF0000"/>
      </font>
      <fill>
        <patternFill>
          <bgColor theme="0"/>
        </patternFill>
      </fill>
      <border>
        <vertical/>
        <horizontal/>
      </border>
    </dxf>
    <dxf>
      <font>
        <color theme="0"/>
      </font>
    </dxf>
    <dxf>
      <font>
        <b/>
        <i val="0"/>
        <color theme="0"/>
      </font>
    </dxf>
    <dxf>
      <font>
        <b/>
        <i val="0"/>
        <color theme="1"/>
      </font>
    </dxf>
    <dxf>
      <font>
        <b/>
        <i val="0"/>
        <color theme="0"/>
      </font>
    </dxf>
    <dxf>
      <font>
        <b/>
        <i val="0"/>
        <color theme="1"/>
      </font>
    </dxf>
    <dxf>
      <font>
        <b/>
        <i val="0"/>
        <color theme="0"/>
      </font>
    </dxf>
    <dxf>
      <font>
        <b/>
        <i val="0"/>
        <color theme="1"/>
      </font>
    </dxf>
    <dxf>
      <font>
        <b/>
        <i val="0"/>
        <color theme="1"/>
      </font>
    </dxf>
    <dxf>
      <font>
        <b/>
        <i val="0"/>
        <color theme="0"/>
      </font>
    </dxf>
    <dxf>
      <font>
        <b/>
        <i val="0"/>
        <color theme="0"/>
      </font>
    </dxf>
    <dxf>
      <font>
        <b/>
        <i val="0"/>
        <color theme="1"/>
      </font>
    </dxf>
    <dxf>
      <font>
        <b/>
        <i val="0"/>
        <color theme="1"/>
      </font>
    </dxf>
    <dxf>
      <font>
        <b/>
        <i val="0"/>
        <color theme="0"/>
      </font>
    </dxf>
    <dxf>
      <font>
        <b/>
        <i val="0"/>
        <color theme="1"/>
      </font>
    </dxf>
    <dxf>
      <font>
        <b/>
        <i val="0"/>
        <color theme="0"/>
      </font>
    </dxf>
    <dxf>
      <font>
        <b/>
        <i val="0"/>
        <color theme="1"/>
      </font>
    </dxf>
    <dxf>
      <font>
        <b/>
        <i val="0"/>
        <color theme="0"/>
      </font>
    </dxf>
    <dxf>
      <font>
        <b/>
        <i/>
        <color theme="0"/>
      </font>
      <fill>
        <patternFill>
          <bgColor rgb="FF7030A0"/>
        </patternFill>
      </fill>
      <border>
        <vertical/>
        <horizontal/>
      </border>
    </dxf>
    <dxf>
      <font>
        <b val="0"/>
        <i/>
        <color theme="9" tint="0.39994506668294322"/>
      </font>
      <fill>
        <patternFill>
          <bgColor theme="0"/>
        </patternFill>
      </fill>
      <border>
        <vertical/>
        <horizontal/>
      </border>
    </dxf>
    <dxf>
      <font>
        <b/>
        <i val="0"/>
        <color theme="1"/>
      </font>
    </dxf>
    <dxf>
      <font>
        <b/>
        <i val="0"/>
        <color theme="0"/>
      </font>
    </dxf>
    <dxf>
      <font>
        <b/>
        <i val="0"/>
        <color theme="1"/>
      </font>
    </dxf>
    <dxf>
      <font>
        <b/>
        <i val="0"/>
        <color theme="0"/>
      </font>
    </dxf>
    <dxf>
      <font>
        <b/>
        <i/>
        <u val="double"/>
        <color theme="0"/>
      </font>
      <fill>
        <patternFill>
          <bgColor rgb="FF7030A0"/>
        </patternFill>
      </fill>
    </dxf>
    <dxf>
      <font>
        <color theme="1"/>
      </font>
    </dxf>
    <dxf>
      <font>
        <color theme="0"/>
      </font>
    </dxf>
    <dxf>
      <font>
        <color theme="0"/>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0"/>
      </font>
    </dxf>
    <dxf>
      <font>
        <color theme="1"/>
      </font>
    </dxf>
    <dxf>
      <font>
        <color theme="0"/>
      </font>
    </dxf>
    <dxf>
      <font>
        <color theme="1"/>
      </font>
    </dxf>
    <dxf>
      <font>
        <color theme="0"/>
      </font>
    </dxf>
    <dxf>
      <font>
        <color rgb="FF9C0006"/>
      </font>
    </dxf>
    <dxf>
      <font>
        <b/>
        <i/>
        <color theme="8" tint="0.39994506668294322"/>
      </font>
      <fill>
        <patternFill patternType="none">
          <fgColor auto="1"/>
          <bgColor auto="1"/>
        </patternFill>
      </fill>
      <border>
        <vertical/>
        <horizontal/>
      </border>
    </dxf>
    <dxf>
      <font>
        <b/>
        <i/>
        <color theme="8" tint="0.39994506668294322"/>
      </font>
      <fill>
        <patternFill patternType="none">
          <fgColor auto="1"/>
          <bgColor auto="1"/>
        </patternFill>
      </fill>
      <border>
        <vertical/>
        <horizontal/>
      </border>
    </dxf>
    <dxf>
      <font>
        <b/>
        <i/>
        <color theme="8" tint="-0.24994659260841701"/>
      </font>
      <fill>
        <patternFill patternType="gray0625">
          <fgColor auto="1"/>
          <bgColor auto="1"/>
        </patternFill>
      </fill>
      <border>
        <vertical/>
        <horizontal/>
      </border>
    </dxf>
    <dxf>
      <font>
        <color theme="1"/>
      </font>
    </dxf>
    <dxf>
      <font>
        <color theme="0"/>
      </font>
    </dxf>
    <dxf>
      <font>
        <color theme="0"/>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1"/>
      </font>
    </dxf>
    <dxf>
      <font>
        <color theme="0"/>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1"/>
      </font>
    </dxf>
    <dxf>
      <font>
        <color theme="0"/>
      </font>
    </dxf>
    <dxf>
      <font>
        <color theme="1"/>
      </font>
    </dxf>
    <dxf>
      <font>
        <color theme="0"/>
      </font>
    </dxf>
    <dxf>
      <font>
        <color theme="0"/>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0"/>
      </font>
    </dxf>
    <dxf>
      <font>
        <color theme="0"/>
      </font>
    </dxf>
    <dxf>
      <font>
        <color theme="1"/>
      </font>
    </dxf>
    <dxf>
      <font>
        <color theme="0"/>
      </font>
    </dxf>
    <dxf>
      <font>
        <color theme="1"/>
      </font>
    </dxf>
    <dxf>
      <font>
        <color theme="1"/>
      </font>
    </dxf>
    <dxf>
      <font>
        <color theme="0"/>
      </font>
    </dxf>
    <dxf>
      <font>
        <b/>
        <i/>
        <color theme="8" tint="-0.24994659260841701"/>
      </font>
      <fill>
        <patternFill patternType="none">
          <fgColor auto="1"/>
          <bgColor auto="1"/>
        </patternFill>
      </fill>
      <border>
        <vertical/>
        <horizontal/>
      </border>
    </dxf>
  </dxfs>
  <tableStyles count="0" defaultTableStyle="TableStyleMedium2" defaultPivotStyle="PivotStyleLight16"/>
  <colors>
    <mruColors>
      <color rgb="FFFFFFAF"/>
      <color rgb="FF860043"/>
      <color rgb="FF5119B7"/>
      <color rgb="FF9261E9"/>
      <color rgb="FF008000"/>
      <color rgb="FFC00000"/>
      <color rgb="FFFFE1E2"/>
      <color rgb="FFFF7C80"/>
      <color rgb="FFFF9900"/>
      <color rgb="FF003D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W1 Day comparision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Game!$AC$4</c:f>
              <c:strCache>
                <c:ptCount val="1"/>
                <c:pt idx="0">
                  <c:v>Mon</c:v>
                </c:pt>
              </c:strCache>
            </c:strRef>
          </c:tx>
          <c:spPr>
            <a:ln w="28575" cap="rnd">
              <a:solidFill>
                <a:schemeClr val="accent1"/>
              </a:solidFill>
              <a:round/>
            </a:ln>
            <a:effectLst/>
          </c:spPr>
          <c:marker>
            <c:symbol val="none"/>
          </c:marker>
          <c:cat>
            <c:strRef>
              <c:f>Game!$AY$2:$BR$3</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Game!$AY$4:$BR$4</c:f>
              <c:numCache>
                <c:formatCode>General</c:formatCode>
                <c:ptCount val="20"/>
                <c:pt idx="0">
                  <c:v>2</c:v>
                </c:pt>
                <c:pt idx="1">
                  <c:v>2</c:v>
                </c:pt>
                <c:pt idx="2">
                  <c:v>7</c:v>
                </c:pt>
                <c:pt idx="3">
                  <c:v>16</c:v>
                </c:pt>
                <c:pt idx="4">
                  <c:v>20</c:v>
                </c:pt>
                <c:pt idx="5">
                  <c:v>20</c:v>
                </c:pt>
                <c:pt idx="6">
                  <c:v>20</c:v>
                </c:pt>
                <c:pt idx="7">
                  <c:v>23</c:v>
                </c:pt>
                <c:pt idx="8">
                  <c:v>23</c:v>
                </c:pt>
                <c:pt idx="9">
                  <c:v>23.75</c:v>
                </c:pt>
                <c:pt idx="10">
                  <c:v>25.75</c:v>
                </c:pt>
                <c:pt idx="11">
                  <c:v>26.75</c:v>
                </c:pt>
                <c:pt idx="12">
                  <c:v>31.25</c:v>
                </c:pt>
                <c:pt idx="13">
                  <c:v>29.25</c:v>
                </c:pt>
                <c:pt idx="14">
                  <c:v>31.25</c:v>
                </c:pt>
                <c:pt idx="15">
                  <c:v>31.25</c:v>
                </c:pt>
                <c:pt idx="16">
                  <c:v>32.25</c:v>
                </c:pt>
                <c:pt idx="17">
                  <c:v>35.25</c:v>
                </c:pt>
                <c:pt idx="18">
                  <c:v>35.25</c:v>
                </c:pt>
                <c:pt idx="19">
                  <c:v>36.25</c:v>
                </c:pt>
              </c:numCache>
            </c:numRef>
          </c:val>
          <c:smooth val="0"/>
          <c:extLst>
            <c:ext xmlns:c16="http://schemas.microsoft.com/office/drawing/2014/chart" uri="{C3380CC4-5D6E-409C-BE32-E72D297353CC}">
              <c16:uniqueId val="{00000000-FD54-49B3-9A53-36A64A6C5F01}"/>
            </c:ext>
          </c:extLst>
        </c:ser>
        <c:ser>
          <c:idx val="1"/>
          <c:order val="1"/>
          <c:tx>
            <c:strRef>
              <c:f>Game!$AC$5</c:f>
              <c:strCache>
                <c:ptCount val="1"/>
                <c:pt idx="0">
                  <c:v>Tue</c:v>
                </c:pt>
              </c:strCache>
            </c:strRef>
          </c:tx>
          <c:spPr>
            <a:ln w="28575" cap="rnd">
              <a:solidFill>
                <a:schemeClr val="accent2"/>
              </a:solidFill>
              <a:round/>
            </a:ln>
            <a:effectLst/>
          </c:spPr>
          <c:marker>
            <c:symbol val="none"/>
          </c:marker>
          <c:cat>
            <c:strRef>
              <c:f>Game!$AY$2:$BR$3</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Game!$AY$5:$BR$5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FD54-49B3-9A53-36A64A6C5F01}"/>
            </c:ext>
          </c:extLst>
        </c:ser>
        <c:ser>
          <c:idx val="2"/>
          <c:order val="2"/>
          <c:tx>
            <c:strRef>
              <c:f>Game!$AC$6</c:f>
              <c:strCache>
                <c:ptCount val="1"/>
                <c:pt idx="0">
                  <c:v>Wed</c:v>
                </c:pt>
              </c:strCache>
            </c:strRef>
          </c:tx>
          <c:spPr>
            <a:ln w="28575" cap="rnd">
              <a:solidFill>
                <a:schemeClr val="accent3"/>
              </a:solidFill>
              <a:round/>
            </a:ln>
            <a:effectLst/>
          </c:spPr>
          <c:marker>
            <c:symbol val="none"/>
          </c:marker>
          <c:cat>
            <c:strRef>
              <c:f>Game!$AY$2:$BR$3</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Game!$AY$6:$BR$6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FD54-49B3-9A53-36A64A6C5F01}"/>
            </c:ext>
          </c:extLst>
        </c:ser>
        <c:ser>
          <c:idx val="3"/>
          <c:order val="3"/>
          <c:tx>
            <c:strRef>
              <c:f>Game!$AC$7</c:f>
              <c:strCache>
                <c:ptCount val="1"/>
                <c:pt idx="0">
                  <c:v>Thu</c:v>
                </c:pt>
              </c:strCache>
            </c:strRef>
          </c:tx>
          <c:spPr>
            <a:ln w="28575" cap="rnd">
              <a:solidFill>
                <a:schemeClr val="accent4"/>
              </a:solidFill>
              <a:round/>
            </a:ln>
            <a:effectLst/>
          </c:spPr>
          <c:marker>
            <c:symbol val="none"/>
          </c:marker>
          <c:cat>
            <c:strRef>
              <c:f>Game!$AY$2:$BR$3</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Game!$AY$7:$BR$7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FD54-49B3-9A53-36A64A6C5F01}"/>
            </c:ext>
          </c:extLst>
        </c:ser>
        <c:ser>
          <c:idx val="4"/>
          <c:order val="4"/>
          <c:tx>
            <c:strRef>
              <c:f>Game!$AC$8</c:f>
              <c:strCache>
                <c:ptCount val="1"/>
                <c:pt idx="0">
                  <c:v>Fri</c:v>
                </c:pt>
              </c:strCache>
            </c:strRef>
          </c:tx>
          <c:spPr>
            <a:ln w="28575" cap="rnd">
              <a:solidFill>
                <a:schemeClr val="accent5"/>
              </a:solidFill>
              <a:round/>
            </a:ln>
            <a:effectLst/>
          </c:spPr>
          <c:marker>
            <c:symbol val="x"/>
            <c:size val="5"/>
            <c:spPr>
              <a:noFill/>
              <a:ln w="9525">
                <a:solidFill>
                  <a:schemeClr val="accent5"/>
                </a:solidFill>
              </a:ln>
              <a:effectLst/>
            </c:spPr>
          </c:marker>
          <c:cat>
            <c:strRef>
              <c:f>Game!$AY$2:$BR$3</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Game!$AY$8:$BR$8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FD54-49B3-9A53-36A64A6C5F01}"/>
            </c:ext>
          </c:extLst>
        </c:ser>
        <c:ser>
          <c:idx val="5"/>
          <c:order val="5"/>
          <c:tx>
            <c:strRef>
              <c:f>Game!$AC$9</c:f>
              <c:strCache>
                <c:ptCount val="1"/>
                <c:pt idx="0">
                  <c:v>Sat</c:v>
                </c:pt>
              </c:strCache>
            </c:strRef>
          </c:tx>
          <c:spPr>
            <a:ln w="28575" cap="rnd">
              <a:solidFill>
                <a:schemeClr val="accent6"/>
              </a:solidFill>
              <a:round/>
            </a:ln>
            <a:effectLst/>
          </c:spPr>
          <c:marker>
            <c:symbol val="none"/>
          </c:marker>
          <c:cat>
            <c:strRef>
              <c:f>Game!$AY$2:$BR$3</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Game!$AY$9:$BR$9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FD54-49B3-9A53-36A64A6C5F01}"/>
            </c:ext>
          </c:extLst>
        </c:ser>
        <c:ser>
          <c:idx val="6"/>
          <c:order val="6"/>
          <c:tx>
            <c:strRef>
              <c:f>Game!$AC$10</c:f>
              <c:strCache>
                <c:ptCount val="1"/>
                <c:pt idx="0">
                  <c:v>Sun</c:v>
                </c:pt>
              </c:strCache>
            </c:strRef>
          </c:tx>
          <c:spPr>
            <a:ln w="28575" cap="rnd">
              <a:solidFill>
                <a:schemeClr val="accent1">
                  <a:lumMod val="60000"/>
                </a:schemeClr>
              </a:solidFill>
              <a:round/>
            </a:ln>
            <a:effectLst/>
          </c:spPr>
          <c:marker>
            <c:symbol val="none"/>
          </c:marker>
          <c:cat>
            <c:strRef>
              <c:f>Game!$AY$2:$BR$3</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Game!$AY$10:$BR$10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FD54-49B3-9A53-36A64A6C5F01}"/>
            </c:ext>
          </c:extLst>
        </c:ser>
        <c:dLbls>
          <c:showLegendKey val="0"/>
          <c:showVal val="0"/>
          <c:showCatName val="0"/>
          <c:showSerName val="0"/>
          <c:showPercent val="0"/>
          <c:showBubbleSize val="0"/>
        </c:dLbls>
        <c:smooth val="0"/>
        <c:axId val="2112294919"/>
        <c:axId val="2112296967"/>
      </c:lineChart>
      <c:catAx>
        <c:axId val="2112294919"/>
        <c:scaling>
          <c:orientation val="minMax"/>
        </c:scaling>
        <c:delete val="1"/>
        <c:axPos val="b"/>
        <c:numFmt formatCode="General" sourceLinked="1"/>
        <c:majorTickMark val="none"/>
        <c:minorTickMark val="none"/>
        <c:tickLblPos val="low"/>
        <c:crossAx val="2112296967"/>
        <c:crosses val="autoZero"/>
        <c:auto val="1"/>
        <c:lblAlgn val="ctr"/>
        <c:lblOffset val="100"/>
        <c:noMultiLvlLbl val="0"/>
      </c:catAx>
      <c:valAx>
        <c:axId val="2112296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294919"/>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W2 Day</a:t>
            </a:r>
            <a:r>
              <a:rPr lang="en-GB" baseline="0"/>
              <a:t> Comparision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Game!$AC$18</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Game!$AY$18:$BR$18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2C-0E8D-4709-BC21-97357867F7E8}"/>
            </c:ext>
          </c:extLst>
        </c:ser>
        <c:ser>
          <c:idx val="1"/>
          <c:order val="1"/>
          <c:tx>
            <c:strRef>
              <c:f>Game!$AC$19</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Game!$AY$19:$BR$19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2E-0E8D-4709-BC21-97357867F7E8}"/>
            </c:ext>
          </c:extLst>
        </c:ser>
        <c:ser>
          <c:idx val="2"/>
          <c:order val="2"/>
          <c:tx>
            <c:strRef>
              <c:f>Game!$AC$20</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Game!$AY$20:$BR$20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30-0E8D-4709-BC21-97357867F7E8}"/>
            </c:ext>
          </c:extLst>
        </c:ser>
        <c:ser>
          <c:idx val="3"/>
          <c:order val="3"/>
          <c:tx>
            <c:strRef>
              <c:f>Game!$AC$21</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Game!$AY$21:$BR$21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32-0E8D-4709-BC21-97357867F7E8}"/>
            </c:ext>
          </c:extLst>
        </c:ser>
        <c:ser>
          <c:idx val="4"/>
          <c:order val="4"/>
          <c:tx>
            <c:strRef>
              <c:f>Game!$AC$22</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Game!$AY$22:$BR$22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34-0E8D-4709-BC21-97357867F7E8}"/>
            </c:ext>
          </c:extLst>
        </c:ser>
        <c:ser>
          <c:idx val="5"/>
          <c:order val="5"/>
          <c:tx>
            <c:strRef>
              <c:f>Game!$AC$23</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Game!$AY$23:$BR$23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36-0E8D-4709-BC21-97357867F7E8}"/>
            </c:ext>
          </c:extLst>
        </c:ser>
        <c:ser>
          <c:idx val="6"/>
          <c:order val="6"/>
          <c:tx>
            <c:strRef>
              <c:f>Game!$AC$24</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Game!$AY$24:$BR$24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38-0E8D-4709-BC21-97357867F7E8}"/>
            </c:ext>
          </c:extLst>
        </c:ser>
        <c:dLbls>
          <c:showLegendKey val="0"/>
          <c:showVal val="0"/>
          <c:showCatName val="0"/>
          <c:showSerName val="0"/>
          <c:showPercent val="0"/>
          <c:showBubbleSize val="0"/>
        </c:dLbls>
        <c:smooth val="0"/>
        <c:axId val="519896583"/>
        <c:axId val="712853511"/>
      </c:lineChart>
      <c:catAx>
        <c:axId val="519896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53511"/>
        <c:crosses val="autoZero"/>
        <c:auto val="1"/>
        <c:lblAlgn val="ctr"/>
        <c:lblOffset val="100"/>
        <c:noMultiLvlLbl val="0"/>
      </c:catAx>
      <c:valAx>
        <c:axId val="712853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96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3612-4F5D-860C-9A1FE631ED9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3612-4F5D-860C-9A1FE631ED9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3612-4F5D-860C-9A1FE631ED9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3612-4F5D-860C-9A1FE631ED9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3612-4F5D-860C-9A1FE631ED9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3612-4F5D-860C-9A1FE631ED9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3612-4F5D-860C-9A1FE631ED9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3612-4F5D-860C-9A1FE631ED93}"/>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3612-4F5D-860C-9A1FE631ED93}"/>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3612-4F5D-860C-9A1FE631ED93}"/>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3612-4F5D-860C-9A1FE631ED93}"/>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3612-4F5D-860C-9A1FE631ED93}"/>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3612-4F5D-860C-9A1FE631ED93}"/>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3612-4F5D-860C-9A1FE631ED93}"/>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3612-4F5D-860C-9A1FE631ED93}"/>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3612-4F5D-860C-9A1FE631ED93}"/>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3612-4F5D-860C-9A1FE631ED93}"/>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58CE-4A6B-868B-365DB2F78E21}"/>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3612-4F5D-860C-9A1FE631ED93}"/>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3612-4F5D-860C-9A1FE631ED9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3612-4F5D-860C-9A1FE631ED9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3612-4F5D-860C-9A1FE631ED9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3612-4F5D-860C-9A1FE631ED9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3612-4F5D-860C-9A1FE631ED9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3612-4F5D-860C-9A1FE631ED9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3612-4F5D-860C-9A1FE631ED9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3612-4F5D-860C-9A1FE631ED9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3612-4F5D-860C-9A1FE631ED9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3612-4F5D-860C-9A1FE631ED93}"/>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3612-4F5D-860C-9A1FE631ED93}"/>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3612-4F5D-860C-9A1FE631ED93}"/>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3612-4F5D-860C-9A1FE631ED93}"/>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3612-4F5D-860C-9A1FE631ED93}"/>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3612-4F5D-860C-9A1FE631ED93}"/>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3612-4F5D-860C-9A1FE631ED93}"/>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3612-4F5D-860C-9A1FE631ED93}"/>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3612-4F5D-860C-9A1FE631ED93}"/>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58CE-4A6B-868B-365DB2F78E21}"/>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3612-4F5D-860C-9A1FE631ED93}"/>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3612-4F5D-860C-9A1FE631ED93}"/>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Game!$B$25:$V$25</c15:sqref>
                  </c15:fullRef>
                </c:ext>
              </c:extLst>
              <c:f>Game!$B$25:$U$25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Game!$V$25</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C714-4727-84A5-5DA1D38A1BDF}"/>
                      </c:ext>
                    </c:extLst>
                  </c15:dLbl>
                </c15:categoryFilterException>
              </c15:categoryFilterExceptions>
            </c:ext>
            <c:ext xmlns:c16="http://schemas.microsoft.com/office/drawing/2014/chart" uri="{C3380CC4-5D6E-409C-BE32-E72D297353CC}">
              <c16:uniqueId val="{0000002B-3612-4F5D-860C-9A1FE631ED9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Game!$AC$32</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Game!$AY$32:$BR$32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E70E-4507-937B-B823C35CB81D}"/>
            </c:ext>
          </c:extLst>
        </c:ser>
        <c:ser>
          <c:idx val="1"/>
          <c:order val="1"/>
          <c:tx>
            <c:strRef>
              <c:f>Game!$AC$33</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Game!$AY$33:$BR$33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E70E-4507-937B-B823C35CB81D}"/>
            </c:ext>
          </c:extLst>
        </c:ser>
        <c:ser>
          <c:idx val="2"/>
          <c:order val="2"/>
          <c:tx>
            <c:strRef>
              <c:f>Game!$AC$34</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Game!$AY$34:$BR$34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8-E70E-4507-937B-B823C35CB81D}"/>
            </c:ext>
          </c:extLst>
        </c:ser>
        <c:ser>
          <c:idx val="3"/>
          <c:order val="3"/>
          <c:tx>
            <c:strRef>
              <c:f>Game!$AC$35</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Game!$AY$35:$BR$35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A-E70E-4507-937B-B823C35CB81D}"/>
            </c:ext>
          </c:extLst>
        </c:ser>
        <c:ser>
          <c:idx val="4"/>
          <c:order val="4"/>
          <c:tx>
            <c:strRef>
              <c:f>Game!$AC$36</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Game!$AY$36:$BR$36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C-E70E-4507-937B-B823C35CB81D}"/>
            </c:ext>
          </c:extLst>
        </c:ser>
        <c:ser>
          <c:idx val="5"/>
          <c:order val="5"/>
          <c:tx>
            <c:strRef>
              <c:f>Game!$AC$37</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Game!$AY$37:$BR$37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E-E70E-4507-937B-B823C35CB81D}"/>
            </c:ext>
          </c:extLst>
        </c:ser>
        <c:ser>
          <c:idx val="6"/>
          <c:order val="6"/>
          <c:tx>
            <c:strRef>
              <c:f>Game!$AC$38</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Game!$AY$38:$BR$38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10-E70E-4507-937B-B823C35CB81D}"/>
            </c:ext>
          </c:extLst>
        </c:ser>
        <c:dLbls>
          <c:showLegendKey val="0"/>
          <c:showVal val="0"/>
          <c:showCatName val="0"/>
          <c:showSerName val="0"/>
          <c:showPercent val="0"/>
          <c:showBubbleSize val="0"/>
        </c:dLbls>
        <c:smooth val="0"/>
        <c:axId val="482062343"/>
        <c:axId val="519883783"/>
      </c:lineChart>
      <c:catAx>
        <c:axId val="482062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83783"/>
        <c:crosses val="autoZero"/>
        <c:auto val="1"/>
        <c:lblAlgn val="ctr"/>
        <c:lblOffset val="100"/>
        <c:noMultiLvlLbl val="0"/>
      </c:catAx>
      <c:valAx>
        <c:axId val="519883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62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BA45-4174-9DBD-39A101354D1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BA45-4174-9DBD-39A101354D1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BA45-4174-9DBD-39A101354D1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1-BA45-4174-9DBD-39A101354D1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BA45-4174-9DBD-39A101354D1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3-BA45-4174-9DBD-39A101354D1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BA45-4174-9DBD-39A101354D1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BA45-4174-9DBD-39A101354D1C}"/>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BA45-4174-9DBD-39A101354D1C}"/>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BA45-4174-9DBD-39A101354D1C}"/>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BA45-4174-9DBD-39A101354D1C}"/>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BA45-4174-9DBD-39A101354D1C}"/>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BA45-4174-9DBD-39A101354D1C}"/>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BA45-4174-9DBD-39A101354D1C}"/>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BA45-4174-9DBD-39A101354D1C}"/>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D-BA45-4174-9DBD-39A101354D1C}"/>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BA45-4174-9DBD-39A101354D1C}"/>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D082-4DC2-8A48-B6DCC7D8A37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BA45-4174-9DBD-39A101354D1C}"/>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1-BA45-4174-9DBD-39A101354D1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BA45-4174-9DBD-39A101354D1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BA45-4174-9DBD-39A101354D1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0-BA45-4174-9DBD-39A101354D1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1-BA45-4174-9DBD-39A101354D1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2-BA45-4174-9DBD-39A101354D1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3-BA45-4174-9DBD-39A101354D1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4-BA45-4174-9DBD-39A101354D1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5-BA45-4174-9DBD-39A101354D1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6-BA45-4174-9DBD-39A101354D1C}"/>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7-BA45-4174-9DBD-39A101354D1C}"/>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8-BA45-4174-9DBD-39A101354D1C}"/>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9-BA45-4174-9DBD-39A101354D1C}"/>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A-BA45-4174-9DBD-39A101354D1C}"/>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B-BA45-4174-9DBD-39A101354D1C}"/>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C-BA45-4174-9DBD-39A101354D1C}"/>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D-BA45-4174-9DBD-39A101354D1C}"/>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E-BA45-4174-9DBD-39A101354D1C}"/>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D082-4DC2-8A48-B6DCC7D8A37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50-BA45-4174-9DBD-39A101354D1C}"/>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51-BA45-4174-9DBD-39A101354D1C}"/>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Game!$B$39:$V$39</c15:sqref>
                  </c15:fullRef>
                </c:ext>
              </c:extLst>
              <c:f>Game!$B$39:$U$39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Game!$V$39</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73F1-4AAB-A415-B8DFF1B4B300}"/>
                      </c:ext>
                    </c:extLst>
                  </c15:dLbl>
                </c15:categoryFilterException>
              </c15:categoryFilterExceptions>
            </c:ext>
            <c:ext xmlns:c16="http://schemas.microsoft.com/office/drawing/2014/chart" uri="{C3380CC4-5D6E-409C-BE32-E72D297353CC}">
              <c16:uniqueId val="{0000003D-BA45-4174-9DBD-39A101354D1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Game!$AC$46</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Game!$AY$46:$BR$46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0484-42C4-A6AF-6A762F42C7CC}"/>
            </c:ext>
          </c:extLst>
        </c:ser>
        <c:ser>
          <c:idx val="1"/>
          <c:order val="1"/>
          <c:tx>
            <c:strRef>
              <c:f>Game!$AC$47</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Game!$AY$47:$BR$47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0484-42C4-A6AF-6A762F42C7CC}"/>
            </c:ext>
          </c:extLst>
        </c:ser>
        <c:ser>
          <c:idx val="2"/>
          <c:order val="2"/>
          <c:tx>
            <c:strRef>
              <c:f>Game!$AC$48</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Game!$AY$48:$BR$48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0484-42C4-A6AF-6A762F42C7CC}"/>
            </c:ext>
          </c:extLst>
        </c:ser>
        <c:ser>
          <c:idx val="3"/>
          <c:order val="3"/>
          <c:tx>
            <c:strRef>
              <c:f>Game!$AC$49</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Game!$AY$49:$BR$49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0484-42C4-A6AF-6A762F42C7CC}"/>
            </c:ext>
          </c:extLst>
        </c:ser>
        <c:ser>
          <c:idx val="4"/>
          <c:order val="4"/>
          <c:tx>
            <c:strRef>
              <c:f>Game!$AC$50</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Game!$AY$50:$BR$50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0484-42C4-A6AF-6A762F42C7CC}"/>
            </c:ext>
          </c:extLst>
        </c:ser>
        <c:ser>
          <c:idx val="5"/>
          <c:order val="5"/>
          <c:tx>
            <c:strRef>
              <c:f>Game!$AC$51</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Game!$AY$51:$BR$51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0484-42C4-A6AF-6A762F42C7CC}"/>
            </c:ext>
          </c:extLst>
        </c:ser>
        <c:ser>
          <c:idx val="6"/>
          <c:order val="6"/>
          <c:tx>
            <c:strRef>
              <c:f>Game!$AC$52</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Game!$AY$52:$BR$52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0484-42C4-A6AF-6A762F42C7CC}"/>
            </c:ext>
          </c:extLst>
        </c:ser>
        <c:dLbls>
          <c:showLegendKey val="0"/>
          <c:showVal val="0"/>
          <c:showCatName val="0"/>
          <c:showSerName val="0"/>
          <c:showPercent val="0"/>
          <c:showBubbleSize val="0"/>
        </c:dLbls>
        <c:smooth val="0"/>
        <c:axId val="1643736583"/>
        <c:axId val="1643750919"/>
      </c:lineChart>
      <c:catAx>
        <c:axId val="164373658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50919"/>
        <c:crosses val="autoZero"/>
        <c:auto val="1"/>
        <c:lblAlgn val="ctr"/>
        <c:lblOffset val="100"/>
        <c:noMultiLvlLbl val="0"/>
      </c:catAx>
      <c:valAx>
        <c:axId val="1643750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36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0476-4C77-866D-E5382A110AA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0476-4C77-866D-E5382A110AA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0476-4C77-866D-E5382A110AA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0476-4C77-866D-E5382A110AA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0476-4C77-866D-E5382A110AA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0476-4C77-866D-E5382A110AA6}"/>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0476-4C77-866D-E5382A110AA6}"/>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0476-4C77-866D-E5382A110AA6}"/>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0476-4C77-866D-E5382A110AA6}"/>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0476-4C77-866D-E5382A110AA6}"/>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0476-4C77-866D-E5382A110AA6}"/>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0476-4C77-866D-E5382A110AA6}"/>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0476-4C77-866D-E5382A110AA6}"/>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0476-4C77-866D-E5382A110AA6}"/>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0476-4C77-866D-E5382A110AA6}"/>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0476-4C77-866D-E5382A110AA6}"/>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D-0476-4C77-866D-E5382A110AA6}"/>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6DC5-4654-87B5-438F6BB7FCB9}"/>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0476-4C77-866D-E5382A110AA6}"/>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0476-4C77-866D-E5382A110AA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0476-4C77-866D-E5382A110AA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0476-4C77-866D-E5382A110AA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0476-4C77-866D-E5382A110AA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0476-4C77-866D-E5382A110AA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0476-4C77-866D-E5382A110AA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0476-4C77-866D-E5382A110AA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0476-4C77-866D-E5382A110AA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0476-4C77-866D-E5382A110AA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0476-4C77-866D-E5382A110AA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0476-4C77-866D-E5382A110AA6}"/>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0476-4C77-866D-E5382A110AA6}"/>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0476-4C77-866D-E5382A110AA6}"/>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0476-4C77-866D-E5382A110AA6}"/>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0476-4C77-866D-E5382A110AA6}"/>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0476-4C77-866D-E5382A110AA6}"/>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0476-4C77-866D-E5382A110AA6}"/>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D-0476-4C77-866D-E5382A110AA6}"/>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6DC5-4654-87B5-438F6BB7FCB9}"/>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0476-4C77-866D-E5382A110AA6}"/>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0-0476-4C77-866D-E5382A110AA6}"/>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Game!$B$53:$V$53</c15:sqref>
                  </c15:fullRef>
                </c:ext>
              </c:extLst>
              <c:f>Game!$B$53:$U$53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Game!$V$53</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6984-4CF1-AFBF-6AB26CCC6D28}"/>
                      </c:ext>
                    </c:extLst>
                  </c15:dLbl>
                </c15:categoryFilterException>
              </c15:categoryFilterExceptions>
            </c:ext>
            <c:ext xmlns:c16="http://schemas.microsoft.com/office/drawing/2014/chart" uri="{C3380CC4-5D6E-409C-BE32-E72D297353CC}">
              <c16:uniqueId val="{0000002C-0476-4C77-866D-E5382A110AA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Game!$AC$60</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Game!$AY$60:$BR$60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FA9E-4CCA-AA51-A9E5CAA80BD2}"/>
            </c:ext>
          </c:extLst>
        </c:ser>
        <c:ser>
          <c:idx val="1"/>
          <c:order val="1"/>
          <c:tx>
            <c:strRef>
              <c:f>Game!$AC$61</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Game!$AY$61:$BR$61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FA9E-4CCA-AA51-A9E5CAA80BD2}"/>
            </c:ext>
          </c:extLst>
        </c:ser>
        <c:ser>
          <c:idx val="2"/>
          <c:order val="2"/>
          <c:tx>
            <c:strRef>
              <c:f>Game!$AC$62</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Game!$AY$62:$BR$62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FA9E-4CCA-AA51-A9E5CAA80BD2}"/>
            </c:ext>
          </c:extLst>
        </c:ser>
        <c:ser>
          <c:idx val="3"/>
          <c:order val="3"/>
          <c:tx>
            <c:strRef>
              <c:f>Game!$AC$63</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Game!$AY$63:$BR$63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FA9E-4CCA-AA51-A9E5CAA80BD2}"/>
            </c:ext>
          </c:extLst>
        </c:ser>
        <c:ser>
          <c:idx val="4"/>
          <c:order val="4"/>
          <c:tx>
            <c:strRef>
              <c:f>Game!$AC$64</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Game!$AY$64:$BR$64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FA9E-4CCA-AA51-A9E5CAA80BD2}"/>
            </c:ext>
          </c:extLst>
        </c:ser>
        <c:ser>
          <c:idx val="5"/>
          <c:order val="5"/>
          <c:tx>
            <c:strRef>
              <c:f>Game!$AC$65</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Game!$AY$65:$BR$65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FA9E-4CCA-AA51-A9E5CAA80BD2}"/>
            </c:ext>
          </c:extLst>
        </c:ser>
        <c:ser>
          <c:idx val="6"/>
          <c:order val="6"/>
          <c:tx>
            <c:strRef>
              <c:f>Game!$AC$66</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Game!$AY$66:$BR$66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FA9E-4CCA-AA51-A9E5CAA80BD2}"/>
            </c:ext>
          </c:extLst>
        </c:ser>
        <c:dLbls>
          <c:showLegendKey val="0"/>
          <c:showVal val="0"/>
          <c:showCatName val="0"/>
          <c:showSerName val="0"/>
          <c:showPercent val="0"/>
          <c:showBubbleSize val="0"/>
        </c:dLbls>
        <c:smooth val="0"/>
        <c:axId val="1502850055"/>
        <c:axId val="1502856199"/>
      </c:lineChart>
      <c:catAx>
        <c:axId val="1502850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56199"/>
        <c:crosses val="autoZero"/>
        <c:auto val="1"/>
        <c:lblAlgn val="ctr"/>
        <c:lblOffset val="100"/>
        <c:noMultiLvlLbl val="0"/>
      </c:catAx>
      <c:valAx>
        <c:axId val="1502856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50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286C-4719-9DAA-6B67B7B8635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286C-4719-9DAA-6B67B7B8635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286C-4719-9DAA-6B67B7B8635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286C-4719-9DAA-6B67B7B8635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286C-4719-9DAA-6B67B7B8635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286C-4719-9DAA-6B67B7B8635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286C-4719-9DAA-6B67B7B8635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286C-4719-9DAA-6B67B7B8635C}"/>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286C-4719-9DAA-6B67B7B8635C}"/>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286C-4719-9DAA-6B67B7B8635C}"/>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286C-4719-9DAA-6B67B7B8635C}"/>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286C-4719-9DAA-6B67B7B8635C}"/>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286C-4719-9DAA-6B67B7B8635C}"/>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286C-4719-9DAA-6B67B7B8635C}"/>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286C-4719-9DAA-6B67B7B8635C}"/>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286C-4719-9DAA-6B67B7B8635C}"/>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286C-4719-9DAA-6B67B7B8635C}"/>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450D-45AF-92C3-A871D63B919E}"/>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286C-4719-9DAA-6B67B7B8635C}"/>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286C-4719-9DAA-6B67B7B8635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286C-4719-9DAA-6B67B7B8635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286C-4719-9DAA-6B67B7B863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286C-4719-9DAA-6B67B7B8635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286C-4719-9DAA-6B67B7B8635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286C-4719-9DAA-6B67B7B8635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286C-4719-9DAA-6B67B7B8635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286C-4719-9DAA-6B67B7B8635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286C-4719-9DAA-6B67B7B8635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286C-4719-9DAA-6B67B7B8635C}"/>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286C-4719-9DAA-6B67B7B8635C}"/>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286C-4719-9DAA-6B67B7B8635C}"/>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286C-4719-9DAA-6B67B7B8635C}"/>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286C-4719-9DAA-6B67B7B8635C}"/>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286C-4719-9DAA-6B67B7B8635C}"/>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286C-4719-9DAA-6B67B7B8635C}"/>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286C-4719-9DAA-6B67B7B8635C}"/>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286C-4719-9DAA-6B67B7B8635C}"/>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450D-45AF-92C3-A871D63B919E}"/>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286C-4719-9DAA-6B67B7B8635C}"/>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286C-4719-9DAA-6B67B7B8635C}"/>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Game!$B$67:$V$67</c15:sqref>
                  </c15:fullRef>
                </c:ext>
              </c:extLst>
              <c:f>Game!$B$67:$U$67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Game!$V$67</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B575-49B9-8744-5E002A2E9468}"/>
                      </c:ext>
                    </c:extLst>
                  </c15:dLbl>
                </c15:categoryFilterException>
              </c15:categoryFilterExceptions>
            </c:ext>
            <c:ext xmlns:c16="http://schemas.microsoft.com/office/drawing/2014/chart" uri="{C3380CC4-5D6E-409C-BE32-E72D297353CC}">
              <c16:uniqueId val="{0000002B-286C-4719-9DAA-6B67B7B8635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Game!$AC$74</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Game!$AY$74:$BR$74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2842-4B62-8F04-338F789BA08A}"/>
            </c:ext>
          </c:extLst>
        </c:ser>
        <c:ser>
          <c:idx val="1"/>
          <c:order val="1"/>
          <c:tx>
            <c:strRef>
              <c:f>Game!$AC$75</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Game!$AY$75:$BR$75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2842-4B62-8F04-338F789BA08A}"/>
            </c:ext>
          </c:extLst>
        </c:ser>
        <c:ser>
          <c:idx val="2"/>
          <c:order val="2"/>
          <c:tx>
            <c:strRef>
              <c:f>Game!$AC$76</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Game!$AY$76:$BR$76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2842-4B62-8F04-338F789BA08A}"/>
            </c:ext>
          </c:extLst>
        </c:ser>
        <c:ser>
          <c:idx val="3"/>
          <c:order val="3"/>
          <c:tx>
            <c:strRef>
              <c:f>Game!$AC$77</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Game!$AY$77:$BR$77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2842-4B62-8F04-338F789BA08A}"/>
            </c:ext>
          </c:extLst>
        </c:ser>
        <c:ser>
          <c:idx val="4"/>
          <c:order val="4"/>
          <c:tx>
            <c:strRef>
              <c:f>Game!$AC$78</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Game!$AY$78:$BR$78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2842-4B62-8F04-338F789BA08A}"/>
            </c:ext>
          </c:extLst>
        </c:ser>
        <c:ser>
          <c:idx val="5"/>
          <c:order val="5"/>
          <c:tx>
            <c:strRef>
              <c:f>Game!$AC$79</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Game!$AY$79:$BR$79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2842-4B62-8F04-338F789BA08A}"/>
            </c:ext>
          </c:extLst>
        </c:ser>
        <c:ser>
          <c:idx val="6"/>
          <c:order val="6"/>
          <c:tx>
            <c:strRef>
              <c:f>Game!$AC$80</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Game!$AY$80:$BR$80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2842-4B62-8F04-338F789BA08A}"/>
            </c:ext>
          </c:extLst>
        </c:ser>
        <c:dLbls>
          <c:showLegendKey val="0"/>
          <c:showVal val="0"/>
          <c:showCatName val="0"/>
          <c:showSerName val="0"/>
          <c:showPercent val="0"/>
          <c:showBubbleSize val="0"/>
        </c:dLbls>
        <c:smooth val="0"/>
        <c:axId val="856900103"/>
        <c:axId val="1643753479"/>
      </c:lineChart>
      <c:catAx>
        <c:axId val="856900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53479"/>
        <c:crosses val="autoZero"/>
        <c:auto val="1"/>
        <c:lblAlgn val="ctr"/>
        <c:lblOffset val="100"/>
        <c:noMultiLvlLbl val="0"/>
      </c:catAx>
      <c:valAx>
        <c:axId val="1643753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00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8019-41ED-98DF-6EF134D7A40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8019-41ED-98DF-6EF134D7A40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8019-41ED-98DF-6EF134D7A40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8019-41ED-98DF-6EF134D7A40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8019-41ED-98DF-6EF134D7A40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8019-41ED-98DF-6EF134D7A406}"/>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8019-41ED-98DF-6EF134D7A406}"/>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8019-41ED-98DF-6EF134D7A406}"/>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8019-41ED-98DF-6EF134D7A406}"/>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8019-41ED-98DF-6EF134D7A406}"/>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8019-41ED-98DF-6EF134D7A406}"/>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8019-41ED-98DF-6EF134D7A406}"/>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8019-41ED-98DF-6EF134D7A406}"/>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8019-41ED-98DF-6EF134D7A406}"/>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8019-41ED-98DF-6EF134D7A406}"/>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8019-41ED-98DF-6EF134D7A406}"/>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8019-41ED-98DF-6EF134D7A406}"/>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FAC5-44E6-9D0C-0F462232E17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8019-41ED-98DF-6EF134D7A406}"/>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8019-41ED-98DF-6EF134D7A40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8019-41ED-98DF-6EF134D7A40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8019-41ED-98DF-6EF134D7A40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8019-41ED-98DF-6EF134D7A40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8019-41ED-98DF-6EF134D7A40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8019-41ED-98DF-6EF134D7A40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8019-41ED-98DF-6EF134D7A40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8019-41ED-98DF-6EF134D7A40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8019-41ED-98DF-6EF134D7A40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8019-41ED-98DF-6EF134D7A40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8019-41ED-98DF-6EF134D7A406}"/>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8019-41ED-98DF-6EF134D7A406}"/>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8019-41ED-98DF-6EF134D7A406}"/>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8019-41ED-98DF-6EF134D7A406}"/>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8019-41ED-98DF-6EF134D7A406}"/>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8019-41ED-98DF-6EF134D7A406}"/>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8019-41ED-98DF-6EF134D7A406}"/>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8019-41ED-98DF-6EF134D7A406}"/>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FAC5-44E6-9D0C-0F462232E17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8019-41ED-98DF-6EF134D7A406}"/>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8019-41ED-98DF-6EF134D7A406}"/>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Game!$B$81:$V$81</c15:sqref>
                  </c15:fullRef>
                </c:ext>
              </c:extLst>
              <c:f>Game!$B$81:$U$81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Game!$V$81</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A9B5-4636-8D01-3A922C1F4E09}"/>
                      </c:ext>
                    </c:extLst>
                  </c15:dLbl>
                </c15:categoryFilterException>
              </c15:categoryFilterExceptions>
            </c:ext>
            <c:ext xmlns:c16="http://schemas.microsoft.com/office/drawing/2014/chart" uri="{C3380CC4-5D6E-409C-BE32-E72D297353CC}">
              <c16:uniqueId val="{0000002B-8019-41ED-98DF-6EF134D7A40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Game!$AC$88</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Game!$AY$88:$BR$88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80A9-4F8D-BCB0-59F15548662E}"/>
            </c:ext>
          </c:extLst>
        </c:ser>
        <c:ser>
          <c:idx val="1"/>
          <c:order val="1"/>
          <c:tx>
            <c:strRef>
              <c:f>Game!$AC$89</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Game!$AY$89:$BR$89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80A9-4F8D-BCB0-59F15548662E}"/>
            </c:ext>
          </c:extLst>
        </c:ser>
        <c:ser>
          <c:idx val="2"/>
          <c:order val="2"/>
          <c:tx>
            <c:strRef>
              <c:f>Game!$AC$90</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Game!$AY$90:$BR$90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80A9-4F8D-BCB0-59F15548662E}"/>
            </c:ext>
          </c:extLst>
        </c:ser>
        <c:ser>
          <c:idx val="3"/>
          <c:order val="3"/>
          <c:tx>
            <c:strRef>
              <c:f>Game!$AC$91</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Game!$AY$91:$BR$91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80A9-4F8D-BCB0-59F15548662E}"/>
            </c:ext>
          </c:extLst>
        </c:ser>
        <c:ser>
          <c:idx val="4"/>
          <c:order val="4"/>
          <c:tx>
            <c:strRef>
              <c:f>Game!$AC$92</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Game!$AY$92:$BR$92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80A9-4F8D-BCB0-59F15548662E}"/>
            </c:ext>
          </c:extLst>
        </c:ser>
        <c:ser>
          <c:idx val="5"/>
          <c:order val="5"/>
          <c:tx>
            <c:strRef>
              <c:f>Game!$AC$93</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Game!$AY$93:$BR$93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80A9-4F8D-BCB0-59F15548662E}"/>
            </c:ext>
          </c:extLst>
        </c:ser>
        <c:ser>
          <c:idx val="6"/>
          <c:order val="6"/>
          <c:tx>
            <c:strRef>
              <c:f>Game!$AC$94</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Game!$AY$94:$BR$94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80A9-4F8D-BCB0-59F15548662E}"/>
            </c:ext>
          </c:extLst>
        </c:ser>
        <c:dLbls>
          <c:showLegendKey val="0"/>
          <c:showVal val="0"/>
          <c:showCatName val="0"/>
          <c:showSerName val="0"/>
          <c:showPercent val="0"/>
          <c:showBubbleSize val="0"/>
        </c:dLbls>
        <c:smooth val="0"/>
        <c:axId val="1417589768"/>
        <c:axId val="1417591816"/>
      </c:lineChart>
      <c:catAx>
        <c:axId val="141758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91816"/>
        <c:crosses val="autoZero"/>
        <c:auto val="1"/>
        <c:lblAlgn val="ctr"/>
        <c:lblOffset val="100"/>
        <c:noMultiLvlLbl val="0"/>
      </c:catAx>
      <c:valAx>
        <c:axId val="1417591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89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4B92-4E88-AD7C-23D92B11E53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4B92-4E88-AD7C-23D92B11E53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4B92-4E88-AD7C-23D92B11E53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4B92-4E88-AD7C-23D92B11E53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4B92-4E88-AD7C-23D92B11E53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4B92-4E88-AD7C-23D92B11E53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4B92-4E88-AD7C-23D92B11E53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4B92-4E88-AD7C-23D92B11E533}"/>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4B92-4E88-AD7C-23D92B11E533}"/>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4B92-4E88-AD7C-23D92B11E533}"/>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4B92-4E88-AD7C-23D92B11E533}"/>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4B92-4E88-AD7C-23D92B11E533}"/>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4B92-4E88-AD7C-23D92B11E533}"/>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4B92-4E88-AD7C-23D92B11E533}"/>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4B92-4E88-AD7C-23D92B11E533}"/>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4B92-4E88-AD7C-23D92B11E533}"/>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4B92-4E88-AD7C-23D92B11E533}"/>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52C8-4CCE-B1C5-17906E2DF7F7}"/>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4B92-4E88-AD7C-23D92B11E533}"/>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4B92-4E88-AD7C-23D92B11E53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4B92-4E88-AD7C-23D92B11E53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4B92-4E88-AD7C-23D92B11E53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4B92-4E88-AD7C-23D92B11E53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4B92-4E88-AD7C-23D92B11E53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4B92-4E88-AD7C-23D92B11E53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4B92-4E88-AD7C-23D92B11E53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4B92-4E88-AD7C-23D92B11E53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4B92-4E88-AD7C-23D92B11E53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4B92-4E88-AD7C-23D92B11E533}"/>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4B92-4E88-AD7C-23D92B11E533}"/>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4B92-4E88-AD7C-23D92B11E533}"/>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4B92-4E88-AD7C-23D92B11E533}"/>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4B92-4E88-AD7C-23D92B11E533}"/>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4B92-4E88-AD7C-23D92B11E533}"/>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4B92-4E88-AD7C-23D92B11E533}"/>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4B92-4E88-AD7C-23D92B11E533}"/>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4B92-4E88-AD7C-23D92B11E533}"/>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52C8-4CCE-B1C5-17906E2DF7F7}"/>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4B92-4E88-AD7C-23D92B11E533}"/>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4B92-4E88-AD7C-23D92B11E533}"/>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Game!$B$95:$V$95</c15:sqref>
                  </c15:fullRef>
                </c:ext>
              </c:extLst>
              <c:f>Game!$B$95:$U$95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Game!$V$95</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817E-46CB-A763-9965B1EEC59F}"/>
                      </c:ext>
                    </c:extLst>
                  </c15:dLbl>
                </c15:categoryFilterException>
              </c15:categoryFilterExceptions>
            </c:ext>
            <c:ext xmlns:c16="http://schemas.microsoft.com/office/drawing/2014/chart" uri="{C3380CC4-5D6E-409C-BE32-E72D297353CC}">
              <c16:uniqueId val="{00000028-4B92-4E88-AD7C-23D92B11E53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Game!$AC$102</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Game!$AY$102:$BR$102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C7F3-44C2-9367-03A6426A28EC}"/>
            </c:ext>
          </c:extLst>
        </c:ser>
        <c:ser>
          <c:idx val="1"/>
          <c:order val="1"/>
          <c:tx>
            <c:strRef>
              <c:f>Game!$AC$103</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Game!$AY$103:$BR$103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C7F3-44C2-9367-03A6426A28EC}"/>
            </c:ext>
          </c:extLst>
        </c:ser>
        <c:ser>
          <c:idx val="2"/>
          <c:order val="2"/>
          <c:tx>
            <c:strRef>
              <c:f>Game!$AC$104</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Game!$AY$104:$BR$104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C7F3-44C2-9367-03A6426A28EC}"/>
            </c:ext>
          </c:extLst>
        </c:ser>
        <c:ser>
          <c:idx val="3"/>
          <c:order val="3"/>
          <c:tx>
            <c:strRef>
              <c:f>Game!$AC$105</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Game!$AY$105:$BR$105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C7F3-44C2-9367-03A6426A28EC}"/>
            </c:ext>
          </c:extLst>
        </c:ser>
        <c:ser>
          <c:idx val="4"/>
          <c:order val="4"/>
          <c:tx>
            <c:strRef>
              <c:f>Game!$AC$106</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Game!$AY$106:$BR$106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C7F3-44C2-9367-03A6426A28EC}"/>
            </c:ext>
          </c:extLst>
        </c:ser>
        <c:ser>
          <c:idx val="5"/>
          <c:order val="5"/>
          <c:tx>
            <c:strRef>
              <c:f>Game!$AC$107</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Game!$AY$107:$BR$107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C7F3-44C2-9367-03A6426A28EC}"/>
            </c:ext>
          </c:extLst>
        </c:ser>
        <c:ser>
          <c:idx val="6"/>
          <c:order val="6"/>
          <c:tx>
            <c:strRef>
              <c:f>Game!$AC$108</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Game!$AY$108:$BR$108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C7F3-44C2-9367-03A6426A28EC}"/>
            </c:ext>
          </c:extLst>
        </c:ser>
        <c:dLbls>
          <c:showLegendKey val="0"/>
          <c:showVal val="0"/>
          <c:showCatName val="0"/>
          <c:showSerName val="0"/>
          <c:showPercent val="0"/>
          <c:showBubbleSize val="0"/>
        </c:dLbls>
        <c:smooth val="0"/>
        <c:axId val="732182536"/>
        <c:axId val="732192264"/>
      </c:lineChart>
      <c:catAx>
        <c:axId val="73218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192264"/>
        <c:crosses val="autoZero"/>
        <c:auto val="1"/>
        <c:lblAlgn val="ctr"/>
        <c:lblOffset val="100"/>
        <c:noMultiLvlLbl val="0"/>
      </c:catAx>
      <c:valAx>
        <c:axId val="732192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182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3A97-4149-ACFF-A400482D701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3A97-4149-ACFF-A400482D701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3A97-4149-ACFF-A400482D701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3A97-4149-ACFF-A400482D701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3A97-4149-ACFF-A400482D701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3A97-4149-ACFF-A400482D701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3A97-4149-ACFF-A400482D701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3A97-4149-ACFF-A400482D701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3A97-4149-ACFF-A400482D701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3A97-4149-ACFF-A400482D701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3A97-4149-ACFF-A400482D701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3A97-4149-ACFF-A400482D701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3A97-4149-ACFF-A400482D701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3A97-4149-ACFF-A400482D701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3A97-4149-ACFF-A400482D701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3A97-4149-ACFF-A400482D701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3A97-4149-ACFF-A400482D701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EE7C-40DD-9FA3-EB2140279044}"/>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3A97-4149-ACFF-A400482D701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3A97-4149-ACFF-A400482D701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3A97-4149-ACFF-A400482D701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3A97-4149-ACFF-A400482D701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3A97-4149-ACFF-A400482D701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3A97-4149-ACFF-A400482D701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3A97-4149-ACFF-A400482D701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3A97-4149-ACFF-A400482D701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3A97-4149-ACFF-A400482D701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3A97-4149-ACFF-A400482D701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3A97-4149-ACFF-A400482D701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3A97-4149-ACFF-A400482D701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3A97-4149-ACFF-A400482D701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3A97-4149-ACFF-A400482D701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3A97-4149-ACFF-A400482D701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3A97-4149-ACFF-A400482D701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3A97-4149-ACFF-A400482D701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3A97-4149-ACFF-A400482D701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3A97-4149-ACFF-A400482D701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EE7C-40DD-9FA3-EB2140279044}"/>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3A97-4149-ACFF-A400482D701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3A97-4149-ACFF-A400482D7012}"/>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Game!$B$109:$V$109</c15:sqref>
                  </c15:fullRef>
                </c:ext>
              </c:extLst>
              <c:f>Game!$B$109:$U$109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Game!$V$109</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5E7C-4AD7-9280-444016DDF8E8}"/>
                      </c:ext>
                    </c:extLst>
                  </c15:dLbl>
                </c15:categoryFilterException>
              </c15:categoryFilterExceptions>
            </c:ext>
            <c:ext xmlns:c16="http://schemas.microsoft.com/office/drawing/2014/chart" uri="{C3380CC4-5D6E-409C-BE32-E72D297353CC}">
              <c16:uniqueId val="{00000028-3A97-4149-ACFF-A400482D701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Game!$AC$116</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Game!$AY$116:$BR$116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9DD2-4FB5-B11C-F92672A3C0FA}"/>
            </c:ext>
          </c:extLst>
        </c:ser>
        <c:ser>
          <c:idx val="1"/>
          <c:order val="1"/>
          <c:tx>
            <c:strRef>
              <c:f>Game!$AC$117</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Game!$AY$117:$BR$117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9DD2-4FB5-B11C-F92672A3C0FA}"/>
            </c:ext>
          </c:extLst>
        </c:ser>
        <c:ser>
          <c:idx val="2"/>
          <c:order val="2"/>
          <c:tx>
            <c:strRef>
              <c:f>Game!$AC$118</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Game!$AY$118:$BR$118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9DD2-4FB5-B11C-F92672A3C0FA}"/>
            </c:ext>
          </c:extLst>
        </c:ser>
        <c:ser>
          <c:idx val="3"/>
          <c:order val="3"/>
          <c:tx>
            <c:strRef>
              <c:f>Game!$AC$119</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Game!$AY$119:$BR$119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9DD2-4FB5-B11C-F92672A3C0FA}"/>
            </c:ext>
          </c:extLst>
        </c:ser>
        <c:ser>
          <c:idx val="4"/>
          <c:order val="4"/>
          <c:tx>
            <c:strRef>
              <c:f>Game!$AC$120</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Game!$AY$120:$BR$120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9DD2-4FB5-B11C-F92672A3C0FA}"/>
            </c:ext>
          </c:extLst>
        </c:ser>
        <c:ser>
          <c:idx val="5"/>
          <c:order val="5"/>
          <c:tx>
            <c:strRef>
              <c:f>Game!$AC$121</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Game!$AY$121:$BR$121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9DD2-4FB5-B11C-F92672A3C0FA}"/>
            </c:ext>
          </c:extLst>
        </c:ser>
        <c:ser>
          <c:idx val="6"/>
          <c:order val="6"/>
          <c:tx>
            <c:strRef>
              <c:f>Game!$AC$122</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Game!$AY$122:$BR$122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9DD2-4FB5-B11C-F92672A3C0FA}"/>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523B-4465-8B30-6179A3CBD03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523B-4465-8B30-6179A3CBD03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523B-4465-8B30-6179A3CBD03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523B-4465-8B30-6179A3CBD03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523B-4465-8B30-6179A3CBD03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523B-4465-8B30-6179A3CBD03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523B-4465-8B30-6179A3CBD03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523B-4465-8B30-6179A3CBD03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523B-4465-8B30-6179A3CBD03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523B-4465-8B30-6179A3CBD03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523B-4465-8B30-6179A3CBD03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523B-4465-8B30-6179A3CBD03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523B-4465-8B30-6179A3CBD03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523B-4465-8B30-6179A3CBD03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523B-4465-8B30-6179A3CBD03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523B-4465-8B30-6179A3CBD03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523B-4465-8B30-6179A3CBD03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9F47-4CA8-9754-DD158E97C4BA}"/>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523B-4465-8B30-6179A3CBD034}"/>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523B-4465-8B30-6179A3CBD03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523B-4465-8B30-6179A3CBD03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523B-4465-8B30-6179A3CBD03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523B-4465-8B30-6179A3CBD03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523B-4465-8B30-6179A3CBD03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523B-4465-8B30-6179A3CBD03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523B-4465-8B30-6179A3CBD03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523B-4465-8B30-6179A3CBD03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523B-4465-8B30-6179A3CBD03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523B-4465-8B30-6179A3CBD03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523B-4465-8B30-6179A3CBD03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523B-4465-8B30-6179A3CBD03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523B-4465-8B30-6179A3CBD034}"/>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523B-4465-8B30-6179A3CBD034}"/>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523B-4465-8B30-6179A3CBD034}"/>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523B-4465-8B30-6179A3CBD034}"/>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523B-4465-8B30-6179A3CBD034}"/>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523B-4465-8B30-6179A3CBD034}"/>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9F47-4CA8-9754-DD158E97C4BA}"/>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523B-4465-8B30-6179A3CBD034}"/>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523B-4465-8B30-6179A3CBD034}"/>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Game!$B$123:$V$123</c15:sqref>
                  </c15:fullRef>
                </c:ext>
              </c:extLst>
              <c:f>Game!$B$123:$U$123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Game!$V$123</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0B32-46D5-A177-6F2FA9DF7036}"/>
                      </c:ext>
                    </c:extLst>
                  </c15:dLbl>
                </c15:categoryFilterException>
              </c15:categoryFilterExceptions>
            </c:ext>
            <c:ext xmlns:c16="http://schemas.microsoft.com/office/drawing/2014/chart" uri="{C3380CC4-5D6E-409C-BE32-E72D297353CC}">
              <c16:uniqueId val="{00000028-523B-4465-8B30-6179A3CBD03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GB"/>
              <a:t>Hobbies</a:t>
            </a:r>
            <a:r>
              <a:rPr lang="en-GB" baseline="0"/>
              <a:t> &amp; qualities</a:t>
            </a:r>
            <a:endParaRPr lang="en-GB"/>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873-4AC4-B139-E0C59EB91AB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873-4AC4-B139-E0C59EB91AB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873-4AC4-B139-E0C59EB91AB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873-4AC4-B139-E0C59EB91AB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C873-4AC4-B139-E0C59EB91AB8}"/>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C873-4AC4-B139-E0C59EB91AB8}"/>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C873-4AC4-B139-E0C59EB91AB8}"/>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C873-4AC4-B139-E0C59EB91AB8}"/>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C873-4AC4-B139-E0C59EB91AB8}"/>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C873-4AC4-B139-E0C59EB91AB8}"/>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C873-4AC4-B139-E0C59EB91AB8}"/>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C873-4AC4-B139-E0C59EB91AB8}"/>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C873-4AC4-B139-E0C59EB91AB8}"/>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C873-4AC4-B139-E0C59EB91AB8}"/>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C873-4AC4-B139-E0C59EB91AB8}"/>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C873-4AC4-B139-E0C59EB91AB8}"/>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C873-4AC4-B139-E0C59EB91AB8}"/>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9442-4E55-AC2C-CBE139CEBE46}"/>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C873-4AC4-B139-E0C59EB91AB8}"/>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C873-4AC4-B139-E0C59EB91AB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73-4AC4-B139-E0C59EB91AB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73-4AC4-B139-E0C59EB91AB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73-4AC4-B139-E0C59EB91AB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73-4AC4-B139-E0C59EB91AB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73-4AC4-B139-E0C59EB91AB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73-4AC4-B139-E0C59EB91AB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873-4AC4-B139-E0C59EB91AB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873-4AC4-B139-E0C59EB91AB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873-4AC4-B139-E0C59EB91AB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873-4AC4-B139-E0C59EB91AB8}"/>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873-4AC4-B139-E0C59EB91AB8}"/>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873-4AC4-B139-E0C59EB91AB8}"/>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873-4AC4-B139-E0C59EB91AB8}"/>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873-4AC4-B139-E0C59EB91AB8}"/>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C873-4AC4-B139-E0C59EB91AB8}"/>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873-4AC4-B139-E0C59EB91AB8}"/>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873-4AC4-B139-E0C59EB91AB8}"/>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8-9442-4E55-AC2C-CBE139CEBE46}"/>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C873-4AC4-B139-E0C59EB91AB8}"/>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7-C873-4AC4-B139-E0C59EB91AB8}"/>
                </c:ext>
              </c:extLst>
            </c:dLbl>
            <c:spPr>
              <a:noFill/>
              <a:ln>
                <a:noFill/>
              </a:ln>
              <a:effectLst/>
            </c:sp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Game!$B$11:$V$11</c15:sqref>
                  </c15:fullRef>
                </c:ext>
              </c:extLst>
              <c:f>Game!$B$11:$U$11</c:f>
              <c:numCache>
                <c:formatCode>General</c:formatCode>
                <c:ptCount val="20"/>
                <c:pt idx="0">
                  <c:v>2</c:v>
                </c:pt>
                <c:pt idx="1">
                  <c:v>0</c:v>
                </c:pt>
                <c:pt idx="2">
                  <c:v>5</c:v>
                </c:pt>
                <c:pt idx="3">
                  <c:v>9</c:v>
                </c:pt>
                <c:pt idx="4">
                  <c:v>4</c:v>
                </c:pt>
                <c:pt idx="5">
                  <c:v>0</c:v>
                </c:pt>
                <c:pt idx="6">
                  <c:v>0</c:v>
                </c:pt>
                <c:pt idx="7">
                  <c:v>3</c:v>
                </c:pt>
                <c:pt idx="8">
                  <c:v>0</c:v>
                </c:pt>
                <c:pt idx="9">
                  <c:v>0.75</c:v>
                </c:pt>
                <c:pt idx="10">
                  <c:v>2</c:v>
                </c:pt>
                <c:pt idx="11">
                  <c:v>1</c:v>
                </c:pt>
                <c:pt idx="12">
                  <c:v>2.5</c:v>
                </c:pt>
                <c:pt idx="13">
                  <c:v>2</c:v>
                </c:pt>
                <c:pt idx="14">
                  <c:v>0</c:v>
                </c:pt>
                <c:pt idx="15">
                  <c:v>0</c:v>
                </c:pt>
                <c:pt idx="16">
                  <c:v>1</c:v>
                </c:pt>
                <c:pt idx="17">
                  <c:v>3</c:v>
                </c:pt>
                <c:pt idx="18">
                  <c:v>0</c:v>
                </c:pt>
                <c:pt idx="19">
                  <c:v>-1</c:v>
                </c:pt>
              </c:numCache>
            </c:numRef>
          </c:val>
          <c:extLst>
            <c:ext xmlns:c15="http://schemas.microsoft.com/office/drawing/2012/chart" uri="{02D57815-91ED-43cb-92C2-25804820EDAC}">
              <c15:categoryFilterExceptions>
                <c15:categoryFilterException>
                  <c15:sqref>Game!$V$11</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uri="{CE6537A1-D6FC-4f65-9D91-7224C49458BB}"/>
                      <c:ext xmlns:c16="http://schemas.microsoft.com/office/drawing/2014/chart" uri="{C3380CC4-5D6E-409C-BE32-E72D297353CC}">
                        <c16:uniqueId val="{00000029-8FF4-4FD4-AAE7-FCCDE3827E1D}"/>
                      </c:ext>
                    </c:extLst>
                  </c15:dLbl>
                </c15:categoryFilterException>
              </c15:categoryFilterExceptions>
            </c:ext>
            <c:ext xmlns:c16="http://schemas.microsoft.com/office/drawing/2014/chart" uri="{C3380CC4-5D6E-409C-BE32-E72D297353CC}">
              <c16:uniqueId val="{00000000-8110-469C-9D43-FD74375DB5D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Game!$AC$130</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Game!$AY$130:$BR$130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C9AE-4DA3-B767-0E5461742DC6}"/>
            </c:ext>
          </c:extLst>
        </c:ser>
        <c:ser>
          <c:idx val="1"/>
          <c:order val="1"/>
          <c:tx>
            <c:strRef>
              <c:f>Game!$AC$131</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Game!$AY$131:$BR$131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C9AE-4DA3-B767-0E5461742DC6}"/>
            </c:ext>
          </c:extLst>
        </c:ser>
        <c:ser>
          <c:idx val="2"/>
          <c:order val="2"/>
          <c:tx>
            <c:strRef>
              <c:f>Game!$AC$132</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Game!$AY$132:$BR$132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C9AE-4DA3-B767-0E5461742DC6}"/>
            </c:ext>
          </c:extLst>
        </c:ser>
        <c:ser>
          <c:idx val="3"/>
          <c:order val="3"/>
          <c:tx>
            <c:strRef>
              <c:f>Game!$AC$133</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Game!$AY$133:$BR$133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C9AE-4DA3-B767-0E5461742DC6}"/>
            </c:ext>
          </c:extLst>
        </c:ser>
        <c:ser>
          <c:idx val="4"/>
          <c:order val="4"/>
          <c:tx>
            <c:strRef>
              <c:f>Game!$AC$134</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Game!$AY$134:$BR$134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C9AE-4DA3-B767-0E5461742DC6}"/>
            </c:ext>
          </c:extLst>
        </c:ser>
        <c:ser>
          <c:idx val="5"/>
          <c:order val="5"/>
          <c:tx>
            <c:strRef>
              <c:f>Game!$AC$135</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Game!$AY$135:$BR$135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C9AE-4DA3-B767-0E5461742DC6}"/>
            </c:ext>
          </c:extLst>
        </c:ser>
        <c:ser>
          <c:idx val="6"/>
          <c:order val="6"/>
          <c:tx>
            <c:strRef>
              <c:f>Game!$AC$136</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Game!$AY$136:$BR$136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C9AE-4DA3-B767-0E5461742DC6}"/>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0-0A71-40D9-8277-6D940B985E1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A71-40D9-8277-6D940B985E1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0A71-40D9-8277-6D940B985E1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A71-40D9-8277-6D940B985E1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0A71-40D9-8277-6D940B985E1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A71-40D9-8277-6D940B985E1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0A71-40D9-8277-6D940B985E1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A71-40D9-8277-6D940B985E1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0A71-40D9-8277-6D940B985E1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A71-40D9-8277-6D940B985E1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0A71-40D9-8277-6D940B985E1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0A71-40D9-8277-6D940B985E1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0A71-40D9-8277-6D940B985E1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0A71-40D9-8277-6D940B985E1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0A71-40D9-8277-6D940B985E1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0A71-40D9-8277-6D940B985E1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0A71-40D9-8277-6D940B985E1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84C5-4FA0-99F3-EC76FA8A2355}"/>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0A71-40D9-8277-6D940B985E1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0A71-40D9-8277-6D940B985E1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0-0A71-40D9-8277-6D940B985E1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0A71-40D9-8277-6D940B985E1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0A71-40D9-8277-6D940B985E1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0A71-40D9-8277-6D940B985E1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0A71-40D9-8277-6D940B985E1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0A71-40D9-8277-6D940B985E1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0A71-40D9-8277-6D940B985E1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0A71-40D9-8277-6D940B985E1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8-0A71-40D9-8277-6D940B985E1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0A71-40D9-8277-6D940B985E1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0A71-40D9-8277-6D940B985E1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0A71-40D9-8277-6D940B985E1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C-0A71-40D9-8277-6D940B985E1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0A71-40D9-8277-6D940B985E1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E-0A71-40D9-8277-6D940B985E1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0A71-40D9-8277-6D940B985E1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0-0A71-40D9-8277-6D940B985E1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84C5-4FA0-99F3-EC76FA8A2355}"/>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2-0A71-40D9-8277-6D940B985E1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3-0A71-40D9-8277-6D940B985E12}"/>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Game!$B$137:$V$137</c15:sqref>
                  </c15:fullRef>
                </c:ext>
              </c:extLst>
              <c:f>Game!$B$137:$U$137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Game!$V$137</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5109-4CDF-9C4A-6A7D123B08F9}"/>
                      </c:ext>
                    </c:extLst>
                  </c15:dLbl>
                </c15:categoryFilterException>
              </c15:categoryFilterExceptions>
            </c:ext>
            <c:ext xmlns:c16="http://schemas.microsoft.com/office/drawing/2014/chart" uri="{C3380CC4-5D6E-409C-BE32-E72D297353CC}">
              <c16:uniqueId val="{00000028-407F-490B-A388-30F722214C2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Game!$AC$144</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Game!$AY$144:$BR$144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2EC6-48AD-B47B-E6A740BBC97E}"/>
            </c:ext>
          </c:extLst>
        </c:ser>
        <c:ser>
          <c:idx val="1"/>
          <c:order val="1"/>
          <c:tx>
            <c:strRef>
              <c:f>Game!$AC$145</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Game!$AY$145:$BR$145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2EC6-48AD-B47B-E6A740BBC97E}"/>
            </c:ext>
          </c:extLst>
        </c:ser>
        <c:ser>
          <c:idx val="2"/>
          <c:order val="2"/>
          <c:tx>
            <c:strRef>
              <c:f>Game!$AC$146</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Game!$AY$146:$BR$146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2EC6-48AD-B47B-E6A740BBC97E}"/>
            </c:ext>
          </c:extLst>
        </c:ser>
        <c:ser>
          <c:idx val="3"/>
          <c:order val="3"/>
          <c:tx>
            <c:strRef>
              <c:f>Game!$AC$147</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Game!$AY$147:$BR$147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2EC6-48AD-B47B-E6A740BBC97E}"/>
            </c:ext>
          </c:extLst>
        </c:ser>
        <c:ser>
          <c:idx val="4"/>
          <c:order val="4"/>
          <c:tx>
            <c:strRef>
              <c:f>Game!$AC$148</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Game!$AY$148:$BR$148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2EC6-48AD-B47B-E6A740BBC97E}"/>
            </c:ext>
          </c:extLst>
        </c:ser>
        <c:ser>
          <c:idx val="5"/>
          <c:order val="5"/>
          <c:tx>
            <c:strRef>
              <c:f>Game!$AC$149</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Game!$AY$149:$BR$149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2EC6-48AD-B47B-E6A740BBC97E}"/>
            </c:ext>
          </c:extLst>
        </c:ser>
        <c:ser>
          <c:idx val="6"/>
          <c:order val="6"/>
          <c:tx>
            <c:strRef>
              <c:f>Game!$AC$150</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Game!$AY$150:$BR$150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2EC6-48AD-B47B-E6A740BBC97E}"/>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55E2-45AD-AE14-BA3897F2278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55E2-45AD-AE14-BA3897F2278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55E2-45AD-AE14-BA3897F2278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55E2-45AD-AE14-BA3897F2278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55E2-45AD-AE14-BA3897F2278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55E2-45AD-AE14-BA3897F2278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55E2-45AD-AE14-BA3897F2278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55E2-45AD-AE14-BA3897F2278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55E2-45AD-AE14-BA3897F2278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55E2-45AD-AE14-BA3897F2278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55E2-45AD-AE14-BA3897F2278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55E2-45AD-AE14-BA3897F2278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55E2-45AD-AE14-BA3897F2278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55E2-45AD-AE14-BA3897F2278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55E2-45AD-AE14-BA3897F2278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55E2-45AD-AE14-BA3897F2278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55E2-45AD-AE14-BA3897F2278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663C-4027-B08E-70BDF92B7628}"/>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55E2-45AD-AE14-BA3897F2278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55E2-45AD-AE14-BA3897F2278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55E2-45AD-AE14-BA3897F2278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55E2-45AD-AE14-BA3897F2278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55E2-45AD-AE14-BA3897F2278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55E2-45AD-AE14-BA3897F2278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55E2-45AD-AE14-BA3897F2278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55E2-45AD-AE14-BA3897F2278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55E2-45AD-AE14-BA3897F2278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55E2-45AD-AE14-BA3897F2278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55E2-45AD-AE14-BA3897F2278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55E2-45AD-AE14-BA3897F2278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55E2-45AD-AE14-BA3897F2278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55E2-45AD-AE14-BA3897F2278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55E2-45AD-AE14-BA3897F22780}"/>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55E2-45AD-AE14-BA3897F22780}"/>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55E2-45AD-AE14-BA3897F22780}"/>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55E2-45AD-AE14-BA3897F22780}"/>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55E2-45AD-AE14-BA3897F22780}"/>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663C-4027-B08E-70BDF92B7628}"/>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55E2-45AD-AE14-BA3897F2278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55E2-45AD-AE14-BA3897F22780}"/>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Game!$B$151:$V$151</c15:sqref>
                  </c15:fullRef>
                </c:ext>
              </c:extLst>
              <c:f>Game!$B$151:$U$151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Game!$V$151</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6889-4BFE-8651-FBE90A0CA362}"/>
                      </c:ext>
                    </c:extLst>
                  </c15:dLbl>
                </c15:categoryFilterException>
              </c15:categoryFilterExceptions>
            </c:ext>
            <c:ext xmlns:c16="http://schemas.microsoft.com/office/drawing/2014/chart" uri="{C3380CC4-5D6E-409C-BE32-E72D297353CC}">
              <c16:uniqueId val="{00000028-55E2-45AD-AE14-BA3897F2278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Game!$AC$158</c:f>
              <c:strCache>
                <c:ptCount val="1"/>
                <c:pt idx="0">
                  <c:v>Mon</c:v>
                </c:pt>
              </c:strCache>
            </c:strRef>
          </c:tx>
          <c:spPr>
            <a:ln w="28575" cap="rnd">
              <a:solidFill>
                <a:schemeClr val="accent1"/>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Game!$AY$158:$BR$158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4CE8-4D55-80BF-B2561A100F1E}"/>
            </c:ext>
          </c:extLst>
        </c:ser>
        <c:ser>
          <c:idx val="1"/>
          <c:order val="1"/>
          <c:tx>
            <c:strRef>
              <c:f>Game!$AC$159</c:f>
              <c:strCache>
                <c:ptCount val="1"/>
                <c:pt idx="0">
                  <c:v>Tue</c:v>
                </c:pt>
              </c:strCache>
            </c:strRef>
          </c:tx>
          <c:spPr>
            <a:ln w="28575" cap="rnd">
              <a:solidFill>
                <a:schemeClr val="accent2"/>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Game!$AY$159:$BR$159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4CE8-4D55-80BF-B2561A100F1E}"/>
            </c:ext>
          </c:extLst>
        </c:ser>
        <c:ser>
          <c:idx val="2"/>
          <c:order val="2"/>
          <c:tx>
            <c:strRef>
              <c:f>Game!$AC$160</c:f>
              <c:strCache>
                <c:ptCount val="1"/>
                <c:pt idx="0">
                  <c:v>Wed</c:v>
                </c:pt>
              </c:strCache>
            </c:strRef>
          </c:tx>
          <c:spPr>
            <a:ln w="28575" cap="rnd">
              <a:solidFill>
                <a:schemeClr val="accent3"/>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Game!$AY$160:$BR$160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4CE8-4D55-80BF-B2561A100F1E}"/>
            </c:ext>
          </c:extLst>
        </c:ser>
        <c:ser>
          <c:idx val="3"/>
          <c:order val="3"/>
          <c:tx>
            <c:strRef>
              <c:f>Game!$AC$161</c:f>
              <c:strCache>
                <c:ptCount val="1"/>
                <c:pt idx="0">
                  <c:v>Thu</c:v>
                </c:pt>
              </c:strCache>
            </c:strRef>
          </c:tx>
          <c:spPr>
            <a:ln w="28575" cap="rnd">
              <a:solidFill>
                <a:schemeClr val="accent4"/>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Game!$AY$161:$BR$161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4CE8-4D55-80BF-B2561A100F1E}"/>
            </c:ext>
          </c:extLst>
        </c:ser>
        <c:ser>
          <c:idx val="4"/>
          <c:order val="4"/>
          <c:tx>
            <c:strRef>
              <c:f>Game!$AC$162</c:f>
              <c:strCache>
                <c:ptCount val="1"/>
                <c:pt idx="0">
                  <c:v>Fri</c:v>
                </c:pt>
              </c:strCache>
            </c:strRef>
          </c:tx>
          <c:spPr>
            <a:ln w="28575" cap="rnd">
              <a:solidFill>
                <a:schemeClr val="accent5"/>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Game!$AY$162:$BR$162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4-4CE8-4D55-80BF-B2561A100F1E}"/>
            </c:ext>
          </c:extLst>
        </c:ser>
        <c:ser>
          <c:idx val="5"/>
          <c:order val="5"/>
          <c:tx>
            <c:strRef>
              <c:f>Game!$AC$163</c:f>
              <c:strCache>
                <c:ptCount val="1"/>
                <c:pt idx="0">
                  <c:v>Sat</c:v>
                </c:pt>
              </c:strCache>
            </c:strRef>
          </c:tx>
          <c:spPr>
            <a:ln w="28575" cap="rnd">
              <a:solidFill>
                <a:schemeClr val="accent6"/>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Game!$AY$163:$BR$163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5-4CE8-4D55-80BF-B2561A100F1E}"/>
            </c:ext>
          </c:extLst>
        </c:ser>
        <c:ser>
          <c:idx val="6"/>
          <c:order val="6"/>
          <c:tx>
            <c:strRef>
              <c:f>Game!$AC$164</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Game!$AY$164:$BR$164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6-4CE8-4D55-80BF-B2561A100F1E}"/>
            </c:ext>
          </c:extLst>
        </c:ser>
        <c:ser>
          <c:idx val="7"/>
          <c:order val="7"/>
          <c:tx>
            <c:strRef>
              <c:f>Game!$AC$165</c:f>
              <c:strCache>
                <c:ptCount val="1"/>
              </c:strCache>
            </c:strRef>
          </c:tx>
          <c:spPr>
            <a:ln w="28575" cap="rnd">
              <a:solidFill>
                <a:schemeClr val="accent2">
                  <a:lumMod val="60000"/>
                </a:schemeClr>
              </a:solidFill>
              <a:round/>
            </a:ln>
            <a:effectLst/>
          </c:spPr>
          <c:marker>
            <c:symbol val="none"/>
          </c:marker>
          <c:cat>
            <c:strRef>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Game!$AY$165:$BR$165</c:f>
              <c:numCache>
                <c:formatCode>General</c:formatCode>
                <c:ptCount val="20"/>
              </c:numCache>
            </c:numRef>
          </c:val>
          <c:smooth val="0"/>
          <c:extLst>
            <c:ext xmlns:c16="http://schemas.microsoft.com/office/drawing/2014/chart" uri="{C3380CC4-5D6E-409C-BE32-E72D297353CC}">
              <c16:uniqueId val="{00000000-8453-4AFC-B7CC-F1A923171B03}"/>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9DE9-46B4-8DB1-DAAC49F792E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9DE9-46B4-8DB1-DAAC49F792E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9DE9-46B4-8DB1-DAAC49F792EB}"/>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9DE9-46B4-8DB1-DAAC49F792EB}"/>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9DE9-46B4-8DB1-DAAC49F792EB}"/>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9DE9-46B4-8DB1-DAAC49F792EB}"/>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9DE9-46B4-8DB1-DAAC49F792EB}"/>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9DE9-46B4-8DB1-DAAC49F792EB}"/>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9DE9-46B4-8DB1-DAAC49F792EB}"/>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9DE9-46B4-8DB1-DAAC49F792EB}"/>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9DE9-46B4-8DB1-DAAC49F792EB}"/>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9DE9-46B4-8DB1-DAAC49F792EB}"/>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9DE9-46B4-8DB1-DAAC49F792EB}"/>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9DE9-46B4-8DB1-DAAC49F792EB}"/>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9DE9-46B4-8DB1-DAAC49F792EB}"/>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9DE9-46B4-8DB1-DAAC49F792EB}"/>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9DE9-46B4-8DB1-DAAC49F792EB}"/>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D6EA-4C3B-A6AC-1552E1E35E48}"/>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9DE9-46B4-8DB1-DAAC49F792EB}"/>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9DE9-46B4-8DB1-DAAC49F792E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9DE9-46B4-8DB1-DAAC49F792E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9DE9-46B4-8DB1-DAAC49F792E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9DE9-46B4-8DB1-DAAC49F792E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9DE9-46B4-8DB1-DAAC49F792E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9DE9-46B4-8DB1-DAAC49F792EB}"/>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9DE9-46B4-8DB1-DAAC49F792EB}"/>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9DE9-46B4-8DB1-DAAC49F792EB}"/>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9DE9-46B4-8DB1-DAAC49F792EB}"/>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9DE9-46B4-8DB1-DAAC49F792EB}"/>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9DE9-46B4-8DB1-DAAC49F792EB}"/>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9DE9-46B4-8DB1-DAAC49F792EB}"/>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9DE9-46B4-8DB1-DAAC49F792EB}"/>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9DE9-46B4-8DB1-DAAC49F792EB}"/>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9DE9-46B4-8DB1-DAAC49F792EB}"/>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9DE9-46B4-8DB1-DAAC49F792EB}"/>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9DE9-46B4-8DB1-DAAC49F792EB}"/>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9DE9-46B4-8DB1-DAAC49F792EB}"/>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8-D6EA-4C3B-A6AC-1552E1E35E48}"/>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9DE9-46B4-8DB1-DAAC49F792EB}"/>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9DE9-46B4-8DB1-DAAC49F792EB}"/>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Game!$AY$2:$BR$2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Game!$B$165:$V$165</c15:sqref>
                  </c15:fullRef>
                </c:ext>
              </c:extLst>
              <c:f>Game!$B$165:$U$165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5="http://schemas.microsoft.com/office/drawing/2012/chart" uri="{02D57815-91ED-43cb-92C2-25804820EDAC}">
              <c15:categoryFilterExceptions>
                <c15:categoryFilterException>
                  <c15:sqref>Game!$V$165</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A853-49C8-8A17-789B574C5601}"/>
                      </c:ext>
                    </c:extLst>
                  </c15:dLbl>
                </c15:categoryFilterException>
              </c15:categoryFilterExceptions>
            </c:ext>
            <c:ext xmlns:c16="http://schemas.microsoft.com/office/drawing/2014/chart" uri="{C3380CC4-5D6E-409C-BE32-E72D297353CC}">
              <c16:uniqueId val="{00000028-9DE9-46B4-8DB1-DAAC49F792E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Streak Progress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Game!$B$27</c:f>
              <c:numCache>
                <c:formatCode>General</c:formatCode>
                <c:ptCount val="1"/>
                <c:pt idx="0">
                  <c:v>0</c:v>
                </c:pt>
              </c:numCache>
            </c:numRef>
          </c:val>
          <c:extLst>
            <c:ext xmlns:c16="http://schemas.microsoft.com/office/drawing/2014/chart" uri="{C3380CC4-5D6E-409C-BE32-E72D297353CC}">
              <c16:uniqueId val="{00000000-0990-491D-BCE1-61F9235DFD54}"/>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Game!$C$27</c:f>
              <c:numCache>
                <c:formatCode>General</c:formatCode>
                <c:ptCount val="1"/>
                <c:pt idx="0">
                  <c:v>0</c:v>
                </c:pt>
              </c:numCache>
            </c:numRef>
          </c:val>
          <c:extLst>
            <c:ext xmlns:c16="http://schemas.microsoft.com/office/drawing/2014/chart" uri="{C3380CC4-5D6E-409C-BE32-E72D297353CC}">
              <c16:uniqueId val="{00000001-0990-491D-BCE1-61F9235DFD54}"/>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Game!$D$27</c:f>
              <c:numCache>
                <c:formatCode>General</c:formatCode>
                <c:ptCount val="1"/>
                <c:pt idx="0">
                  <c:v>0</c:v>
                </c:pt>
              </c:numCache>
            </c:numRef>
          </c:val>
          <c:extLst>
            <c:ext xmlns:c16="http://schemas.microsoft.com/office/drawing/2014/chart" uri="{C3380CC4-5D6E-409C-BE32-E72D297353CC}">
              <c16:uniqueId val="{00000002-0990-491D-BCE1-61F9235DFD54}"/>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Game!$E$27</c:f>
              <c:numCache>
                <c:formatCode>General</c:formatCode>
                <c:ptCount val="1"/>
                <c:pt idx="0">
                  <c:v>0</c:v>
                </c:pt>
              </c:numCache>
            </c:numRef>
          </c:val>
          <c:extLst>
            <c:ext xmlns:c16="http://schemas.microsoft.com/office/drawing/2014/chart" uri="{C3380CC4-5D6E-409C-BE32-E72D297353CC}">
              <c16:uniqueId val="{00000003-0990-491D-BCE1-61F9235DFD54}"/>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Game!$F$27</c:f>
              <c:numCache>
                <c:formatCode>General</c:formatCode>
                <c:ptCount val="1"/>
                <c:pt idx="0">
                  <c:v>0</c:v>
                </c:pt>
              </c:numCache>
            </c:numRef>
          </c:val>
          <c:extLst>
            <c:ext xmlns:c16="http://schemas.microsoft.com/office/drawing/2014/chart" uri="{C3380CC4-5D6E-409C-BE32-E72D297353CC}">
              <c16:uniqueId val="{00000004-0990-491D-BCE1-61F9235DFD54}"/>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Game!$G$27</c:f>
              <c:numCache>
                <c:formatCode>General</c:formatCode>
                <c:ptCount val="1"/>
                <c:pt idx="0">
                  <c:v>0</c:v>
                </c:pt>
              </c:numCache>
            </c:numRef>
          </c:val>
          <c:extLst>
            <c:ext xmlns:c16="http://schemas.microsoft.com/office/drawing/2014/chart" uri="{C3380CC4-5D6E-409C-BE32-E72D297353CC}">
              <c16:uniqueId val="{00000005-0990-491D-BCE1-61F9235DFD54}"/>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Game!$H$27</c:f>
              <c:numCache>
                <c:formatCode>General</c:formatCode>
                <c:ptCount val="1"/>
                <c:pt idx="0">
                  <c:v>0</c:v>
                </c:pt>
              </c:numCache>
            </c:numRef>
          </c:val>
          <c:extLst>
            <c:ext xmlns:c16="http://schemas.microsoft.com/office/drawing/2014/chart" uri="{C3380CC4-5D6E-409C-BE32-E72D297353CC}">
              <c16:uniqueId val="{00000006-0990-491D-BCE1-61F9235DFD54}"/>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Game!$I$27</c:f>
              <c:numCache>
                <c:formatCode>General</c:formatCode>
                <c:ptCount val="1"/>
                <c:pt idx="0">
                  <c:v>0</c:v>
                </c:pt>
              </c:numCache>
            </c:numRef>
          </c:val>
          <c:extLst>
            <c:ext xmlns:c16="http://schemas.microsoft.com/office/drawing/2014/chart" uri="{C3380CC4-5D6E-409C-BE32-E72D297353CC}">
              <c16:uniqueId val="{00000007-0990-491D-BCE1-61F9235DFD54}"/>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Game!$J$27</c:f>
              <c:numCache>
                <c:formatCode>General</c:formatCode>
                <c:ptCount val="1"/>
                <c:pt idx="0">
                  <c:v>0</c:v>
                </c:pt>
              </c:numCache>
            </c:numRef>
          </c:val>
          <c:extLst>
            <c:ext xmlns:c16="http://schemas.microsoft.com/office/drawing/2014/chart" uri="{C3380CC4-5D6E-409C-BE32-E72D297353CC}">
              <c16:uniqueId val="{00000008-0990-491D-BCE1-61F9235DFD54}"/>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Game!$K$27</c:f>
              <c:numCache>
                <c:formatCode>General</c:formatCode>
                <c:ptCount val="1"/>
                <c:pt idx="0">
                  <c:v>0</c:v>
                </c:pt>
              </c:numCache>
            </c:numRef>
          </c:val>
          <c:extLst>
            <c:ext xmlns:c16="http://schemas.microsoft.com/office/drawing/2014/chart" uri="{C3380CC4-5D6E-409C-BE32-E72D297353CC}">
              <c16:uniqueId val="{00000009-0990-491D-BCE1-61F9235DFD54}"/>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Game!$L$27</c:f>
              <c:numCache>
                <c:formatCode>General</c:formatCode>
                <c:ptCount val="1"/>
                <c:pt idx="0">
                  <c:v>0</c:v>
                </c:pt>
              </c:numCache>
            </c:numRef>
          </c:val>
          <c:extLst>
            <c:ext xmlns:c16="http://schemas.microsoft.com/office/drawing/2014/chart" uri="{C3380CC4-5D6E-409C-BE32-E72D297353CC}">
              <c16:uniqueId val="{0000000A-0990-491D-BCE1-61F9235DFD54}"/>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Game!$M$27</c:f>
              <c:numCache>
                <c:formatCode>General</c:formatCode>
                <c:ptCount val="1"/>
                <c:pt idx="0">
                  <c:v>0</c:v>
                </c:pt>
              </c:numCache>
            </c:numRef>
          </c:val>
          <c:extLst>
            <c:ext xmlns:c16="http://schemas.microsoft.com/office/drawing/2014/chart" uri="{C3380CC4-5D6E-409C-BE32-E72D297353CC}">
              <c16:uniqueId val="{0000000B-0990-491D-BCE1-61F9235DFD54}"/>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Game!$N$27</c:f>
              <c:numCache>
                <c:formatCode>General</c:formatCode>
                <c:ptCount val="1"/>
                <c:pt idx="0">
                  <c:v>0</c:v>
                </c:pt>
              </c:numCache>
            </c:numRef>
          </c:val>
          <c:extLst>
            <c:ext xmlns:c16="http://schemas.microsoft.com/office/drawing/2014/chart" uri="{C3380CC4-5D6E-409C-BE32-E72D297353CC}">
              <c16:uniqueId val="{0000000C-0990-491D-BCE1-61F9235DFD54}"/>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Game!$O$27</c:f>
              <c:numCache>
                <c:formatCode>General</c:formatCode>
                <c:ptCount val="1"/>
                <c:pt idx="0">
                  <c:v>0</c:v>
                </c:pt>
              </c:numCache>
            </c:numRef>
          </c:val>
          <c:extLst>
            <c:ext xmlns:c16="http://schemas.microsoft.com/office/drawing/2014/chart" uri="{C3380CC4-5D6E-409C-BE32-E72D297353CC}">
              <c16:uniqueId val="{0000000D-0990-491D-BCE1-61F9235DFD54}"/>
            </c:ext>
          </c:extLst>
        </c:ser>
        <c:dLbls>
          <c:dLblPos val="outEnd"/>
          <c:showLegendKey val="0"/>
          <c:showVal val="1"/>
          <c:showCatName val="0"/>
          <c:showSerName val="0"/>
          <c:showPercent val="0"/>
          <c:showBubbleSize val="0"/>
        </c:dLbls>
        <c:gapWidth val="80"/>
        <c:axId val="1209127136"/>
        <c:axId val="1209130976"/>
      </c:barChart>
      <c:catAx>
        <c:axId val="12091271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09130976"/>
        <c:crosses val="autoZero"/>
        <c:auto val="1"/>
        <c:lblAlgn val="ctr"/>
        <c:lblOffset val="100"/>
        <c:noMultiLvlLbl val="0"/>
      </c:catAx>
      <c:valAx>
        <c:axId val="12091309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0912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Game!$B$41</c:f>
              <c:numCache>
                <c:formatCode>General</c:formatCode>
                <c:ptCount val="1"/>
                <c:pt idx="0">
                  <c:v>0</c:v>
                </c:pt>
              </c:numCache>
            </c:numRef>
          </c:val>
          <c:extLst>
            <c:ext xmlns:c16="http://schemas.microsoft.com/office/drawing/2014/chart" uri="{C3380CC4-5D6E-409C-BE32-E72D297353CC}">
              <c16:uniqueId val="{00000000-1DFD-41AC-B6E4-2750E6C615D2}"/>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Game!$C$41</c:f>
              <c:numCache>
                <c:formatCode>General</c:formatCode>
                <c:ptCount val="1"/>
                <c:pt idx="0">
                  <c:v>0</c:v>
                </c:pt>
              </c:numCache>
            </c:numRef>
          </c:val>
          <c:extLst>
            <c:ext xmlns:c16="http://schemas.microsoft.com/office/drawing/2014/chart" uri="{C3380CC4-5D6E-409C-BE32-E72D297353CC}">
              <c16:uniqueId val="{00000001-1DFD-41AC-B6E4-2750E6C615D2}"/>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Game!$D$41</c:f>
              <c:numCache>
                <c:formatCode>General</c:formatCode>
                <c:ptCount val="1"/>
                <c:pt idx="0">
                  <c:v>0</c:v>
                </c:pt>
              </c:numCache>
            </c:numRef>
          </c:val>
          <c:extLst>
            <c:ext xmlns:c16="http://schemas.microsoft.com/office/drawing/2014/chart" uri="{C3380CC4-5D6E-409C-BE32-E72D297353CC}">
              <c16:uniqueId val="{00000002-1DFD-41AC-B6E4-2750E6C615D2}"/>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Game!$E$41</c:f>
              <c:numCache>
                <c:formatCode>General</c:formatCode>
                <c:ptCount val="1"/>
                <c:pt idx="0">
                  <c:v>0</c:v>
                </c:pt>
              </c:numCache>
            </c:numRef>
          </c:val>
          <c:extLst>
            <c:ext xmlns:c16="http://schemas.microsoft.com/office/drawing/2014/chart" uri="{C3380CC4-5D6E-409C-BE32-E72D297353CC}">
              <c16:uniqueId val="{00000003-1DFD-41AC-B6E4-2750E6C615D2}"/>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Game!$F$41</c:f>
              <c:numCache>
                <c:formatCode>General</c:formatCode>
                <c:ptCount val="1"/>
                <c:pt idx="0">
                  <c:v>0</c:v>
                </c:pt>
              </c:numCache>
            </c:numRef>
          </c:val>
          <c:extLst>
            <c:ext xmlns:c16="http://schemas.microsoft.com/office/drawing/2014/chart" uri="{C3380CC4-5D6E-409C-BE32-E72D297353CC}">
              <c16:uniqueId val="{00000004-1DFD-41AC-B6E4-2750E6C615D2}"/>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Game!$G$41</c:f>
              <c:numCache>
                <c:formatCode>General</c:formatCode>
                <c:ptCount val="1"/>
                <c:pt idx="0">
                  <c:v>0</c:v>
                </c:pt>
              </c:numCache>
            </c:numRef>
          </c:val>
          <c:extLst>
            <c:ext xmlns:c16="http://schemas.microsoft.com/office/drawing/2014/chart" uri="{C3380CC4-5D6E-409C-BE32-E72D297353CC}">
              <c16:uniqueId val="{00000005-1DFD-41AC-B6E4-2750E6C615D2}"/>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Game!$H$41</c:f>
              <c:numCache>
                <c:formatCode>General</c:formatCode>
                <c:ptCount val="1"/>
                <c:pt idx="0">
                  <c:v>0</c:v>
                </c:pt>
              </c:numCache>
            </c:numRef>
          </c:val>
          <c:extLst>
            <c:ext xmlns:c16="http://schemas.microsoft.com/office/drawing/2014/chart" uri="{C3380CC4-5D6E-409C-BE32-E72D297353CC}">
              <c16:uniqueId val="{00000006-1DFD-41AC-B6E4-2750E6C615D2}"/>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Game!$I$41</c:f>
              <c:numCache>
                <c:formatCode>General</c:formatCode>
                <c:ptCount val="1"/>
                <c:pt idx="0">
                  <c:v>0</c:v>
                </c:pt>
              </c:numCache>
            </c:numRef>
          </c:val>
          <c:extLst>
            <c:ext xmlns:c16="http://schemas.microsoft.com/office/drawing/2014/chart" uri="{C3380CC4-5D6E-409C-BE32-E72D297353CC}">
              <c16:uniqueId val="{00000007-1DFD-41AC-B6E4-2750E6C615D2}"/>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Game!$J$41</c:f>
              <c:numCache>
                <c:formatCode>General</c:formatCode>
                <c:ptCount val="1"/>
                <c:pt idx="0">
                  <c:v>0</c:v>
                </c:pt>
              </c:numCache>
            </c:numRef>
          </c:val>
          <c:extLst>
            <c:ext xmlns:c16="http://schemas.microsoft.com/office/drawing/2014/chart" uri="{C3380CC4-5D6E-409C-BE32-E72D297353CC}">
              <c16:uniqueId val="{00000008-1DFD-41AC-B6E4-2750E6C615D2}"/>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Game!$K$41</c:f>
              <c:numCache>
                <c:formatCode>General</c:formatCode>
                <c:ptCount val="1"/>
                <c:pt idx="0">
                  <c:v>0</c:v>
                </c:pt>
              </c:numCache>
            </c:numRef>
          </c:val>
          <c:extLst>
            <c:ext xmlns:c16="http://schemas.microsoft.com/office/drawing/2014/chart" uri="{C3380CC4-5D6E-409C-BE32-E72D297353CC}">
              <c16:uniqueId val="{00000009-1DFD-41AC-B6E4-2750E6C615D2}"/>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Game!$L$41</c:f>
              <c:numCache>
                <c:formatCode>General</c:formatCode>
                <c:ptCount val="1"/>
                <c:pt idx="0">
                  <c:v>0</c:v>
                </c:pt>
              </c:numCache>
            </c:numRef>
          </c:val>
          <c:extLst>
            <c:ext xmlns:c16="http://schemas.microsoft.com/office/drawing/2014/chart" uri="{C3380CC4-5D6E-409C-BE32-E72D297353CC}">
              <c16:uniqueId val="{0000000A-1DFD-41AC-B6E4-2750E6C615D2}"/>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Game!$M$41</c:f>
              <c:numCache>
                <c:formatCode>General</c:formatCode>
                <c:ptCount val="1"/>
                <c:pt idx="0">
                  <c:v>0</c:v>
                </c:pt>
              </c:numCache>
            </c:numRef>
          </c:val>
          <c:extLst>
            <c:ext xmlns:c16="http://schemas.microsoft.com/office/drawing/2014/chart" uri="{C3380CC4-5D6E-409C-BE32-E72D297353CC}">
              <c16:uniqueId val="{0000000B-1DFD-41AC-B6E4-2750E6C615D2}"/>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Game!$N$41</c:f>
              <c:numCache>
                <c:formatCode>General</c:formatCode>
                <c:ptCount val="1"/>
                <c:pt idx="0">
                  <c:v>0</c:v>
                </c:pt>
              </c:numCache>
            </c:numRef>
          </c:val>
          <c:extLst>
            <c:ext xmlns:c16="http://schemas.microsoft.com/office/drawing/2014/chart" uri="{C3380CC4-5D6E-409C-BE32-E72D297353CC}">
              <c16:uniqueId val="{0000000C-1DFD-41AC-B6E4-2750E6C615D2}"/>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Game!$O$41</c:f>
              <c:numCache>
                <c:formatCode>General</c:formatCode>
                <c:ptCount val="1"/>
                <c:pt idx="0">
                  <c:v>0</c:v>
                </c:pt>
              </c:numCache>
            </c:numRef>
          </c:val>
          <c:extLst>
            <c:ext xmlns:c16="http://schemas.microsoft.com/office/drawing/2014/chart" uri="{C3380CC4-5D6E-409C-BE32-E72D297353CC}">
              <c16:uniqueId val="{0000000D-1DFD-41AC-B6E4-2750E6C615D2}"/>
            </c:ext>
          </c:extLst>
        </c:ser>
        <c:dLbls>
          <c:dLblPos val="outEnd"/>
          <c:showLegendKey val="0"/>
          <c:showVal val="1"/>
          <c:showCatName val="0"/>
          <c:showSerName val="0"/>
          <c:showPercent val="0"/>
          <c:showBubbleSize val="0"/>
        </c:dLbls>
        <c:gapWidth val="80"/>
        <c:overlap val="25"/>
        <c:axId val="1501857296"/>
        <c:axId val="1501854416"/>
      </c:barChart>
      <c:catAx>
        <c:axId val="15018572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854416"/>
        <c:crosses val="autoZero"/>
        <c:auto val="1"/>
        <c:lblAlgn val="ctr"/>
        <c:lblOffset val="100"/>
        <c:noMultiLvlLbl val="0"/>
      </c:catAx>
      <c:valAx>
        <c:axId val="150185441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85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Game!$B$55</c:f>
              <c:numCache>
                <c:formatCode>General</c:formatCode>
                <c:ptCount val="1"/>
                <c:pt idx="0">
                  <c:v>0</c:v>
                </c:pt>
              </c:numCache>
            </c:numRef>
          </c:val>
          <c:extLst>
            <c:ext xmlns:c16="http://schemas.microsoft.com/office/drawing/2014/chart" uri="{C3380CC4-5D6E-409C-BE32-E72D297353CC}">
              <c16:uniqueId val="{00000000-3C49-4DB8-92CA-5FC299168275}"/>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Game!$C$55</c:f>
              <c:numCache>
                <c:formatCode>General</c:formatCode>
                <c:ptCount val="1"/>
                <c:pt idx="0">
                  <c:v>0</c:v>
                </c:pt>
              </c:numCache>
            </c:numRef>
          </c:val>
          <c:extLst>
            <c:ext xmlns:c16="http://schemas.microsoft.com/office/drawing/2014/chart" uri="{C3380CC4-5D6E-409C-BE32-E72D297353CC}">
              <c16:uniqueId val="{00000001-3C49-4DB8-92CA-5FC299168275}"/>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Game!$D$55</c:f>
              <c:numCache>
                <c:formatCode>General</c:formatCode>
                <c:ptCount val="1"/>
                <c:pt idx="0">
                  <c:v>0</c:v>
                </c:pt>
              </c:numCache>
            </c:numRef>
          </c:val>
          <c:extLst>
            <c:ext xmlns:c16="http://schemas.microsoft.com/office/drawing/2014/chart" uri="{C3380CC4-5D6E-409C-BE32-E72D297353CC}">
              <c16:uniqueId val="{00000002-3C49-4DB8-92CA-5FC299168275}"/>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Game!$E$55</c:f>
              <c:numCache>
                <c:formatCode>General</c:formatCode>
                <c:ptCount val="1"/>
                <c:pt idx="0">
                  <c:v>0</c:v>
                </c:pt>
              </c:numCache>
            </c:numRef>
          </c:val>
          <c:extLst>
            <c:ext xmlns:c16="http://schemas.microsoft.com/office/drawing/2014/chart" uri="{C3380CC4-5D6E-409C-BE32-E72D297353CC}">
              <c16:uniqueId val="{00000003-3C49-4DB8-92CA-5FC299168275}"/>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Game!$F$55</c:f>
              <c:numCache>
                <c:formatCode>General</c:formatCode>
                <c:ptCount val="1"/>
                <c:pt idx="0">
                  <c:v>0</c:v>
                </c:pt>
              </c:numCache>
            </c:numRef>
          </c:val>
          <c:extLst>
            <c:ext xmlns:c16="http://schemas.microsoft.com/office/drawing/2014/chart" uri="{C3380CC4-5D6E-409C-BE32-E72D297353CC}">
              <c16:uniqueId val="{00000004-3C49-4DB8-92CA-5FC299168275}"/>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Game!$G$55</c:f>
              <c:numCache>
                <c:formatCode>General</c:formatCode>
                <c:ptCount val="1"/>
                <c:pt idx="0">
                  <c:v>0</c:v>
                </c:pt>
              </c:numCache>
            </c:numRef>
          </c:val>
          <c:extLst>
            <c:ext xmlns:c16="http://schemas.microsoft.com/office/drawing/2014/chart" uri="{C3380CC4-5D6E-409C-BE32-E72D297353CC}">
              <c16:uniqueId val="{00000005-3C49-4DB8-92CA-5FC299168275}"/>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Game!$H$55</c:f>
              <c:numCache>
                <c:formatCode>General</c:formatCode>
                <c:ptCount val="1"/>
                <c:pt idx="0">
                  <c:v>0</c:v>
                </c:pt>
              </c:numCache>
            </c:numRef>
          </c:val>
          <c:extLst>
            <c:ext xmlns:c16="http://schemas.microsoft.com/office/drawing/2014/chart" uri="{C3380CC4-5D6E-409C-BE32-E72D297353CC}">
              <c16:uniqueId val="{00000006-3C49-4DB8-92CA-5FC299168275}"/>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Game!$I$55</c:f>
              <c:numCache>
                <c:formatCode>General</c:formatCode>
                <c:ptCount val="1"/>
                <c:pt idx="0">
                  <c:v>0</c:v>
                </c:pt>
              </c:numCache>
            </c:numRef>
          </c:val>
          <c:extLst>
            <c:ext xmlns:c16="http://schemas.microsoft.com/office/drawing/2014/chart" uri="{C3380CC4-5D6E-409C-BE32-E72D297353CC}">
              <c16:uniqueId val="{00000007-3C49-4DB8-92CA-5FC299168275}"/>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Game!$J$55</c:f>
              <c:numCache>
                <c:formatCode>General</c:formatCode>
                <c:ptCount val="1"/>
                <c:pt idx="0">
                  <c:v>0</c:v>
                </c:pt>
              </c:numCache>
            </c:numRef>
          </c:val>
          <c:extLst>
            <c:ext xmlns:c16="http://schemas.microsoft.com/office/drawing/2014/chart" uri="{C3380CC4-5D6E-409C-BE32-E72D297353CC}">
              <c16:uniqueId val="{00000008-3C49-4DB8-92CA-5FC299168275}"/>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Game!$K$55</c:f>
              <c:numCache>
                <c:formatCode>General</c:formatCode>
                <c:ptCount val="1"/>
                <c:pt idx="0">
                  <c:v>0</c:v>
                </c:pt>
              </c:numCache>
            </c:numRef>
          </c:val>
          <c:extLst>
            <c:ext xmlns:c16="http://schemas.microsoft.com/office/drawing/2014/chart" uri="{C3380CC4-5D6E-409C-BE32-E72D297353CC}">
              <c16:uniqueId val="{00000009-3C49-4DB8-92CA-5FC299168275}"/>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Game!$L$55</c:f>
              <c:numCache>
                <c:formatCode>General</c:formatCode>
                <c:ptCount val="1"/>
                <c:pt idx="0">
                  <c:v>0</c:v>
                </c:pt>
              </c:numCache>
            </c:numRef>
          </c:val>
          <c:extLst>
            <c:ext xmlns:c16="http://schemas.microsoft.com/office/drawing/2014/chart" uri="{C3380CC4-5D6E-409C-BE32-E72D297353CC}">
              <c16:uniqueId val="{0000000A-3C49-4DB8-92CA-5FC299168275}"/>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Game!$M$55</c:f>
              <c:numCache>
                <c:formatCode>General</c:formatCode>
                <c:ptCount val="1"/>
                <c:pt idx="0">
                  <c:v>0</c:v>
                </c:pt>
              </c:numCache>
            </c:numRef>
          </c:val>
          <c:extLst>
            <c:ext xmlns:c16="http://schemas.microsoft.com/office/drawing/2014/chart" uri="{C3380CC4-5D6E-409C-BE32-E72D297353CC}">
              <c16:uniqueId val="{0000000B-3C49-4DB8-92CA-5FC299168275}"/>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Game!$N$55</c:f>
              <c:numCache>
                <c:formatCode>General</c:formatCode>
                <c:ptCount val="1"/>
                <c:pt idx="0">
                  <c:v>0</c:v>
                </c:pt>
              </c:numCache>
            </c:numRef>
          </c:val>
          <c:extLst>
            <c:ext xmlns:c16="http://schemas.microsoft.com/office/drawing/2014/chart" uri="{C3380CC4-5D6E-409C-BE32-E72D297353CC}">
              <c16:uniqueId val="{0000000C-3C49-4DB8-92CA-5FC299168275}"/>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Game!$O$55</c:f>
              <c:numCache>
                <c:formatCode>General</c:formatCode>
                <c:ptCount val="1"/>
                <c:pt idx="0">
                  <c:v>0</c:v>
                </c:pt>
              </c:numCache>
            </c:numRef>
          </c:val>
          <c:extLst>
            <c:ext xmlns:c16="http://schemas.microsoft.com/office/drawing/2014/chart" uri="{C3380CC4-5D6E-409C-BE32-E72D297353CC}">
              <c16:uniqueId val="{0000000D-3C49-4DB8-92CA-5FC299168275}"/>
            </c:ext>
          </c:extLst>
        </c:ser>
        <c:dLbls>
          <c:dLblPos val="outEnd"/>
          <c:showLegendKey val="0"/>
          <c:showVal val="1"/>
          <c:showCatName val="0"/>
          <c:showSerName val="0"/>
          <c:showPercent val="0"/>
          <c:showBubbleSize val="0"/>
        </c:dLbls>
        <c:gapWidth val="80"/>
        <c:overlap val="25"/>
        <c:axId val="1501923536"/>
        <c:axId val="1501908176"/>
      </c:barChart>
      <c:catAx>
        <c:axId val="15019235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908176"/>
        <c:crosses val="autoZero"/>
        <c:auto val="1"/>
        <c:lblAlgn val="ctr"/>
        <c:lblOffset val="100"/>
        <c:noMultiLvlLbl val="0"/>
      </c:catAx>
      <c:valAx>
        <c:axId val="15019081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92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Game!$B$69</c:f>
              <c:numCache>
                <c:formatCode>General</c:formatCode>
                <c:ptCount val="1"/>
                <c:pt idx="0">
                  <c:v>0</c:v>
                </c:pt>
              </c:numCache>
            </c:numRef>
          </c:val>
          <c:extLst>
            <c:ext xmlns:c16="http://schemas.microsoft.com/office/drawing/2014/chart" uri="{C3380CC4-5D6E-409C-BE32-E72D297353CC}">
              <c16:uniqueId val="{00000000-F576-4F3A-8154-D6CDD1A62743}"/>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Game!$C$69</c:f>
              <c:numCache>
                <c:formatCode>General</c:formatCode>
                <c:ptCount val="1"/>
                <c:pt idx="0">
                  <c:v>0</c:v>
                </c:pt>
              </c:numCache>
            </c:numRef>
          </c:val>
          <c:extLst>
            <c:ext xmlns:c16="http://schemas.microsoft.com/office/drawing/2014/chart" uri="{C3380CC4-5D6E-409C-BE32-E72D297353CC}">
              <c16:uniqueId val="{00000001-F576-4F3A-8154-D6CDD1A62743}"/>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Game!$D$69</c:f>
              <c:numCache>
                <c:formatCode>General</c:formatCode>
                <c:ptCount val="1"/>
                <c:pt idx="0">
                  <c:v>0</c:v>
                </c:pt>
              </c:numCache>
            </c:numRef>
          </c:val>
          <c:extLst>
            <c:ext xmlns:c16="http://schemas.microsoft.com/office/drawing/2014/chart" uri="{C3380CC4-5D6E-409C-BE32-E72D297353CC}">
              <c16:uniqueId val="{00000002-F576-4F3A-8154-D6CDD1A62743}"/>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Game!$E$69</c:f>
              <c:numCache>
                <c:formatCode>General</c:formatCode>
                <c:ptCount val="1"/>
                <c:pt idx="0">
                  <c:v>0</c:v>
                </c:pt>
              </c:numCache>
            </c:numRef>
          </c:val>
          <c:extLst>
            <c:ext xmlns:c16="http://schemas.microsoft.com/office/drawing/2014/chart" uri="{C3380CC4-5D6E-409C-BE32-E72D297353CC}">
              <c16:uniqueId val="{00000003-F576-4F3A-8154-D6CDD1A62743}"/>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Game!$F$69</c:f>
              <c:numCache>
                <c:formatCode>General</c:formatCode>
                <c:ptCount val="1"/>
                <c:pt idx="0">
                  <c:v>0</c:v>
                </c:pt>
              </c:numCache>
            </c:numRef>
          </c:val>
          <c:extLst>
            <c:ext xmlns:c16="http://schemas.microsoft.com/office/drawing/2014/chart" uri="{C3380CC4-5D6E-409C-BE32-E72D297353CC}">
              <c16:uniqueId val="{00000004-F576-4F3A-8154-D6CDD1A62743}"/>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Game!$G$69</c:f>
              <c:numCache>
                <c:formatCode>General</c:formatCode>
                <c:ptCount val="1"/>
                <c:pt idx="0">
                  <c:v>0</c:v>
                </c:pt>
              </c:numCache>
            </c:numRef>
          </c:val>
          <c:extLst>
            <c:ext xmlns:c16="http://schemas.microsoft.com/office/drawing/2014/chart" uri="{C3380CC4-5D6E-409C-BE32-E72D297353CC}">
              <c16:uniqueId val="{00000005-F576-4F3A-8154-D6CDD1A62743}"/>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Game!$H$69</c:f>
              <c:numCache>
                <c:formatCode>General</c:formatCode>
                <c:ptCount val="1"/>
                <c:pt idx="0">
                  <c:v>0</c:v>
                </c:pt>
              </c:numCache>
            </c:numRef>
          </c:val>
          <c:extLst>
            <c:ext xmlns:c16="http://schemas.microsoft.com/office/drawing/2014/chart" uri="{C3380CC4-5D6E-409C-BE32-E72D297353CC}">
              <c16:uniqueId val="{00000006-F576-4F3A-8154-D6CDD1A62743}"/>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Game!$I$69</c:f>
              <c:numCache>
                <c:formatCode>General</c:formatCode>
                <c:ptCount val="1"/>
                <c:pt idx="0">
                  <c:v>0</c:v>
                </c:pt>
              </c:numCache>
            </c:numRef>
          </c:val>
          <c:extLst>
            <c:ext xmlns:c16="http://schemas.microsoft.com/office/drawing/2014/chart" uri="{C3380CC4-5D6E-409C-BE32-E72D297353CC}">
              <c16:uniqueId val="{00000007-F576-4F3A-8154-D6CDD1A62743}"/>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Game!$J$69</c:f>
              <c:numCache>
                <c:formatCode>General</c:formatCode>
                <c:ptCount val="1"/>
                <c:pt idx="0">
                  <c:v>0</c:v>
                </c:pt>
              </c:numCache>
            </c:numRef>
          </c:val>
          <c:extLst>
            <c:ext xmlns:c16="http://schemas.microsoft.com/office/drawing/2014/chart" uri="{C3380CC4-5D6E-409C-BE32-E72D297353CC}">
              <c16:uniqueId val="{00000008-F576-4F3A-8154-D6CDD1A62743}"/>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Game!$K$69</c:f>
              <c:numCache>
                <c:formatCode>General</c:formatCode>
                <c:ptCount val="1"/>
                <c:pt idx="0">
                  <c:v>0</c:v>
                </c:pt>
              </c:numCache>
            </c:numRef>
          </c:val>
          <c:extLst>
            <c:ext xmlns:c16="http://schemas.microsoft.com/office/drawing/2014/chart" uri="{C3380CC4-5D6E-409C-BE32-E72D297353CC}">
              <c16:uniqueId val="{00000009-F576-4F3A-8154-D6CDD1A62743}"/>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Game!$L$69</c:f>
              <c:numCache>
                <c:formatCode>General</c:formatCode>
                <c:ptCount val="1"/>
                <c:pt idx="0">
                  <c:v>0</c:v>
                </c:pt>
              </c:numCache>
            </c:numRef>
          </c:val>
          <c:extLst>
            <c:ext xmlns:c16="http://schemas.microsoft.com/office/drawing/2014/chart" uri="{C3380CC4-5D6E-409C-BE32-E72D297353CC}">
              <c16:uniqueId val="{0000000A-F576-4F3A-8154-D6CDD1A62743}"/>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Game!$M$69</c:f>
              <c:numCache>
                <c:formatCode>General</c:formatCode>
                <c:ptCount val="1"/>
                <c:pt idx="0">
                  <c:v>0</c:v>
                </c:pt>
              </c:numCache>
            </c:numRef>
          </c:val>
          <c:extLst>
            <c:ext xmlns:c16="http://schemas.microsoft.com/office/drawing/2014/chart" uri="{C3380CC4-5D6E-409C-BE32-E72D297353CC}">
              <c16:uniqueId val="{0000000B-F576-4F3A-8154-D6CDD1A62743}"/>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Game!$N$69</c:f>
              <c:numCache>
                <c:formatCode>General</c:formatCode>
                <c:ptCount val="1"/>
                <c:pt idx="0">
                  <c:v>0</c:v>
                </c:pt>
              </c:numCache>
            </c:numRef>
          </c:val>
          <c:extLst>
            <c:ext xmlns:c16="http://schemas.microsoft.com/office/drawing/2014/chart" uri="{C3380CC4-5D6E-409C-BE32-E72D297353CC}">
              <c16:uniqueId val="{0000000C-F576-4F3A-8154-D6CDD1A62743}"/>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Game!$O$69</c:f>
              <c:numCache>
                <c:formatCode>General</c:formatCode>
                <c:ptCount val="1"/>
                <c:pt idx="0">
                  <c:v>0</c:v>
                </c:pt>
              </c:numCache>
            </c:numRef>
          </c:val>
          <c:extLst>
            <c:ext xmlns:c16="http://schemas.microsoft.com/office/drawing/2014/chart" uri="{C3380CC4-5D6E-409C-BE32-E72D297353CC}">
              <c16:uniqueId val="{0000000D-F576-4F3A-8154-D6CDD1A62743}"/>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Game!$B$83</c:f>
              <c:numCache>
                <c:formatCode>General</c:formatCode>
                <c:ptCount val="1"/>
                <c:pt idx="0">
                  <c:v>0</c:v>
                </c:pt>
              </c:numCache>
            </c:numRef>
          </c:val>
          <c:extLst>
            <c:ext xmlns:c16="http://schemas.microsoft.com/office/drawing/2014/chart" uri="{C3380CC4-5D6E-409C-BE32-E72D297353CC}">
              <c16:uniqueId val="{00000000-5950-4216-AD8C-33689DF77102}"/>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Game!$C$83</c:f>
              <c:numCache>
                <c:formatCode>General</c:formatCode>
                <c:ptCount val="1"/>
                <c:pt idx="0">
                  <c:v>0</c:v>
                </c:pt>
              </c:numCache>
            </c:numRef>
          </c:val>
          <c:extLst>
            <c:ext xmlns:c16="http://schemas.microsoft.com/office/drawing/2014/chart" uri="{C3380CC4-5D6E-409C-BE32-E72D297353CC}">
              <c16:uniqueId val="{00000001-5950-4216-AD8C-33689DF77102}"/>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Game!$D$83</c:f>
              <c:numCache>
                <c:formatCode>General</c:formatCode>
                <c:ptCount val="1"/>
                <c:pt idx="0">
                  <c:v>0</c:v>
                </c:pt>
              </c:numCache>
            </c:numRef>
          </c:val>
          <c:extLst>
            <c:ext xmlns:c16="http://schemas.microsoft.com/office/drawing/2014/chart" uri="{C3380CC4-5D6E-409C-BE32-E72D297353CC}">
              <c16:uniqueId val="{00000002-5950-4216-AD8C-33689DF77102}"/>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Game!$E$83</c:f>
              <c:numCache>
                <c:formatCode>General</c:formatCode>
                <c:ptCount val="1"/>
                <c:pt idx="0">
                  <c:v>0</c:v>
                </c:pt>
              </c:numCache>
            </c:numRef>
          </c:val>
          <c:extLst>
            <c:ext xmlns:c16="http://schemas.microsoft.com/office/drawing/2014/chart" uri="{C3380CC4-5D6E-409C-BE32-E72D297353CC}">
              <c16:uniqueId val="{00000003-5950-4216-AD8C-33689DF77102}"/>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Game!$F$83</c:f>
              <c:numCache>
                <c:formatCode>General</c:formatCode>
                <c:ptCount val="1"/>
                <c:pt idx="0">
                  <c:v>0</c:v>
                </c:pt>
              </c:numCache>
            </c:numRef>
          </c:val>
          <c:extLst>
            <c:ext xmlns:c16="http://schemas.microsoft.com/office/drawing/2014/chart" uri="{C3380CC4-5D6E-409C-BE32-E72D297353CC}">
              <c16:uniqueId val="{00000004-5950-4216-AD8C-33689DF77102}"/>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Game!$G$83</c:f>
              <c:numCache>
                <c:formatCode>General</c:formatCode>
                <c:ptCount val="1"/>
                <c:pt idx="0">
                  <c:v>0</c:v>
                </c:pt>
              </c:numCache>
            </c:numRef>
          </c:val>
          <c:extLst>
            <c:ext xmlns:c16="http://schemas.microsoft.com/office/drawing/2014/chart" uri="{C3380CC4-5D6E-409C-BE32-E72D297353CC}">
              <c16:uniqueId val="{00000005-5950-4216-AD8C-33689DF77102}"/>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Game!$H$83</c:f>
              <c:numCache>
                <c:formatCode>General</c:formatCode>
                <c:ptCount val="1"/>
                <c:pt idx="0">
                  <c:v>0</c:v>
                </c:pt>
              </c:numCache>
            </c:numRef>
          </c:val>
          <c:extLst>
            <c:ext xmlns:c16="http://schemas.microsoft.com/office/drawing/2014/chart" uri="{C3380CC4-5D6E-409C-BE32-E72D297353CC}">
              <c16:uniqueId val="{00000006-5950-4216-AD8C-33689DF77102}"/>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Game!$I$83</c:f>
              <c:numCache>
                <c:formatCode>General</c:formatCode>
                <c:ptCount val="1"/>
                <c:pt idx="0">
                  <c:v>0</c:v>
                </c:pt>
              </c:numCache>
            </c:numRef>
          </c:val>
          <c:extLst>
            <c:ext xmlns:c16="http://schemas.microsoft.com/office/drawing/2014/chart" uri="{C3380CC4-5D6E-409C-BE32-E72D297353CC}">
              <c16:uniqueId val="{00000007-5950-4216-AD8C-33689DF77102}"/>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Game!$J$83</c:f>
              <c:numCache>
                <c:formatCode>General</c:formatCode>
                <c:ptCount val="1"/>
                <c:pt idx="0">
                  <c:v>0</c:v>
                </c:pt>
              </c:numCache>
            </c:numRef>
          </c:val>
          <c:extLst>
            <c:ext xmlns:c16="http://schemas.microsoft.com/office/drawing/2014/chart" uri="{C3380CC4-5D6E-409C-BE32-E72D297353CC}">
              <c16:uniqueId val="{00000008-5950-4216-AD8C-33689DF77102}"/>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Game!$K$83</c:f>
              <c:numCache>
                <c:formatCode>General</c:formatCode>
                <c:ptCount val="1"/>
                <c:pt idx="0">
                  <c:v>0</c:v>
                </c:pt>
              </c:numCache>
            </c:numRef>
          </c:val>
          <c:extLst>
            <c:ext xmlns:c16="http://schemas.microsoft.com/office/drawing/2014/chart" uri="{C3380CC4-5D6E-409C-BE32-E72D297353CC}">
              <c16:uniqueId val="{00000009-5950-4216-AD8C-33689DF77102}"/>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Game!$L$83</c:f>
              <c:numCache>
                <c:formatCode>General</c:formatCode>
                <c:ptCount val="1"/>
                <c:pt idx="0">
                  <c:v>0</c:v>
                </c:pt>
              </c:numCache>
            </c:numRef>
          </c:val>
          <c:extLst>
            <c:ext xmlns:c16="http://schemas.microsoft.com/office/drawing/2014/chart" uri="{C3380CC4-5D6E-409C-BE32-E72D297353CC}">
              <c16:uniqueId val="{0000000A-5950-4216-AD8C-33689DF77102}"/>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Game!$M$83</c:f>
              <c:numCache>
                <c:formatCode>General</c:formatCode>
                <c:ptCount val="1"/>
                <c:pt idx="0">
                  <c:v>0</c:v>
                </c:pt>
              </c:numCache>
            </c:numRef>
          </c:val>
          <c:extLst>
            <c:ext xmlns:c16="http://schemas.microsoft.com/office/drawing/2014/chart" uri="{C3380CC4-5D6E-409C-BE32-E72D297353CC}">
              <c16:uniqueId val="{0000000B-5950-4216-AD8C-33689DF77102}"/>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Game!$N$83</c:f>
              <c:numCache>
                <c:formatCode>General</c:formatCode>
                <c:ptCount val="1"/>
                <c:pt idx="0">
                  <c:v>0</c:v>
                </c:pt>
              </c:numCache>
            </c:numRef>
          </c:val>
          <c:extLst>
            <c:ext xmlns:c16="http://schemas.microsoft.com/office/drawing/2014/chart" uri="{C3380CC4-5D6E-409C-BE32-E72D297353CC}">
              <c16:uniqueId val="{0000000C-5950-4216-AD8C-33689DF77102}"/>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Game!$O$83</c:f>
              <c:numCache>
                <c:formatCode>General</c:formatCode>
                <c:ptCount val="1"/>
                <c:pt idx="0">
                  <c:v>0</c:v>
                </c:pt>
              </c:numCache>
            </c:numRef>
          </c:val>
          <c:extLst>
            <c:ext xmlns:c16="http://schemas.microsoft.com/office/drawing/2014/chart" uri="{C3380CC4-5D6E-409C-BE32-E72D297353CC}">
              <c16:uniqueId val="{0000000D-5950-4216-AD8C-33689DF77102}"/>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Game!$B$97</c:f>
              <c:numCache>
                <c:formatCode>General</c:formatCode>
                <c:ptCount val="1"/>
                <c:pt idx="0">
                  <c:v>0</c:v>
                </c:pt>
              </c:numCache>
            </c:numRef>
          </c:val>
          <c:extLst>
            <c:ext xmlns:c16="http://schemas.microsoft.com/office/drawing/2014/chart" uri="{C3380CC4-5D6E-409C-BE32-E72D297353CC}">
              <c16:uniqueId val="{00000000-19F1-46FA-AAC2-0ACE1BA12B8F}"/>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Game!$C$97</c:f>
              <c:numCache>
                <c:formatCode>General</c:formatCode>
                <c:ptCount val="1"/>
                <c:pt idx="0">
                  <c:v>0</c:v>
                </c:pt>
              </c:numCache>
            </c:numRef>
          </c:val>
          <c:extLst>
            <c:ext xmlns:c16="http://schemas.microsoft.com/office/drawing/2014/chart" uri="{C3380CC4-5D6E-409C-BE32-E72D297353CC}">
              <c16:uniqueId val="{00000001-19F1-46FA-AAC2-0ACE1BA12B8F}"/>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Game!$D$97</c:f>
              <c:numCache>
                <c:formatCode>General</c:formatCode>
                <c:ptCount val="1"/>
                <c:pt idx="0">
                  <c:v>0</c:v>
                </c:pt>
              </c:numCache>
            </c:numRef>
          </c:val>
          <c:extLst>
            <c:ext xmlns:c16="http://schemas.microsoft.com/office/drawing/2014/chart" uri="{C3380CC4-5D6E-409C-BE32-E72D297353CC}">
              <c16:uniqueId val="{00000002-19F1-46FA-AAC2-0ACE1BA12B8F}"/>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Game!$E$97</c:f>
              <c:numCache>
                <c:formatCode>General</c:formatCode>
                <c:ptCount val="1"/>
                <c:pt idx="0">
                  <c:v>0</c:v>
                </c:pt>
              </c:numCache>
            </c:numRef>
          </c:val>
          <c:extLst>
            <c:ext xmlns:c16="http://schemas.microsoft.com/office/drawing/2014/chart" uri="{C3380CC4-5D6E-409C-BE32-E72D297353CC}">
              <c16:uniqueId val="{00000003-19F1-46FA-AAC2-0ACE1BA12B8F}"/>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Game!$F$97</c:f>
              <c:numCache>
                <c:formatCode>General</c:formatCode>
                <c:ptCount val="1"/>
                <c:pt idx="0">
                  <c:v>0</c:v>
                </c:pt>
              </c:numCache>
            </c:numRef>
          </c:val>
          <c:extLst>
            <c:ext xmlns:c16="http://schemas.microsoft.com/office/drawing/2014/chart" uri="{C3380CC4-5D6E-409C-BE32-E72D297353CC}">
              <c16:uniqueId val="{00000004-19F1-46FA-AAC2-0ACE1BA12B8F}"/>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Game!$G$97</c:f>
              <c:numCache>
                <c:formatCode>General</c:formatCode>
                <c:ptCount val="1"/>
                <c:pt idx="0">
                  <c:v>0</c:v>
                </c:pt>
              </c:numCache>
            </c:numRef>
          </c:val>
          <c:extLst>
            <c:ext xmlns:c16="http://schemas.microsoft.com/office/drawing/2014/chart" uri="{C3380CC4-5D6E-409C-BE32-E72D297353CC}">
              <c16:uniqueId val="{00000005-19F1-46FA-AAC2-0ACE1BA12B8F}"/>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Game!$H$97</c:f>
              <c:numCache>
                <c:formatCode>General</c:formatCode>
                <c:ptCount val="1"/>
                <c:pt idx="0">
                  <c:v>0</c:v>
                </c:pt>
              </c:numCache>
            </c:numRef>
          </c:val>
          <c:extLst>
            <c:ext xmlns:c16="http://schemas.microsoft.com/office/drawing/2014/chart" uri="{C3380CC4-5D6E-409C-BE32-E72D297353CC}">
              <c16:uniqueId val="{00000006-19F1-46FA-AAC2-0ACE1BA12B8F}"/>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Game!$I$97</c:f>
              <c:numCache>
                <c:formatCode>General</c:formatCode>
                <c:ptCount val="1"/>
                <c:pt idx="0">
                  <c:v>0</c:v>
                </c:pt>
              </c:numCache>
            </c:numRef>
          </c:val>
          <c:extLst>
            <c:ext xmlns:c16="http://schemas.microsoft.com/office/drawing/2014/chart" uri="{C3380CC4-5D6E-409C-BE32-E72D297353CC}">
              <c16:uniqueId val="{00000007-19F1-46FA-AAC2-0ACE1BA12B8F}"/>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Game!$J$97</c:f>
              <c:numCache>
                <c:formatCode>General</c:formatCode>
                <c:ptCount val="1"/>
                <c:pt idx="0">
                  <c:v>0</c:v>
                </c:pt>
              </c:numCache>
            </c:numRef>
          </c:val>
          <c:extLst>
            <c:ext xmlns:c16="http://schemas.microsoft.com/office/drawing/2014/chart" uri="{C3380CC4-5D6E-409C-BE32-E72D297353CC}">
              <c16:uniqueId val="{00000008-19F1-46FA-AAC2-0ACE1BA12B8F}"/>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Game!$K$97</c:f>
              <c:numCache>
                <c:formatCode>General</c:formatCode>
                <c:ptCount val="1"/>
                <c:pt idx="0">
                  <c:v>0</c:v>
                </c:pt>
              </c:numCache>
            </c:numRef>
          </c:val>
          <c:extLst>
            <c:ext xmlns:c16="http://schemas.microsoft.com/office/drawing/2014/chart" uri="{C3380CC4-5D6E-409C-BE32-E72D297353CC}">
              <c16:uniqueId val="{00000009-19F1-46FA-AAC2-0ACE1BA12B8F}"/>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Game!$L$97</c:f>
              <c:numCache>
                <c:formatCode>General</c:formatCode>
                <c:ptCount val="1"/>
                <c:pt idx="0">
                  <c:v>0</c:v>
                </c:pt>
              </c:numCache>
            </c:numRef>
          </c:val>
          <c:extLst>
            <c:ext xmlns:c16="http://schemas.microsoft.com/office/drawing/2014/chart" uri="{C3380CC4-5D6E-409C-BE32-E72D297353CC}">
              <c16:uniqueId val="{0000000A-19F1-46FA-AAC2-0ACE1BA12B8F}"/>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Game!$M$97</c:f>
              <c:numCache>
                <c:formatCode>General</c:formatCode>
                <c:ptCount val="1"/>
                <c:pt idx="0">
                  <c:v>0</c:v>
                </c:pt>
              </c:numCache>
            </c:numRef>
          </c:val>
          <c:extLst>
            <c:ext xmlns:c16="http://schemas.microsoft.com/office/drawing/2014/chart" uri="{C3380CC4-5D6E-409C-BE32-E72D297353CC}">
              <c16:uniqueId val="{0000000B-19F1-46FA-AAC2-0ACE1BA12B8F}"/>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Game!$N$97</c:f>
              <c:numCache>
                <c:formatCode>General</c:formatCode>
                <c:ptCount val="1"/>
                <c:pt idx="0">
                  <c:v>0</c:v>
                </c:pt>
              </c:numCache>
            </c:numRef>
          </c:val>
          <c:extLst>
            <c:ext xmlns:c16="http://schemas.microsoft.com/office/drawing/2014/chart" uri="{C3380CC4-5D6E-409C-BE32-E72D297353CC}">
              <c16:uniqueId val="{0000000C-19F1-46FA-AAC2-0ACE1BA12B8F}"/>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Game!$O$97</c:f>
              <c:numCache>
                <c:formatCode>General</c:formatCode>
                <c:ptCount val="1"/>
                <c:pt idx="0">
                  <c:v>0</c:v>
                </c:pt>
              </c:numCache>
            </c:numRef>
          </c:val>
          <c:extLst>
            <c:ext xmlns:c16="http://schemas.microsoft.com/office/drawing/2014/chart" uri="{C3380CC4-5D6E-409C-BE32-E72D297353CC}">
              <c16:uniqueId val="{0000000D-19F1-46FA-AAC2-0ACE1BA12B8F}"/>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Game!$B$111</c:f>
              <c:numCache>
                <c:formatCode>General</c:formatCode>
                <c:ptCount val="1"/>
                <c:pt idx="0">
                  <c:v>0</c:v>
                </c:pt>
              </c:numCache>
            </c:numRef>
          </c:val>
          <c:extLst>
            <c:ext xmlns:c16="http://schemas.microsoft.com/office/drawing/2014/chart" uri="{C3380CC4-5D6E-409C-BE32-E72D297353CC}">
              <c16:uniqueId val="{00000000-72E5-4BDD-87AD-F7B3CE047F8D}"/>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Game!$C$111</c:f>
              <c:numCache>
                <c:formatCode>General</c:formatCode>
                <c:ptCount val="1"/>
                <c:pt idx="0">
                  <c:v>0</c:v>
                </c:pt>
              </c:numCache>
            </c:numRef>
          </c:val>
          <c:extLst>
            <c:ext xmlns:c16="http://schemas.microsoft.com/office/drawing/2014/chart" uri="{C3380CC4-5D6E-409C-BE32-E72D297353CC}">
              <c16:uniqueId val="{00000001-72E5-4BDD-87AD-F7B3CE047F8D}"/>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Game!$D$111</c:f>
              <c:numCache>
                <c:formatCode>General</c:formatCode>
                <c:ptCount val="1"/>
                <c:pt idx="0">
                  <c:v>0</c:v>
                </c:pt>
              </c:numCache>
            </c:numRef>
          </c:val>
          <c:extLst>
            <c:ext xmlns:c16="http://schemas.microsoft.com/office/drawing/2014/chart" uri="{C3380CC4-5D6E-409C-BE32-E72D297353CC}">
              <c16:uniqueId val="{00000002-72E5-4BDD-87AD-F7B3CE047F8D}"/>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Game!$E$111</c:f>
              <c:numCache>
                <c:formatCode>General</c:formatCode>
                <c:ptCount val="1"/>
                <c:pt idx="0">
                  <c:v>0</c:v>
                </c:pt>
              </c:numCache>
            </c:numRef>
          </c:val>
          <c:extLst>
            <c:ext xmlns:c16="http://schemas.microsoft.com/office/drawing/2014/chart" uri="{C3380CC4-5D6E-409C-BE32-E72D297353CC}">
              <c16:uniqueId val="{00000003-72E5-4BDD-87AD-F7B3CE047F8D}"/>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Game!$F$111</c:f>
              <c:numCache>
                <c:formatCode>General</c:formatCode>
                <c:ptCount val="1"/>
                <c:pt idx="0">
                  <c:v>0</c:v>
                </c:pt>
              </c:numCache>
            </c:numRef>
          </c:val>
          <c:extLst>
            <c:ext xmlns:c16="http://schemas.microsoft.com/office/drawing/2014/chart" uri="{C3380CC4-5D6E-409C-BE32-E72D297353CC}">
              <c16:uniqueId val="{00000004-72E5-4BDD-87AD-F7B3CE047F8D}"/>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Game!$G$111</c:f>
              <c:numCache>
                <c:formatCode>General</c:formatCode>
                <c:ptCount val="1"/>
                <c:pt idx="0">
                  <c:v>0</c:v>
                </c:pt>
              </c:numCache>
            </c:numRef>
          </c:val>
          <c:extLst>
            <c:ext xmlns:c16="http://schemas.microsoft.com/office/drawing/2014/chart" uri="{C3380CC4-5D6E-409C-BE32-E72D297353CC}">
              <c16:uniqueId val="{00000005-72E5-4BDD-87AD-F7B3CE047F8D}"/>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Game!$H$111</c:f>
              <c:numCache>
                <c:formatCode>General</c:formatCode>
                <c:ptCount val="1"/>
                <c:pt idx="0">
                  <c:v>0</c:v>
                </c:pt>
              </c:numCache>
            </c:numRef>
          </c:val>
          <c:extLst>
            <c:ext xmlns:c16="http://schemas.microsoft.com/office/drawing/2014/chart" uri="{C3380CC4-5D6E-409C-BE32-E72D297353CC}">
              <c16:uniqueId val="{00000006-72E5-4BDD-87AD-F7B3CE047F8D}"/>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Game!$I$111</c:f>
              <c:numCache>
                <c:formatCode>General</c:formatCode>
                <c:ptCount val="1"/>
                <c:pt idx="0">
                  <c:v>0</c:v>
                </c:pt>
              </c:numCache>
            </c:numRef>
          </c:val>
          <c:extLst>
            <c:ext xmlns:c16="http://schemas.microsoft.com/office/drawing/2014/chart" uri="{C3380CC4-5D6E-409C-BE32-E72D297353CC}">
              <c16:uniqueId val="{00000007-72E5-4BDD-87AD-F7B3CE047F8D}"/>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Game!$J$111</c:f>
              <c:numCache>
                <c:formatCode>General</c:formatCode>
                <c:ptCount val="1"/>
                <c:pt idx="0">
                  <c:v>0</c:v>
                </c:pt>
              </c:numCache>
            </c:numRef>
          </c:val>
          <c:extLst>
            <c:ext xmlns:c16="http://schemas.microsoft.com/office/drawing/2014/chart" uri="{C3380CC4-5D6E-409C-BE32-E72D297353CC}">
              <c16:uniqueId val="{00000008-72E5-4BDD-87AD-F7B3CE047F8D}"/>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Game!$K$111</c:f>
              <c:numCache>
                <c:formatCode>General</c:formatCode>
                <c:ptCount val="1"/>
                <c:pt idx="0">
                  <c:v>0</c:v>
                </c:pt>
              </c:numCache>
            </c:numRef>
          </c:val>
          <c:extLst>
            <c:ext xmlns:c16="http://schemas.microsoft.com/office/drawing/2014/chart" uri="{C3380CC4-5D6E-409C-BE32-E72D297353CC}">
              <c16:uniqueId val="{00000009-72E5-4BDD-87AD-F7B3CE047F8D}"/>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Game!$L$111</c:f>
              <c:numCache>
                <c:formatCode>General</c:formatCode>
                <c:ptCount val="1"/>
                <c:pt idx="0">
                  <c:v>0</c:v>
                </c:pt>
              </c:numCache>
            </c:numRef>
          </c:val>
          <c:extLst>
            <c:ext xmlns:c16="http://schemas.microsoft.com/office/drawing/2014/chart" uri="{C3380CC4-5D6E-409C-BE32-E72D297353CC}">
              <c16:uniqueId val="{0000000A-72E5-4BDD-87AD-F7B3CE047F8D}"/>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Game!$M$111</c:f>
              <c:numCache>
                <c:formatCode>General</c:formatCode>
                <c:ptCount val="1"/>
                <c:pt idx="0">
                  <c:v>0</c:v>
                </c:pt>
              </c:numCache>
            </c:numRef>
          </c:val>
          <c:extLst>
            <c:ext xmlns:c16="http://schemas.microsoft.com/office/drawing/2014/chart" uri="{C3380CC4-5D6E-409C-BE32-E72D297353CC}">
              <c16:uniqueId val="{0000000B-72E5-4BDD-87AD-F7B3CE047F8D}"/>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Game!$N$111</c:f>
              <c:numCache>
                <c:formatCode>General</c:formatCode>
                <c:ptCount val="1"/>
                <c:pt idx="0">
                  <c:v>0</c:v>
                </c:pt>
              </c:numCache>
            </c:numRef>
          </c:val>
          <c:extLst>
            <c:ext xmlns:c16="http://schemas.microsoft.com/office/drawing/2014/chart" uri="{C3380CC4-5D6E-409C-BE32-E72D297353CC}">
              <c16:uniqueId val="{0000000C-72E5-4BDD-87AD-F7B3CE047F8D}"/>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Game!$O$111</c:f>
              <c:numCache>
                <c:formatCode>General</c:formatCode>
                <c:ptCount val="1"/>
                <c:pt idx="0">
                  <c:v>0</c:v>
                </c:pt>
              </c:numCache>
            </c:numRef>
          </c:val>
          <c:extLst>
            <c:ext xmlns:c16="http://schemas.microsoft.com/office/drawing/2014/chart" uri="{C3380CC4-5D6E-409C-BE32-E72D297353CC}">
              <c16:uniqueId val="{0000000D-72E5-4BDD-87AD-F7B3CE047F8D}"/>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Game!$B$125</c:f>
              <c:numCache>
                <c:formatCode>General</c:formatCode>
                <c:ptCount val="1"/>
                <c:pt idx="0">
                  <c:v>0</c:v>
                </c:pt>
              </c:numCache>
            </c:numRef>
          </c:val>
          <c:extLst>
            <c:ext xmlns:c16="http://schemas.microsoft.com/office/drawing/2014/chart" uri="{C3380CC4-5D6E-409C-BE32-E72D297353CC}">
              <c16:uniqueId val="{00000000-134C-4F7B-8F10-5E98F0D4771B}"/>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Game!$C$125</c:f>
              <c:numCache>
                <c:formatCode>General</c:formatCode>
                <c:ptCount val="1"/>
                <c:pt idx="0">
                  <c:v>0</c:v>
                </c:pt>
              </c:numCache>
            </c:numRef>
          </c:val>
          <c:extLst>
            <c:ext xmlns:c16="http://schemas.microsoft.com/office/drawing/2014/chart" uri="{C3380CC4-5D6E-409C-BE32-E72D297353CC}">
              <c16:uniqueId val="{00000001-134C-4F7B-8F10-5E98F0D4771B}"/>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Game!$D$125</c:f>
              <c:numCache>
                <c:formatCode>General</c:formatCode>
                <c:ptCount val="1"/>
                <c:pt idx="0">
                  <c:v>0</c:v>
                </c:pt>
              </c:numCache>
            </c:numRef>
          </c:val>
          <c:extLst>
            <c:ext xmlns:c16="http://schemas.microsoft.com/office/drawing/2014/chart" uri="{C3380CC4-5D6E-409C-BE32-E72D297353CC}">
              <c16:uniqueId val="{00000002-134C-4F7B-8F10-5E98F0D4771B}"/>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Game!$E$125</c:f>
              <c:numCache>
                <c:formatCode>General</c:formatCode>
                <c:ptCount val="1"/>
                <c:pt idx="0">
                  <c:v>0</c:v>
                </c:pt>
              </c:numCache>
            </c:numRef>
          </c:val>
          <c:extLst>
            <c:ext xmlns:c16="http://schemas.microsoft.com/office/drawing/2014/chart" uri="{C3380CC4-5D6E-409C-BE32-E72D297353CC}">
              <c16:uniqueId val="{00000003-134C-4F7B-8F10-5E98F0D4771B}"/>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Game!$F$125</c:f>
              <c:numCache>
                <c:formatCode>General</c:formatCode>
                <c:ptCount val="1"/>
                <c:pt idx="0">
                  <c:v>0</c:v>
                </c:pt>
              </c:numCache>
            </c:numRef>
          </c:val>
          <c:extLst>
            <c:ext xmlns:c16="http://schemas.microsoft.com/office/drawing/2014/chart" uri="{C3380CC4-5D6E-409C-BE32-E72D297353CC}">
              <c16:uniqueId val="{00000004-134C-4F7B-8F10-5E98F0D4771B}"/>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Game!$G$125</c:f>
              <c:numCache>
                <c:formatCode>General</c:formatCode>
                <c:ptCount val="1"/>
                <c:pt idx="0">
                  <c:v>0</c:v>
                </c:pt>
              </c:numCache>
            </c:numRef>
          </c:val>
          <c:extLst>
            <c:ext xmlns:c16="http://schemas.microsoft.com/office/drawing/2014/chart" uri="{C3380CC4-5D6E-409C-BE32-E72D297353CC}">
              <c16:uniqueId val="{00000005-134C-4F7B-8F10-5E98F0D4771B}"/>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Game!$H$125</c:f>
              <c:numCache>
                <c:formatCode>General</c:formatCode>
                <c:ptCount val="1"/>
                <c:pt idx="0">
                  <c:v>0</c:v>
                </c:pt>
              </c:numCache>
            </c:numRef>
          </c:val>
          <c:extLst>
            <c:ext xmlns:c16="http://schemas.microsoft.com/office/drawing/2014/chart" uri="{C3380CC4-5D6E-409C-BE32-E72D297353CC}">
              <c16:uniqueId val="{00000006-134C-4F7B-8F10-5E98F0D4771B}"/>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Game!$I$125</c:f>
              <c:numCache>
                <c:formatCode>General</c:formatCode>
                <c:ptCount val="1"/>
                <c:pt idx="0">
                  <c:v>0</c:v>
                </c:pt>
              </c:numCache>
            </c:numRef>
          </c:val>
          <c:extLst>
            <c:ext xmlns:c16="http://schemas.microsoft.com/office/drawing/2014/chart" uri="{C3380CC4-5D6E-409C-BE32-E72D297353CC}">
              <c16:uniqueId val="{00000007-134C-4F7B-8F10-5E98F0D4771B}"/>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Game!$J$125</c:f>
              <c:numCache>
                <c:formatCode>General</c:formatCode>
                <c:ptCount val="1"/>
                <c:pt idx="0">
                  <c:v>0</c:v>
                </c:pt>
              </c:numCache>
            </c:numRef>
          </c:val>
          <c:extLst>
            <c:ext xmlns:c16="http://schemas.microsoft.com/office/drawing/2014/chart" uri="{C3380CC4-5D6E-409C-BE32-E72D297353CC}">
              <c16:uniqueId val="{00000008-134C-4F7B-8F10-5E98F0D4771B}"/>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Game!$K$125</c:f>
              <c:numCache>
                <c:formatCode>General</c:formatCode>
                <c:ptCount val="1"/>
                <c:pt idx="0">
                  <c:v>0</c:v>
                </c:pt>
              </c:numCache>
            </c:numRef>
          </c:val>
          <c:extLst>
            <c:ext xmlns:c16="http://schemas.microsoft.com/office/drawing/2014/chart" uri="{C3380CC4-5D6E-409C-BE32-E72D297353CC}">
              <c16:uniqueId val="{00000009-134C-4F7B-8F10-5E98F0D4771B}"/>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Game!$L$125</c:f>
              <c:numCache>
                <c:formatCode>General</c:formatCode>
                <c:ptCount val="1"/>
                <c:pt idx="0">
                  <c:v>0</c:v>
                </c:pt>
              </c:numCache>
            </c:numRef>
          </c:val>
          <c:extLst>
            <c:ext xmlns:c16="http://schemas.microsoft.com/office/drawing/2014/chart" uri="{C3380CC4-5D6E-409C-BE32-E72D297353CC}">
              <c16:uniqueId val="{0000000A-134C-4F7B-8F10-5E98F0D4771B}"/>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Game!$M$125</c:f>
              <c:numCache>
                <c:formatCode>General</c:formatCode>
                <c:ptCount val="1"/>
                <c:pt idx="0">
                  <c:v>0</c:v>
                </c:pt>
              </c:numCache>
            </c:numRef>
          </c:val>
          <c:extLst>
            <c:ext xmlns:c16="http://schemas.microsoft.com/office/drawing/2014/chart" uri="{C3380CC4-5D6E-409C-BE32-E72D297353CC}">
              <c16:uniqueId val="{0000000B-134C-4F7B-8F10-5E98F0D4771B}"/>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Game!$N$125</c:f>
              <c:numCache>
                <c:formatCode>General</c:formatCode>
                <c:ptCount val="1"/>
                <c:pt idx="0">
                  <c:v>0</c:v>
                </c:pt>
              </c:numCache>
            </c:numRef>
          </c:val>
          <c:extLst>
            <c:ext xmlns:c16="http://schemas.microsoft.com/office/drawing/2014/chart" uri="{C3380CC4-5D6E-409C-BE32-E72D297353CC}">
              <c16:uniqueId val="{0000000C-134C-4F7B-8F10-5E98F0D4771B}"/>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Game!$O$125</c:f>
              <c:numCache>
                <c:formatCode>General</c:formatCode>
                <c:ptCount val="1"/>
                <c:pt idx="0">
                  <c:v>0</c:v>
                </c:pt>
              </c:numCache>
            </c:numRef>
          </c:val>
          <c:extLst>
            <c:ext xmlns:c16="http://schemas.microsoft.com/office/drawing/2014/chart" uri="{C3380CC4-5D6E-409C-BE32-E72D297353CC}">
              <c16:uniqueId val="{0000000D-134C-4F7B-8F10-5E98F0D4771B}"/>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Game!$B$139</c:f>
              <c:numCache>
                <c:formatCode>General</c:formatCode>
                <c:ptCount val="1"/>
                <c:pt idx="0">
                  <c:v>0</c:v>
                </c:pt>
              </c:numCache>
            </c:numRef>
          </c:val>
          <c:extLst>
            <c:ext xmlns:c16="http://schemas.microsoft.com/office/drawing/2014/chart" uri="{C3380CC4-5D6E-409C-BE32-E72D297353CC}">
              <c16:uniqueId val="{00000000-C2C9-4339-B25C-69F936436CDF}"/>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Game!$C$139</c:f>
              <c:numCache>
                <c:formatCode>General</c:formatCode>
                <c:ptCount val="1"/>
                <c:pt idx="0">
                  <c:v>0</c:v>
                </c:pt>
              </c:numCache>
            </c:numRef>
          </c:val>
          <c:extLst>
            <c:ext xmlns:c16="http://schemas.microsoft.com/office/drawing/2014/chart" uri="{C3380CC4-5D6E-409C-BE32-E72D297353CC}">
              <c16:uniqueId val="{00000001-C2C9-4339-B25C-69F936436CDF}"/>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Game!$D$139</c:f>
              <c:numCache>
                <c:formatCode>General</c:formatCode>
                <c:ptCount val="1"/>
                <c:pt idx="0">
                  <c:v>0</c:v>
                </c:pt>
              </c:numCache>
            </c:numRef>
          </c:val>
          <c:extLst>
            <c:ext xmlns:c16="http://schemas.microsoft.com/office/drawing/2014/chart" uri="{C3380CC4-5D6E-409C-BE32-E72D297353CC}">
              <c16:uniqueId val="{00000002-C2C9-4339-B25C-69F936436CDF}"/>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Game!$E$139</c:f>
              <c:numCache>
                <c:formatCode>General</c:formatCode>
                <c:ptCount val="1"/>
                <c:pt idx="0">
                  <c:v>0</c:v>
                </c:pt>
              </c:numCache>
            </c:numRef>
          </c:val>
          <c:extLst>
            <c:ext xmlns:c16="http://schemas.microsoft.com/office/drawing/2014/chart" uri="{C3380CC4-5D6E-409C-BE32-E72D297353CC}">
              <c16:uniqueId val="{00000003-C2C9-4339-B25C-69F936436CDF}"/>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Game!$F$139</c:f>
              <c:numCache>
                <c:formatCode>General</c:formatCode>
                <c:ptCount val="1"/>
                <c:pt idx="0">
                  <c:v>0</c:v>
                </c:pt>
              </c:numCache>
            </c:numRef>
          </c:val>
          <c:extLst>
            <c:ext xmlns:c16="http://schemas.microsoft.com/office/drawing/2014/chart" uri="{C3380CC4-5D6E-409C-BE32-E72D297353CC}">
              <c16:uniqueId val="{00000004-C2C9-4339-B25C-69F936436CDF}"/>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Game!$G$139</c:f>
              <c:numCache>
                <c:formatCode>General</c:formatCode>
                <c:ptCount val="1"/>
                <c:pt idx="0">
                  <c:v>0</c:v>
                </c:pt>
              </c:numCache>
            </c:numRef>
          </c:val>
          <c:extLst>
            <c:ext xmlns:c16="http://schemas.microsoft.com/office/drawing/2014/chart" uri="{C3380CC4-5D6E-409C-BE32-E72D297353CC}">
              <c16:uniqueId val="{00000005-C2C9-4339-B25C-69F936436CDF}"/>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Game!$H$139</c:f>
              <c:numCache>
                <c:formatCode>General</c:formatCode>
                <c:ptCount val="1"/>
                <c:pt idx="0">
                  <c:v>0</c:v>
                </c:pt>
              </c:numCache>
            </c:numRef>
          </c:val>
          <c:extLst>
            <c:ext xmlns:c16="http://schemas.microsoft.com/office/drawing/2014/chart" uri="{C3380CC4-5D6E-409C-BE32-E72D297353CC}">
              <c16:uniqueId val="{00000006-C2C9-4339-B25C-69F936436CDF}"/>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Game!$I$139</c:f>
              <c:numCache>
                <c:formatCode>General</c:formatCode>
                <c:ptCount val="1"/>
                <c:pt idx="0">
                  <c:v>0</c:v>
                </c:pt>
              </c:numCache>
            </c:numRef>
          </c:val>
          <c:extLst>
            <c:ext xmlns:c16="http://schemas.microsoft.com/office/drawing/2014/chart" uri="{C3380CC4-5D6E-409C-BE32-E72D297353CC}">
              <c16:uniqueId val="{00000007-C2C9-4339-B25C-69F936436CDF}"/>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Game!$J$139</c:f>
              <c:numCache>
                <c:formatCode>General</c:formatCode>
                <c:ptCount val="1"/>
                <c:pt idx="0">
                  <c:v>0</c:v>
                </c:pt>
              </c:numCache>
            </c:numRef>
          </c:val>
          <c:extLst>
            <c:ext xmlns:c16="http://schemas.microsoft.com/office/drawing/2014/chart" uri="{C3380CC4-5D6E-409C-BE32-E72D297353CC}">
              <c16:uniqueId val="{00000008-C2C9-4339-B25C-69F936436CDF}"/>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Game!$K$139</c:f>
              <c:numCache>
                <c:formatCode>General</c:formatCode>
                <c:ptCount val="1"/>
                <c:pt idx="0">
                  <c:v>0</c:v>
                </c:pt>
              </c:numCache>
            </c:numRef>
          </c:val>
          <c:extLst>
            <c:ext xmlns:c16="http://schemas.microsoft.com/office/drawing/2014/chart" uri="{C3380CC4-5D6E-409C-BE32-E72D297353CC}">
              <c16:uniqueId val="{00000009-C2C9-4339-B25C-69F936436CDF}"/>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Game!$L$139</c:f>
              <c:numCache>
                <c:formatCode>General</c:formatCode>
                <c:ptCount val="1"/>
                <c:pt idx="0">
                  <c:v>0</c:v>
                </c:pt>
              </c:numCache>
            </c:numRef>
          </c:val>
          <c:extLst>
            <c:ext xmlns:c16="http://schemas.microsoft.com/office/drawing/2014/chart" uri="{C3380CC4-5D6E-409C-BE32-E72D297353CC}">
              <c16:uniqueId val="{0000000A-C2C9-4339-B25C-69F936436CDF}"/>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Game!$M$139</c:f>
              <c:numCache>
                <c:formatCode>General</c:formatCode>
                <c:ptCount val="1"/>
                <c:pt idx="0">
                  <c:v>0</c:v>
                </c:pt>
              </c:numCache>
            </c:numRef>
          </c:val>
          <c:extLst>
            <c:ext xmlns:c16="http://schemas.microsoft.com/office/drawing/2014/chart" uri="{C3380CC4-5D6E-409C-BE32-E72D297353CC}">
              <c16:uniqueId val="{0000000B-C2C9-4339-B25C-69F936436CDF}"/>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Game!$N$139</c:f>
              <c:numCache>
                <c:formatCode>General</c:formatCode>
                <c:ptCount val="1"/>
                <c:pt idx="0">
                  <c:v>0</c:v>
                </c:pt>
              </c:numCache>
            </c:numRef>
          </c:val>
          <c:extLst>
            <c:ext xmlns:c16="http://schemas.microsoft.com/office/drawing/2014/chart" uri="{C3380CC4-5D6E-409C-BE32-E72D297353CC}">
              <c16:uniqueId val="{0000000C-C2C9-4339-B25C-69F936436CDF}"/>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Game!$O$139</c:f>
              <c:numCache>
                <c:formatCode>General</c:formatCode>
                <c:ptCount val="1"/>
                <c:pt idx="0">
                  <c:v>0</c:v>
                </c:pt>
              </c:numCache>
            </c:numRef>
          </c:val>
          <c:extLst>
            <c:ext xmlns:c16="http://schemas.microsoft.com/office/drawing/2014/chart" uri="{C3380CC4-5D6E-409C-BE32-E72D297353CC}">
              <c16:uniqueId val="{0000000D-C2C9-4339-B25C-69F936436CDF}"/>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Game!$B$153</c:f>
              <c:numCache>
                <c:formatCode>General</c:formatCode>
                <c:ptCount val="1"/>
                <c:pt idx="0">
                  <c:v>0</c:v>
                </c:pt>
              </c:numCache>
            </c:numRef>
          </c:val>
          <c:extLst>
            <c:ext xmlns:c16="http://schemas.microsoft.com/office/drawing/2014/chart" uri="{C3380CC4-5D6E-409C-BE32-E72D297353CC}">
              <c16:uniqueId val="{00000000-0710-47B2-9BC9-C8EFDB20E440}"/>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Game!$C$153</c:f>
              <c:numCache>
                <c:formatCode>General</c:formatCode>
                <c:ptCount val="1"/>
                <c:pt idx="0">
                  <c:v>0</c:v>
                </c:pt>
              </c:numCache>
            </c:numRef>
          </c:val>
          <c:extLst>
            <c:ext xmlns:c16="http://schemas.microsoft.com/office/drawing/2014/chart" uri="{C3380CC4-5D6E-409C-BE32-E72D297353CC}">
              <c16:uniqueId val="{00000001-0710-47B2-9BC9-C8EFDB20E440}"/>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Game!$D$153</c:f>
              <c:numCache>
                <c:formatCode>General</c:formatCode>
                <c:ptCount val="1"/>
                <c:pt idx="0">
                  <c:v>0</c:v>
                </c:pt>
              </c:numCache>
            </c:numRef>
          </c:val>
          <c:extLst>
            <c:ext xmlns:c16="http://schemas.microsoft.com/office/drawing/2014/chart" uri="{C3380CC4-5D6E-409C-BE32-E72D297353CC}">
              <c16:uniqueId val="{00000002-0710-47B2-9BC9-C8EFDB20E440}"/>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Game!$E$153</c:f>
              <c:numCache>
                <c:formatCode>General</c:formatCode>
                <c:ptCount val="1"/>
                <c:pt idx="0">
                  <c:v>0</c:v>
                </c:pt>
              </c:numCache>
            </c:numRef>
          </c:val>
          <c:extLst>
            <c:ext xmlns:c16="http://schemas.microsoft.com/office/drawing/2014/chart" uri="{C3380CC4-5D6E-409C-BE32-E72D297353CC}">
              <c16:uniqueId val="{00000003-0710-47B2-9BC9-C8EFDB20E440}"/>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Game!$F$153</c:f>
              <c:numCache>
                <c:formatCode>General</c:formatCode>
                <c:ptCount val="1"/>
                <c:pt idx="0">
                  <c:v>0</c:v>
                </c:pt>
              </c:numCache>
            </c:numRef>
          </c:val>
          <c:extLst>
            <c:ext xmlns:c16="http://schemas.microsoft.com/office/drawing/2014/chart" uri="{C3380CC4-5D6E-409C-BE32-E72D297353CC}">
              <c16:uniqueId val="{00000004-0710-47B2-9BC9-C8EFDB20E440}"/>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Game!$G$153</c:f>
              <c:numCache>
                <c:formatCode>General</c:formatCode>
                <c:ptCount val="1"/>
                <c:pt idx="0">
                  <c:v>0</c:v>
                </c:pt>
              </c:numCache>
            </c:numRef>
          </c:val>
          <c:extLst>
            <c:ext xmlns:c16="http://schemas.microsoft.com/office/drawing/2014/chart" uri="{C3380CC4-5D6E-409C-BE32-E72D297353CC}">
              <c16:uniqueId val="{00000005-0710-47B2-9BC9-C8EFDB20E440}"/>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Game!$H$153</c:f>
              <c:numCache>
                <c:formatCode>General</c:formatCode>
                <c:ptCount val="1"/>
                <c:pt idx="0">
                  <c:v>0</c:v>
                </c:pt>
              </c:numCache>
            </c:numRef>
          </c:val>
          <c:extLst>
            <c:ext xmlns:c16="http://schemas.microsoft.com/office/drawing/2014/chart" uri="{C3380CC4-5D6E-409C-BE32-E72D297353CC}">
              <c16:uniqueId val="{00000006-0710-47B2-9BC9-C8EFDB20E440}"/>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Game!$I$153</c:f>
              <c:numCache>
                <c:formatCode>General</c:formatCode>
                <c:ptCount val="1"/>
                <c:pt idx="0">
                  <c:v>0</c:v>
                </c:pt>
              </c:numCache>
            </c:numRef>
          </c:val>
          <c:extLst>
            <c:ext xmlns:c16="http://schemas.microsoft.com/office/drawing/2014/chart" uri="{C3380CC4-5D6E-409C-BE32-E72D297353CC}">
              <c16:uniqueId val="{00000007-0710-47B2-9BC9-C8EFDB20E440}"/>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Game!$J$153</c:f>
              <c:numCache>
                <c:formatCode>General</c:formatCode>
                <c:ptCount val="1"/>
                <c:pt idx="0">
                  <c:v>0</c:v>
                </c:pt>
              </c:numCache>
            </c:numRef>
          </c:val>
          <c:extLst>
            <c:ext xmlns:c16="http://schemas.microsoft.com/office/drawing/2014/chart" uri="{C3380CC4-5D6E-409C-BE32-E72D297353CC}">
              <c16:uniqueId val="{00000008-0710-47B2-9BC9-C8EFDB20E440}"/>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Game!$K$153</c:f>
              <c:numCache>
                <c:formatCode>General</c:formatCode>
                <c:ptCount val="1"/>
                <c:pt idx="0">
                  <c:v>0</c:v>
                </c:pt>
              </c:numCache>
            </c:numRef>
          </c:val>
          <c:extLst>
            <c:ext xmlns:c16="http://schemas.microsoft.com/office/drawing/2014/chart" uri="{C3380CC4-5D6E-409C-BE32-E72D297353CC}">
              <c16:uniqueId val="{00000009-0710-47B2-9BC9-C8EFDB20E440}"/>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Game!$L$153</c:f>
              <c:numCache>
                <c:formatCode>General</c:formatCode>
                <c:ptCount val="1"/>
                <c:pt idx="0">
                  <c:v>0</c:v>
                </c:pt>
              </c:numCache>
            </c:numRef>
          </c:val>
          <c:extLst>
            <c:ext xmlns:c16="http://schemas.microsoft.com/office/drawing/2014/chart" uri="{C3380CC4-5D6E-409C-BE32-E72D297353CC}">
              <c16:uniqueId val="{0000000A-0710-47B2-9BC9-C8EFDB20E440}"/>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Game!$M$153</c:f>
              <c:numCache>
                <c:formatCode>General</c:formatCode>
                <c:ptCount val="1"/>
                <c:pt idx="0">
                  <c:v>0</c:v>
                </c:pt>
              </c:numCache>
            </c:numRef>
          </c:val>
          <c:extLst>
            <c:ext xmlns:c16="http://schemas.microsoft.com/office/drawing/2014/chart" uri="{C3380CC4-5D6E-409C-BE32-E72D297353CC}">
              <c16:uniqueId val="{0000000B-0710-47B2-9BC9-C8EFDB20E440}"/>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Game!$N$153</c:f>
              <c:numCache>
                <c:formatCode>General</c:formatCode>
                <c:ptCount val="1"/>
                <c:pt idx="0">
                  <c:v>0</c:v>
                </c:pt>
              </c:numCache>
            </c:numRef>
          </c:val>
          <c:extLst>
            <c:ext xmlns:c16="http://schemas.microsoft.com/office/drawing/2014/chart" uri="{C3380CC4-5D6E-409C-BE32-E72D297353CC}">
              <c16:uniqueId val="{0000000C-0710-47B2-9BC9-C8EFDB20E440}"/>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Game!$O$153</c:f>
              <c:numCache>
                <c:formatCode>General</c:formatCode>
                <c:ptCount val="1"/>
                <c:pt idx="0">
                  <c:v>0</c:v>
                </c:pt>
              </c:numCache>
            </c:numRef>
          </c:val>
          <c:extLst>
            <c:ext xmlns:c16="http://schemas.microsoft.com/office/drawing/2014/chart" uri="{C3380CC4-5D6E-409C-BE32-E72D297353CC}">
              <c16:uniqueId val="{0000000D-0710-47B2-9BC9-C8EFDB20E440}"/>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Game!$B$167</c:f>
              <c:numCache>
                <c:formatCode>General</c:formatCode>
                <c:ptCount val="1"/>
                <c:pt idx="0">
                  <c:v>0</c:v>
                </c:pt>
              </c:numCache>
            </c:numRef>
          </c:val>
          <c:extLst>
            <c:ext xmlns:c16="http://schemas.microsoft.com/office/drawing/2014/chart" uri="{C3380CC4-5D6E-409C-BE32-E72D297353CC}">
              <c16:uniqueId val="{00000000-702B-4632-80A6-7D93EA1C1890}"/>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Game!$C$167</c:f>
              <c:numCache>
                <c:formatCode>General</c:formatCode>
                <c:ptCount val="1"/>
                <c:pt idx="0">
                  <c:v>0</c:v>
                </c:pt>
              </c:numCache>
            </c:numRef>
          </c:val>
          <c:extLst>
            <c:ext xmlns:c16="http://schemas.microsoft.com/office/drawing/2014/chart" uri="{C3380CC4-5D6E-409C-BE32-E72D297353CC}">
              <c16:uniqueId val="{00000001-702B-4632-80A6-7D93EA1C1890}"/>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Game!$D$167</c:f>
              <c:numCache>
                <c:formatCode>General</c:formatCode>
                <c:ptCount val="1"/>
                <c:pt idx="0">
                  <c:v>0</c:v>
                </c:pt>
              </c:numCache>
            </c:numRef>
          </c:val>
          <c:extLst>
            <c:ext xmlns:c16="http://schemas.microsoft.com/office/drawing/2014/chart" uri="{C3380CC4-5D6E-409C-BE32-E72D297353CC}">
              <c16:uniqueId val="{00000002-702B-4632-80A6-7D93EA1C1890}"/>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Game!$E$167</c:f>
              <c:numCache>
                <c:formatCode>General</c:formatCode>
                <c:ptCount val="1"/>
                <c:pt idx="0">
                  <c:v>0</c:v>
                </c:pt>
              </c:numCache>
            </c:numRef>
          </c:val>
          <c:extLst>
            <c:ext xmlns:c16="http://schemas.microsoft.com/office/drawing/2014/chart" uri="{C3380CC4-5D6E-409C-BE32-E72D297353CC}">
              <c16:uniqueId val="{00000003-702B-4632-80A6-7D93EA1C1890}"/>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Game!$F$167</c:f>
              <c:numCache>
                <c:formatCode>General</c:formatCode>
                <c:ptCount val="1"/>
                <c:pt idx="0">
                  <c:v>0</c:v>
                </c:pt>
              </c:numCache>
            </c:numRef>
          </c:val>
          <c:extLst>
            <c:ext xmlns:c16="http://schemas.microsoft.com/office/drawing/2014/chart" uri="{C3380CC4-5D6E-409C-BE32-E72D297353CC}">
              <c16:uniqueId val="{00000004-702B-4632-80A6-7D93EA1C1890}"/>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Game!$G$167</c:f>
              <c:numCache>
                <c:formatCode>General</c:formatCode>
                <c:ptCount val="1"/>
                <c:pt idx="0">
                  <c:v>0</c:v>
                </c:pt>
              </c:numCache>
            </c:numRef>
          </c:val>
          <c:extLst>
            <c:ext xmlns:c16="http://schemas.microsoft.com/office/drawing/2014/chart" uri="{C3380CC4-5D6E-409C-BE32-E72D297353CC}">
              <c16:uniqueId val="{00000005-702B-4632-80A6-7D93EA1C1890}"/>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Game!$H$167</c:f>
              <c:numCache>
                <c:formatCode>General</c:formatCode>
                <c:ptCount val="1"/>
                <c:pt idx="0">
                  <c:v>0</c:v>
                </c:pt>
              </c:numCache>
            </c:numRef>
          </c:val>
          <c:extLst>
            <c:ext xmlns:c16="http://schemas.microsoft.com/office/drawing/2014/chart" uri="{C3380CC4-5D6E-409C-BE32-E72D297353CC}">
              <c16:uniqueId val="{00000006-702B-4632-80A6-7D93EA1C1890}"/>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Game!$I$167</c:f>
              <c:numCache>
                <c:formatCode>General</c:formatCode>
                <c:ptCount val="1"/>
                <c:pt idx="0">
                  <c:v>0</c:v>
                </c:pt>
              </c:numCache>
            </c:numRef>
          </c:val>
          <c:extLst>
            <c:ext xmlns:c16="http://schemas.microsoft.com/office/drawing/2014/chart" uri="{C3380CC4-5D6E-409C-BE32-E72D297353CC}">
              <c16:uniqueId val="{00000007-702B-4632-80A6-7D93EA1C1890}"/>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Game!$J$167</c:f>
              <c:numCache>
                <c:formatCode>General</c:formatCode>
                <c:ptCount val="1"/>
                <c:pt idx="0">
                  <c:v>0</c:v>
                </c:pt>
              </c:numCache>
            </c:numRef>
          </c:val>
          <c:extLst>
            <c:ext xmlns:c16="http://schemas.microsoft.com/office/drawing/2014/chart" uri="{C3380CC4-5D6E-409C-BE32-E72D297353CC}">
              <c16:uniqueId val="{00000008-702B-4632-80A6-7D93EA1C1890}"/>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Game!$K$167</c:f>
              <c:numCache>
                <c:formatCode>General</c:formatCode>
                <c:ptCount val="1"/>
                <c:pt idx="0">
                  <c:v>0</c:v>
                </c:pt>
              </c:numCache>
            </c:numRef>
          </c:val>
          <c:extLst>
            <c:ext xmlns:c16="http://schemas.microsoft.com/office/drawing/2014/chart" uri="{C3380CC4-5D6E-409C-BE32-E72D297353CC}">
              <c16:uniqueId val="{00000009-702B-4632-80A6-7D93EA1C1890}"/>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Game!$L$167</c:f>
              <c:numCache>
                <c:formatCode>General</c:formatCode>
                <c:ptCount val="1"/>
                <c:pt idx="0">
                  <c:v>0</c:v>
                </c:pt>
              </c:numCache>
            </c:numRef>
          </c:val>
          <c:extLst>
            <c:ext xmlns:c16="http://schemas.microsoft.com/office/drawing/2014/chart" uri="{C3380CC4-5D6E-409C-BE32-E72D297353CC}">
              <c16:uniqueId val="{0000000A-702B-4632-80A6-7D93EA1C1890}"/>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Game!$M$167</c:f>
              <c:numCache>
                <c:formatCode>General</c:formatCode>
                <c:ptCount val="1"/>
                <c:pt idx="0">
                  <c:v>0</c:v>
                </c:pt>
              </c:numCache>
            </c:numRef>
          </c:val>
          <c:extLst>
            <c:ext xmlns:c16="http://schemas.microsoft.com/office/drawing/2014/chart" uri="{C3380CC4-5D6E-409C-BE32-E72D297353CC}">
              <c16:uniqueId val="{0000000B-702B-4632-80A6-7D93EA1C1890}"/>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Game!$N$167</c:f>
              <c:numCache>
                <c:formatCode>General</c:formatCode>
                <c:ptCount val="1"/>
                <c:pt idx="0">
                  <c:v>0</c:v>
                </c:pt>
              </c:numCache>
            </c:numRef>
          </c:val>
          <c:extLst>
            <c:ext xmlns:c16="http://schemas.microsoft.com/office/drawing/2014/chart" uri="{C3380CC4-5D6E-409C-BE32-E72D297353CC}">
              <c16:uniqueId val="{0000000C-702B-4632-80A6-7D93EA1C1890}"/>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Game!$O$167</c:f>
              <c:numCache>
                <c:formatCode>General</c:formatCode>
                <c:ptCount val="1"/>
                <c:pt idx="0">
                  <c:v>0</c:v>
                </c:pt>
              </c:numCache>
            </c:numRef>
          </c:val>
          <c:extLst>
            <c:ext xmlns:c16="http://schemas.microsoft.com/office/drawing/2014/chart" uri="{C3380CC4-5D6E-409C-BE32-E72D297353CC}">
              <c16:uniqueId val="{0000000D-702B-4632-80A6-7D93EA1C1890}"/>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w1</c:v>
          </c:tx>
          <c:spPr>
            <a:ln w="28575" cap="rnd">
              <a:solidFill>
                <a:schemeClr val="accent1"/>
              </a:solidFill>
              <a:round/>
            </a:ln>
            <a:effectLst/>
          </c:spPr>
          <c:marker>
            <c:symbol val="none"/>
          </c:marker>
          <c:val>
            <c:numRef>
              <c:f>Game!$Y$4:$Y$10</c:f>
              <c:numCache>
                <c:formatCode>General</c:formatCode>
                <c:ptCount val="7"/>
                <c:pt idx="0">
                  <c:v>36.369999999999997</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0-3728-4B09-8762-3745EAED33EE}"/>
            </c:ext>
          </c:extLst>
        </c:ser>
        <c:ser>
          <c:idx val="1"/>
          <c:order val="1"/>
          <c:tx>
            <c:v>w2</c:v>
          </c:tx>
          <c:spPr>
            <a:ln w="28575" cap="rnd">
              <a:solidFill>
                <a:schemeClr val="accent2"/>
              </a:solidFill>
              <a:round/>
            </a:ln>
            <a:effectLst/>
          </c:spPr>
          <c:marker>
            <c:symbol val="none"/>
          </c:marker>
          <c:val>
            <c:numRef>
              <c:f>Game!$Y$18:$Y$24</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1-3728-4B09-8762-3745EAED33EE}"/>
            </c:ext>
          </c:extLst>
        </c:ser>
        <c:ser>
          <c:idx val="2"/>
          <c:order val="2"/>
          <c:tx>
            <c:v>w3</c:v>
          </c:tx>
          <c:spPr>
            <a:ln w="28575" cap="rnd">
              <a:solidFill>
                <a:schemeClr val="accent3"/>
              </a:solidFill>
              <a:round/>
            </a:ln>
            <a:effectLst/>
          </c:spPr>
          <c:marker>
            <c:symbol val="none"/>
          </c:marker>
          <c:val>
            <c:numRef>
              <c:f>Game!$W$32:$W$38</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2-3728-4B09-8762-3745EAED33EE}"/>
            </c:ext>
          </c:extLst>
        </c:ser>
        <c:ser>
          <c:idx val="3"/>
          <c:order val="3"/>
          <c:tx>
            <c:v>w4</c:v>
          </c:tx>
          <c:spPr>
            <a:ln w="28575" cap="rnd">
              <a:solidFill>
                <a:schemeClr val="accent4"/>
              </a:solidFill>
              <a:round/>
            </a:ln>
            <a:effectLst/>
          </c:spPr>
          <c:marker>
            <c:symbol val="none"/>
          </c:marker>
          <c:val>
            <c:numRef>
              <c:f>Game!$W$46:$W$52</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3-3728-4B09-8762-3745EAED33EE}"/>
            </c:ext>
          </c:extLst>
        </c:ser>
        <c:ser>
          <c:idx val="4"/>
          <c:order val="4"/>
          <c:tx>
            <c:v>w5</c:v>
          </c:tx>
          <c:spPr>
            <a:ln w="28575" cap="rnd">
              <a:solidFill>
                <a:schemeClr val="accent5"/>
              </a:solidFill>
              <a:round/>
            </a:ln>
            <a:effectLst/>
          </c:spPr>
          <c:marker>
            <c:symbol val="none"/>
          </c:marker>
          <c:val>
            <c:numRef>
              <c:f>Game!$Y$60:$Y$66</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4-3728-4B09-8762-3745EAED33EE}"/>
            </c:ext>
          </c:extLst>
        </c:ser>
        <c:ser>
          <c:idx val="5"/>
          <c:order val="5"/>
          <c:tx>
            <c:v>w6</c:v>
          </c:tx>
          <c:spPr>
            <a:ln w="28575" cap="rnd">
              <a:solidFill>
                <a:schemeClr val="accent6"/>
              </a:solidFill>
              <a:round/>
            </a:ln>
            <a:effectLst/>
          </c:spPr>
          <c:marker>
            <c:symbol val="none"/>
          </c:marker>
          <c:val>
            <c:numRef>
              <c:f>Game!$Y$74:$Y$80</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5-3728-4B09-8762-3745EAED33EE}"/>
            </c:ext>
          </c:extLst>
        </c:ser>
        <c:ser>
          <c:idx val="6"/>
          <c:order val="6"/>
          <c:tx>
            <c:v>w7</c:v>
          </c:tx>
          <c:spPr>
            <a:ln w="28575" cap="rnd">
              <a:solidFill>
                <a:schemeClr val="accent1">
                  <a:lumMod val="60000"/>
                </a:schemeClr>
              </a:solidFill>
              <a:round/>
            </a:ln>
            <a:effectLst/>
          </c:spPr>
          <c:marker>
            <c:symbol val="none"/>
          </c:marker>
          <c:val>
            <c:numRef>
              <c:f>Game!$Y$88:$Y$94</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6-3728-4B09-8762-3745EAED33EE}"/>
            </c:ext>
          </c:extLst>
        </c:ser>
        <c:ser>
          <c:idx val="7"/>
          <c:order val="7"/>
          <c:tx>
            <c:v>w8</c:v>
          </c:tx>
          <c:spPr>
            <a:ln w="28575" cap="rnd">
              <a:solidFill>
                <a:schemeClr val="accent2">
                  <a:lumMod val="60000"/>
                </a:schemeClr>
              </a:solidFill>
              <a:round/>
            </a:ln>
            <a:effectLst/>
          </c:spPr>
          <c:marker>
            <c:symbol val="none"/>
          </c:marker>
          <c:val>
            <c:numRef>
              <c:f>Game!$Y$102:$Y$108</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7-3728-4B09-8762-3745EAED33EE}"/>
            </c:ext>
          </c:extLst>
        </c:ser>
        <c:ser>
          <c:idx val="8"/>
          <c:order val="8"/>
          <c:tx>
            <c:v>w9</c:v>
          </c:tx>
          <c:spPr>
            <a:ln w="28575" cap="rnd">
              <a:solidFill>
                <a:schemeClr val="accent3">
                  <a:lumMod val="60000"/>
                </a:schemeClr>
              </a:solidFill>
              <a:round/>
            </a:ln>
            <a:effectLst/>
          </c:spPr>
          <c:marker>
            <c:symbol val="none"/>
          </c:marker>
          <c:val>
            <c:numRef>
              <c:f>Game!$Y$116:$Y$122</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8-3728-4B09-8762-3745EAED33EE}"/>
            </c:ext>
          </c:extLst>
        </c:ser>
        <c:ser>
          <c:idx val="9"/>
          <c:order val="9"/>
          <c:tx>
            <c:v>w10</c:v>
          </c:tx>
          <c:spPr>
            <a:ln w="28575" cap="rnd">
              <a:solidFill>
                <a:schemeClr val="accent4">
                  <a:lumMod val="60000"/>
                </a:schemeClr>
              </a:solidFill>
              <a:round/>
            </a:ln>
            <a:effectLst/>
          </c:spPr>
          <c:marker>
            <c:symbol val="none"/>
          </c:marker>
          <c:val>
            <c:numRef>
              <c:f>Game!$Y$130:$Y$136</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9-3728-4B09-8762-3745EAED33EE}"/>
            </c:ext>
          </c:extLst>
        </c:ser>
        <c:ser>
          <c:idx val="10"/>
          <c:order val="10"/>
          <c:tx>
            <c:v>w11</c:v>
          </c:tx>
          <c:spPr>
            <a:ln w="28575" cap="rnd">
              <a:solidFill>
                <a:schemeClr val="accent5">
                  <a:lumMod val="60000"/>
                </a:schemeClr>
              </a:solidFill>
              <a:round/>
            </a:ln>
            <a:effectLst/>
          </c:spPr>
          <c:marker>
            <c:symbol val="none"/>
          </c:marker>
          <c:val>
            <c:numRef>
              <c:f>Game!$Y$144:$Y$150</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A-3728-4B09-8762-3745EAED33EE}"/>
            </c:ext>
          </c:extLst>
        </c:ser>
        <c:ser>
          <c:idx val="11"/>
          <c:order val="11"/>
          <c:tx>
            <c:v>w12</c:v>
          </c:tx>
          <c:spPr>
            <a:ln w="28575" cap="rnd">
              <a:solidFill>
                <a:schemeClr val="accent6">
                  <a:lumMod val="60000"/>
                </a:schemeClr>
              </a:solidFill>
              <a:round/>
            </a:ln>
            <a:effectLst/>
          </c:spPr>
          <c:marker>
            <c:symbol val="none"/>
          </c:marker>
          <c:val>
            <c:numRef>
              <c:f>Game!$Y$158:$Y$164</c:f>
              <c:numCache>
                <c:formatCode>General</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B-3728-4B09-8762-3745EAED33EE}"/>
            </c:ext>
          </c:extLst>
        </c:ser>
        <c:dLbls>
          <c:showLegendKey val="0"/>
          <c:showVal val="0"/>
          <c:showCatName val="0"/>
          <c:showSerName val="0"/>
          <c:showPercent val="0"/>
          <c:showBubbleSize val="0"/>
        </c:dLbls>
        <c:smooth val="0"/>
        <c:axId val="1198884079"/>
        <c:axId val="1198884559"/>
      </c:lineChart>
      <c:catAx>
        <c:axId val="11988840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884559"/>
        <c:crosses val="autoZero"/>
        <c:auto val="1"/>
        <c:lblAlgn val="ctr"/>
        <c:lblOffset val="100"/>
        <c:noMultiLvlLbl val="0"/>
      </c:catAx>
      <c:valAx>
        <c:axId val="119888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884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latin typeface="Bernard MT Condensed" panose="02050806060905020404" pitchFamily="18" charset="0"/>
              </a:rPr>
              <a:t>Week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Week1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Game!$BS$3:$BS$10</c:f>
              <c:numCache>
                <c:formatCode>General</c:formatCode>
                <c:ptCount val="8"/>
                <c:pt idx="0">
                  <c:v>0</c:v>
                </c:pt>
                <c:pt idx="1">
                  <c:v>36.25</c:v>
                </c:pt>
                <c:pt idx="2">
                  <c:v>36.25</c:v>
                </c:pt>
                <c:pt idx="3">
                  <c:v>36.25</c:v>
                </c:pt>
                <c:pt idx="4">
                  <c:v>36.25</c:v>
                </c:pt>
                <c:pt idx="5">
                  <c:v>36.25</c:v>
                </c:pt>
                <c:pt idx="6">
                  <c:v>36.25</c:v>
                </c:pt>
                <c:pt idx="7">
                  <c:v>36.25</c:v>
                </c:pt>
              </c:numCache>
            </c:numRef>
          </c:val>
          <c:smooth val="0"/>
          <c:extLst>
            <c:ext xmlns:c16="http://schemas.microsoft.com/office/drawing/2014/chart" uri="{C3380CC4-5D6E-409C-BE32-E72D297353CC}">
              <c16:uniqueId val="{00000000-E727-4550-929E-8D0CD97C97A3}"/>
            </c:ext>
          </c:extLst>
        </c:ser>
        <c:ser>
          <c:idx val="1"/>
          <c:order val="1"/>
          <c:tx>
            <c:v>Week2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Game!$BS$17:$BS$24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E727-4550-929E-8D0CD97C97A3}"/>
            </c:ext>
          </c:extLst>
        </c:ser>
        <c:ser>
          <c:idx val="2"/>
          <c:order val="2"/>
          <c:tx>
            <c:v>Week3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Game!$BS$31:$BS$38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E727-4550-929E-8D0CD97C97A3}"/>
            </c:ext>
          </c:extLst>
        </c:ser>
        <c:ser>
          <c:idx val="3"/>
          <c:order val="3"/>
          <c:tx>
            <c:v>Week4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Game!$BS$45:$BS$52</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E727-4550-929E-8D0CD97C97A3}"/>
            </c:ext>
          </c:extLst>
        </c:ser>
        <c:ser>
          <c:idx val="4"/>
          <c:order val="4"/>
          <c:tx>
            <c:v>week5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Game!$BS$59:$BS$66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E727-4550-929E-8D0CD97C97A3}"/>
            </c:ext>
          </c:extLst>
        </c:ser>
        <c:ser>
          <c:idx val="5"/>
          <c:order val="5"/>
          <c:tx>
            <c:v>week6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Game!$BS$73:$BS$80</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E727-4550-929E-8D0CD97C97A3}"/>
            </c:ext>
          </c:extLst>
        </c:ser>
        <c:ser>
          <c:idx val="6"/>
          <c:order val="6"/>
          <c:tx>
            <c:v>week7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Game!$BS$87:$BS$94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6-E727-4550-929E-8D0CD97C97A3}"/>
            </c:ext>
          </c:extLst>
        </c:ser>
        <c:ser>
          <c:idx val="7"/>
          <c:order val="7"/>
          <c:tx>
            <c:v>week8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Game!$BS$101:$BS$108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7-E727-4550-929E-8D0CD97C97A3}"/>
            </c:ext>
          </c:extLst>
        </c:ser>
        <c:ser>
          <c:idx val="8"/>
          <c:order val="8"/>
          <c:tx>
            <c:v>week9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Game!$BS$115:$BS$122</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8-E727-4550-929E-8D0CD97C97A3}"/>
            </c:ext>
          </c:extLst>
        </c:ser>
        <c:ser>
          <c:idx val="9"/>
          <c:order val="9"/>
          <c:tx>
            <c:v>Week10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Game!$BS$129:$BS$136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9-E727-4550-929E-8D0CD97C97A3}"/>
            </c:ext>
          </c:extLst>
        </c:ser>
        <c:ser>
          <c:idx val="10"/>
          <c:order val="10"/>
          <c:tx>
            <c:v>Week11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Game!$BS$143:$BS$150</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A-E727-4550-929E-8D0CD97C97A3}"/>
            </c:ext>
          </c:extLst>
        </c:ser>
        <c:ser>
          <c:idx val="11"/>
          <c:order val="11"/>
          <c:tx>
            <c:v>Week12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Game!$BS$157:$BS$164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B-E727-4550-929E-8D0CD97C97A3}"/>
            </c:ext>
          </c:extLst>
        </c:ser>
        <c:dLbls>
          <c:showLegendKey val="0"/>
          <c:showVal val="0"/>
          <c:showCatName val="0"/>
          <c:showSerName val="0"/>
          <c:showPercent val="0"/>
          <c:showBubbleSize val="0"/>
        </c:dLbls>
        <c:marker val="1"/>
        <c:smooth val="0"/>
        <c:axId val="482027015"/>
        <c:axId val="482029063"/>
      </c:lineChart>
      <c:catAx>
        <c:axId val="482027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9063"/>
        <c:crosses val="autoZero"/>
        <c:auto val="1"/>
        <c:lblAlgn val="ctr"/>
        <c:lblOffset val="100"/>
        <c:noMultiLvlLbl val="0"/>
      </c:catAx>
      <c:valAx>
        <c:axId val="482029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7015"/>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0">
                <a:solidFill>
                  <a:schemeClr val="tx1"/>
                </a:solidFill>
                <a:latin typeface="Bernard MT Condensed" panose="02050806060905020404" pitchFamily="18" charset="0"/>
              </a:rPr>
              <a:t>Everyday</a:t>
            </a:r>
            <a:r>
              <a:rPr lang="en-US" b="0" baseline="0">
                <a:solidFill>
                  <a:schemeClr val="tx1"/>
                </a:solidFill>
                <a:latin typeface="Bernard MT Condensed" panose="02050806060905020404" pitchFamily="18" charset="0"/>
              </a:rPr>
              <a:t> performance over the weeks                                                                                                      </a:t>
            </a:r>
          </a:p>
          <a:p>
            <a:pPr>
              <a:defRPr/>
            </a:pPr>
            <a:r>
              <a:rPr lang="en-US" b="0" baseline="0">
                <a:solidFill>
                  <a:schemeClr val="tx1"/>
                </a:solidFill>
                <a:latin typeface="Bernard MT Condensed" panose="02050806060905020404" pitchFamily="18" charset="0"/>
              </a:rPr>
              <a:t> </a:t>
            </a:r>
            <a:r>
              <a:rPr lang="en-US" sz="1400" b="0" baseline="0">
                <a:solidFill>
                  <a:schemeClr val="tx1"/>
                </a:solidFill>
                <a:latin typeface="+mn-lt"/>
              </a:rPr>
              <a:t>Draw a Lanscape</a:t>
            </a:r>
            <a:r>
              <a:rPr lang="en-US" b="0" baseline="0">
                <a:solidFill>
                  <a:schemeClr val="tx1"/>
                </a:solidFill>
                <a:latin typeface="Bernard MT Condensed" panose="02050806060905020404" pitchFamily="18" charset="0"/>
              </a:rPr>
              <a:t>. </a:t>
            </a:r>
            <a:endParaRPr lang="en-US" b="0">
              <a:solidFill>
                <a:schemeClr val="tx1"/>
              </a:solidFill>
              <a:latin typeface="Bernard MT Condensed" panose="02050806060905020404" pitchFamily="18" charset="0"/>
            </a:endParaRPr>
          </a:p>
        </c:rich>
      </c:tx>
      <c:layout>
        <c:manualLayout>
          <c:xMode val="edge"/>
          <c:yMode val="edge"/>
          <c:x val="0.35303552631578949"/>
          <c:y val="9.8335269066976393E-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v>w1</c:v>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Game!$W$4:$W$10</c:f>
              <c:numCache>
                <c:formatCode>General</c:formatCode>
                <c:ptCount val="7"/>
                <c:pt idx="0">
                  <c:v>36.25</c:v>
                </c:pt>
                <c:pt idx="1">
                  <c:v>0</c:v>
                </c:pt>
                <c:pt idx="2">
                  <c:v>0</c:v>
                </c:pt>
                <c:pt idx="3">
                  <c:v>0</c:v>
                </c:pt>
                <c:pt idx="4">
                  <c:v>0</c:v>
                </c:pt>
                <c:pt idx="5">
                  <c:v>0</c:v>
                </c:pt>
                <c:pt idx="6">
                  <c:v>0</c:v>
                </c:pt>
              </c:numCache>
            </c:numRef>
          </c:val>
          <c:extLst>
            <c:ext xmlns:c16="http://schemas.microsoft.com/office/drawing/2014/chart" uri="{C3380CC4-5D6E-409C-BE32-E72D297353CC}">
              <c16:uniqueId val="{00000000-5DDA-4C69-83B3-1F09013CEE00}"/>
            </c:ext>
          </c:extLst>
        </c:ser>
        <c:ser>
          <c:idx val="1"/>
          <c:order val="1"/>
          <c:tx>
            <c:v>w2</c:v>
          </c:tx>
          <c:spPr>
            <a:solidFill>
              <a:schemeClr val="accent2">
                <a:alpha val="74000"/>
              </a:schemeClr>
            </a:solidFill>
            <a:ln>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Game!$W$18:$W$24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5DDA-4C69-83B3-1F09013CEE00}"/>
            </c:ext>
          </c:extLst>
        </c:ser>
        <c:ser>
          <c:idx val="2"/>
          <c:order val="2"/>
          <c:tx>
            <c:v>w3</c:v>
          </c:tx>
          <c:spPr>
            <a:solidFill>
              <a:schemeClr val="accent3">
                <a:alpha val="74000"/>
              </a:schemeClr>
            </a:solidFill>
            <a:ln>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Game!$W$32:$W$38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5DDA-4C69-83B3-1F09013CEE00}"/>
            </c:ext>
          </c:extLst>
        </c:ser>
        <c:ser>
          <c:idx val="3"/>
          <c:order val="3"/>
          <c:tx>
            <c:v>w4</c:v>
          </c:tx>
          <c:spPr>
            <a:solidFill>
              <a:schemeClr val="accent4">
                <a:alpha val="74000"/>
              </a:schemeClr>
            </a:solidFill>
            <a:ln>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Game!$W$46:$W$52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5DDA-4C69-83B3-1F09013CEE00}"/>
            </c:ext>
          </c:extLst>
        </c:ser>
        <c:ser>
          <c:idx val="4"/>
          <c:order val="4"/>
          <c:tx>
            <c:v>w5</c:v>
          </c:tx>
          <c:spPr>
            <a:solidFill>
              <a:schemeClr val="accent5">
                <a:alpha val="74000"/>
              </a:schemeClr>
            </a:solidFill>
            <a:ln>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Game!$W$60:$W$66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5DDA-4C69-83B3-1F09013CEE00}"/>
            </c:ext>
          </c:extLst>
        </c:ser>
        <c:ser>
          <c:idx val="5"/>
          <c:order val="5"/>
          <c:tx>
            <c:v>w6</c:v>
          </c:tx>
          <c:spPr>
            <a:solidFill>
              <a:schemeClr val="accent6">
                <a:alpha val="74000"/>
              </a:schemeClr>
            </a:solidFill>
            <a:ln>
              <a:noFill/>
            </a:ln>
            <a:effectLst>
              <a:innerShdw blurRad="114300">
                <a:schemeClr val="accent6">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Game!$W$74:$W$80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5DDA-4C69-83B3-1F09013CEE00}"/>
            </c:ext>
          </c:extLst>
        </c:ser>
        <c:ser>
          <c:idx val="6"/>
          <c:order val="6"/>
          <c:tx>
            <c:v>w7</c:v>
          </c:tx>
          <c:spPr>
            <a:solidFill>
              <a:schemeClr val="accent1">
                <a:lumMod val="60000"/>
                <a:alpha val="74000"/>
              </a:schemeClr>
            </a:solidFill>
            <a:ln>
              <a:noFill/>
            </a:ln>
            <a:effectLst>
              <a:innerShdw blurRad="114300">
                <a:schemeClr val="accent1">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Game!$W$88:$W$94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5DDA-4C69-83B3-1F09013CEE00}"/>
            </c:ext>
          </c:extLst>
        </c:ser>
        <c:ser>
          <c:idx val="7"/>
          <c:order val="7"/>
          <c:tx>
            <c:v>w8</c:v>
          </c:tx>
          <c:spPr>
            <a:solidFill>
              <a:schemeClr val="accent2">
                <a:lumMod val="60000"/>
                <a:alpha val="74000"/>
              </a:schemeClr>
            </a:solidFill>
            <a:ln>
              <a:noFill/>
            </a:ln>
            <a:effectLst>
              <a:innerShdw blurRad="114300">
                <a:schemeClr val="accent2">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Game!$W$102:$W$108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5DDA-4C69-83B3-1F09013CEE00}"/>
            </c:ext>
          </c:extLst>
        </c:ser>
        <c:ser>
          <c:idx val="8"/>
          <c:order val="8"/>
          <c:tx>
            <c:v>w9</c:v>
          </c:tx>
          <c:spPr>
            <a:solidFill>
              <a:schemeClr val="accent3">
                <a:lumMod val="60000"/>
                <a:alpha val="74000"/>
              </a:schemeClr>
            </a:solidFill>
            <a:ln>
              <a:noFill/>
            </a:ln>
            <a:effectLst>
              <a:innerShdw blurRad="114300">
                <a:schemeClr val="accent3">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Game!$W$116:$W$122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5DDA-4C69-83B3-1F09013CEE00}"/>
            </c:ext>
          </c:extLst>
        </c:ser>
        <c:ser>
          <c:idx val="9"/>
          <c:order val="9"/>
          <c:tx>
            <c:v>w10</c:v>
          </c:tx>
          <c:spPr>
            <a:solidFill>
              <a:schemeClr val="accent4">
                <a:lumMod val="60000"/>
                <a:alpha val="74000"/>
              </a:schemeClr>
            </a:solidFill>
            <a:ln>
              <a:noFill/>
            </a:ln>
            <a:effectLst>
              <a:innerShdw blurRad="114300">
                <a:schemeClr val="accent4">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Game!$W$130:$W$136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9-5DDA-4C69-83B3-1F09013CEE00}"/>
            </c:ext>
          </c:extLst>
        </c:ser>
        <c:ser>
          <c:idx val="10"/>
          <c:order val="10"/>
          <c:tx>
            <c:v>w11</c:v>
          </c:tx>
          <c:spPr>
            <a:solidFill>
              <a:schemeClr val="accent5">
                <a:lumMod val="60000"/>
                <a:alpha val="74000"/>
              </a:schemeClr>
            </a:solidFill>
            <a:ln>
              <a:noFill/>
            </a:ln>
            <a:effectLst>
              <a:innerShdw blurRad="114300">
                <a:schemeClr val="accent5">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Game!$W$144:$W$150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A-5DDA-4C69-83B3-1F09013CEE00}"/>
            </c:ext>
          </c:extLst>
        </c:ser>
        <c:ser>
          <c:idx val="11"/>
          <c:order val="11"/>
          <c:tx>
            <c:v>w12</c:v>
          </c:tx>
          <c:spPr>
            <a:solidFill>
              <a:schemeClr val="accent6">
                <a:lumMod val="60000"/>
                <a:alpha val="74000"/>
              </a:schemeClr>
            </a:solidFill>
            <a:ln>
              <a:noFill/>
            </a:ln>
            <a:effectLst>
              <a:innerShdw blurRad="114300">
                <a:schemeClr val="accent6">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Game!$W$158:$W$164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5DDA-4C69-83B3-1F09013CEE00}"/>
            </c:ext>
          </c:extLst>
        </c:ser>
        <c:dLbls>
          <c:showLegendKey val="0"/>
          <c:showVal val="1"/>
          <c:showCatName val="0"/>
          <c:showSerName val="0"/>
          <c:showPercent val="0"/>
          <c:showBubbleSize val="0"/>
        </c:dLbls>
        <c:axId val="1306827663"/>
        <c:axId val="1306831983"/>
      </c:areaChart>
      <c:catAx>
        <c:axId val="13068276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06831983"/>
        <c:crosses val="autoZero"/>
        <c:auto val="1"/>
        <c:lblAlgn val="ctr"/>
        <c:lblOffset val="100"/>
        <c:noMultiLvlLbl val="0"/>
      </c:catAx>
      <c:valAx>
        <c:axId val="13068319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06827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latin typeface="Bernard MT Condensed" panose="02050806060905020404" pitchFamily="18" charset="0"/>
              </a:rPr>
              <a:t>week comparison(bonus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Week1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Game!$BU$3:$BU$10</c:f>
              <c:numCache>
                <c:formatCode>General</c:formatCode>
                <c:ptCount val="8"/>
                <c:pt idx="0">
                  <c:v>0</c:v>
                </c:pt>
                <c:pt idx="1">
                  <c:v>36.369999999999997</c:v>
                </c:pt>
                <c:pt idx="2">
                  <c:v>36.369999999999997</c:v>
                </c:pt>
                <c:pt idx="3">
                  <c:v>36.369999999999997</c:v>
                </c:pt>
                <c:pt idx="4">
                  <c:v>36.369999999999997</c:v>
                </c:pt>
                <c:pt idx="5">
                  <c:v>36.369999999999997</c:v>
                </c:pt>
                <c:pt idx="6">
                  <c:v>36.369999999999997</c:v>
                </c:pt>
                <c:pt idx="7">
                  <c:v>36.369999999999997</c:v>
                </c:pt>
              </c:numCache>
            </c:numRef>
          </c:val>
          <c:smooth val="0"/>
          <c:extLst>
            <c:ext xmlns:c16="http://schemas.microsoft.com/office/drawing/2014/chart" uri="{C3380CC4-5D6E-409C-BE32-E72D297353CC}">
              <c16:uniqueId val="{00000000-73F7-47C2-812A-1D7C792FB705}"/>
            </c:ext>
          </c:extLst>
        </c:ser>
        <c:ser>
          <c:idx val="1"/>
          <c:order val="1"/>
          <c:tx>
            <c:v>Week2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Game!$BU$17:$BU$24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73F7-47C2-812A-1D7C792FB705}"/>
            </c:ext>
          </c:extLst>
        </c:ser>
        <c:ser>
          <c:idx val="2"/>
          <c:order val="2"/>
          <c:tx>
            <c:v>Week3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Game!$BU$31:$BU$38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73F7-47C2-812A-1D7C792FB705}"/>
            </c:ext>
          </c:extLst>
        </c:ser>
        <c:ser>
          <c:idx val="3"/>
          <c:order val="3"/>
          <c:tx>
            <c:v>Week4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Game!$BU$59:$BU$66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73F7-47C2-812A-1D7C792FB705}"/>
            </c:ext>
          </c:extLst>
        </c:ser>
        <c:ser>
          <c:idx val="4"/>
          <c:order val="4"/>
          <c:tx>
            <c:v>week5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Game!$BU$59:$BU$66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73F7-47C2-812A-1D7C792FB705}"/>
            </c:ext>
          </c:extLst>
        </c:ser>
        <c:ser>
          <c:idx val="5"/>
          <c:order val="5"/>
          <c:tx>
            <c:v>week6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Game!$BU$87:$BU$94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73F7-47C2-812A-1D7C792FB705}"/>
            </c:ext>
          </c:extLst>
        </c:ser>
        <c:ser>
          <c:idx val="6"/>
          <c:order val="6"/>
          <c:tx>
            <c:v>week7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Game!$BU$87:$BU$94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6-73F7-47C2-812A-1D7C792FB705}"/>
            </c:ext>
          </c:extLst>
        </c:ser>
        <c:ser>
          <c:idx val="7"/>
          <c:order val="7"/>
          <c:tx>
            <c:v>week8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Game!$BU$101:$BU$108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7-73F7-47C2-812A-1D7C792FB705}"/>
            </c:ext>
          </c:extLst>
        </c:ser>
        <c:ser>
          <c:idx val="8"/>
          <c:order val="8"/>
          <c:tx>
            <c:v>week9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Game!$BU$115:$BU$122</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8-73F7-47C2-812A-1D7C792FB705}"/>
            </c:ext>
          </c:extLst>
        </c:ser>
        <c:ser>
          <c:idx val="9"/>
          <c:order val="9"/>
          <c:tx>
            <c:v>Week10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Game!$BU$129:$BU$136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9-73F7-47C2-812A-1D7C792FB705}"/>
            </c:ext>
          </c:extLst>
        </c:ser>
        <c:ser>
          <c:idx val="10"/>
          <c:order val="10"/>
          <c:tx>
            <c:v>Week11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Game!$BU$143:$BU$150</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A-73F7-47C2-812A-1D7C792FB705}"/>
            </c:ext>
          </c:extLst>
        </c:ser>
        <c:ser>
          <c:idx val="11"/>
          <c:order val="11"/>
          <c:tx>
            <c:v>Week12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Game!$BU$157:$BU$164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B-73F7-47C2-812A-1D7C792FB705}"/>
            </c:ext>
          </c:extLst>
        </c:ser>
        <c:dLbls>
          <c:showLegendKey val="0"/>
          <c:showVal val="0"/>
          <c:showCatName val="0"/>
          <c:showSerName val="0"/>
          <c:showPercent val="0"/>
          <c:showBubbleSize val="0"/>
        </c:dLbls>
        <c:marker val="1"/>
        <c:smooth val="0"/>
        <c:axId val="482027015"/>
        <c:axId val="482029063"/>
      </c:lineChart>
      <c:catAx>
        <c:axId val="482027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9063"/>
        <c:crosses val="autoZero"/>
        <c:auto val="1"/>
        <c:lblAlgn val="ctr"/>
        <c:lblOffset val="100"/>
        <c:noMultiLvlLbl val="0"/>
      </c:catAx>
      <c:valAx>
        <c:axId val="482029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7015"/>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spc="50" baseline="0">
                <a:solidFill>
                  <a:schemeClr val="tx1"/>
                </a:solidFill>
                <a:latin typeface="Bernard MT Condensed" panose="02050806060905020404" pitchFamily="18" charset="0"/>
                <a:ea typeface="+mn-ea"/>
                <a:cs typeface="+mn-cs"/>
              </a:defRPr>
            </a:pPr>
            <a:r>
              <a:rPr lang="en-US" b="0">
                <a:solidFill>
                  <a:schemeClr val="tx1"/>
                </a:solidFill>
                <a:latin typeface="Bernard MT Condensed" panose="02050806060905020404" pitchFamily="18" charset="0"/>
              </a:rPr>
              <a:t>Everyday</a:t>
            </a:r>
            <a:r>
              <a:rPr lang="en-US" b="0" baseline="0">
                <a:solidFill>
                  <a:schemeClr val="tx1"/>
                </a:solidFill>
                <a:latin typeface="Bernard MT Condensed" panose="02050806060905020404" pitchFamily="18" charset="0"/>
              </a:rPr>
              <a:t> performance over the weeks(bonus)</a:t>
            </a:r>
          </a:p>
          <a:p>
            <a:pPr>
              <a:defRPr b="0">
                <a:solidFill>
                  <a:schemeClr val="tx1"/>
                </a:solidFill>
                <a:latin typeface="Bernard MT Condensed" panose="02050806060905020404" pitchFamily="18" charset="0"/>
              </a:defRPr>
            </a:pPr>
            <a:r>
              <a:rPr lang="en-US" sz="1400" b="0" baseline="0">
                <a:solidFill>
                  <a:schemeClr val="tx1"/>
                </a:solidFill>
                <a:latin typeface="+mn-lt"/>
              </a:rPr>
              <a:t>(Draw a landscape)</a:t>
            </a:r>
            <a:r>
              <a:rPr lang="en-US" b="0" baseline="0">
                <a:solidFill>
                  <a:schemeClr val="tx1"/>
                </a:solidFill>
                <a:latin typeface="Bernard MT Condensed" panose="02050806060905020404" pitchFamily="18" charset="0"/>
              </a:rPr>
              <a:t> </a:t>
            </a:r>
            <a:endParaRPr lang="en-US" b="0">
              <a:solidFill>
                <a:schemeClr val="tx1"/>
              </a:solidFill>
              <a:latin typeface="Bernard MT Condensed" panose="020508060609050204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cap="all" spc="50" baseline="0">
              <a:solidFill>
                <a:schemeClr val="tx1"/>
              </a:solidFill>
              <a:latin typeface="Bernard MT Condensed" panose="02050806060905020404" pitchFamily="18" charset="0"/>
              <a:ea typeface="+mn-ea"/>
              <a:cs typeface="+mn-cs"/>
            </a:defRPr>
          </a:pPr>
          <a:endParaRPr lang="en-US"/>
        </a:p>
      </c:txPr>
    </c:title>
    <c:autoTitleDeleted val="0"/>
    <c:plotArea>
      <c:layout/>
      <c:areaChart>
        <c:grouping val="standard"/>
        <c:varyColors val="0"/>
        <c:ser>
          <c:idx val="0"/>
          <c:order val="0"/>
          <c:tx>
            <c:v>w1</c:v>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Game!$Y$4:$Y$10</c:f>
              <c:numCache>
                <c:formatCode>General</c:formatCode>
                <c:ptCount val="7"/>
                <c:pt idx="0">
                  <c:v>36.369999999999997</c:v>
                </c:pt>
                <c:pt idx="1">
                  <c:v>0</c:v>
                </c:pt>
                <c:pt idx="2">
                  <c:v>0</c:v>
                </c:pt>
                <c:pt idx="3">
                  <c:v>0</c:v>
                </c:pt>
                <c:pt idx="4">
                  <c:v>0</c:v>
                </c:pt>
                <c:pt idx="5">
                  <c:v>0</c:v>
                </c:pt>
                <c:pt idx="6">
                  <c:v>0</c:v>
                </c:pt>
              </c:numCache>
            </c:numRef>
          </c:val>
          <c:extLst>
            <c:ext xmlns:c16="http://schemas.microsoft.com/office/drawing/2014/chart" uri="{C3380CC4-5D6E-409C-BE32-E72D297353CC}">
              <c16:uniqueId val="{00000000-108E-4821-B5F9-1037AB5D86A6}"/>
            </c:ext>
          </c:extLst>
        </c:ser>
        <c:ser>
          <c:idx val="1"/>
          <c:order val="1"/>
          <c:tx>
            <c:v>w2</c:v>
          </c:tx>
          <c:spPr>
            <a:solidFill>
              <a:schemeClr val="accent2">
                <a:alpha val="74000"/>
              </a:schemeClr>
            </a:solidFill>
            <a:ln w="25400">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Game!$Y$18:$Y$24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108E-4821-B5F9-1037AB5D86A6}"/>
            </c:ext>
          </c:extLst>
        </c:ser>
        <c:ser>
          <c:idx val="2"/>
          <c:order val="2"/>
          <c:tx>
            <c:v>w3</c:v>
          </c:tx>
          <c:spPr>
            <a:solidFill>
              <a:schemeClr val="accent3">
                <a:alpha val="74000"/>
              </a:schemeClr>
            </a:solidFill>
            <a:ln w="25400">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Game!$Y$32:$Y$38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108E-4821-B5F9-1037AB5D86A6}"/>
            </c:ext>
          </c:extLst>
        </c:ser>
        <c:ser>
          <c:idx val="3"/>
          <c:order val="3"/>
          <c:tx>
            <c:v>w4</c:v>
          </c:tx>
          <c:spPr>
            <a:solidFill>
              <a:schemeClr val="accent4">
                <a:alpha val="74000"/>
              </a:schemeClr>
            </a:solidFill>
            <a:ln w="25400">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Game!$Y$46:$Y$52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108E-4821-B5F9-1037AB5D86A6}"/>
            </c:ext>
          </c:extLst>
        </c:ser>
        <c:ser>
          <c:idx val="4"/>
          <c:order val="4"/>
          <c:tx>
            <c:v>w5</c:v>
          </c:tx>
          <c:spPr>
            <a:solidFill>
              <a:schemeClr val="accent5">
                <a:alpha val="74000"/>
              </a:schemeClr>
            </a:solidFill>
            <a:ln w="25400">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Game!$Y$60:$Y$66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108E-4821-B5F9-1037AB5D86A6}"/>
            </c:ext>
          </c:extLst>
        </c:ser>
        <c:ser>
          <c:idx val="5"/>
          <c:order val="5"/>
          <c:tx>
            <c:v>w6</c:v>
          </c:tx>
          <c:spPr>
            <a:solidFill>
              <a:schemeClr val="accent6">
                <a:alpha val="74000"/>
              </a:schemeClr>
            </a:solidFill>
            <a:ln w="25400">
              <a:noFill/>
            </a:ln>
            <a:effectLst>
              <a:innerShdw blurRad="114300">
                <a:schemeClr val="accent6">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Game!$Y$74:$Y$80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108E-4821-B5F9-1037AB5D86A6}"/>
            </c:ext>
          </c:extLst>
        </c:ser>
        <c:ser>
          <c:idx val="6"/>
          <c:order val="6"/>
          <c:tx>
            <c:v>w7</c:v>
          </c:tx>
          <c:spPr>
            <a:solidFill>
              <a:schemeClr val="accent1">
                <a:lumMod val="60000"/>
                <a:alpha val="74000"/>
              </a:schemeClr>
            </a:solidFill>
            <a:ln w="25400">
              <a:noFill/>
            </a:ln>
            <a:effectLst>
              <a:innerShdw blurRad="114300">
                <a:schemeClr val="accent1">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Game!$Y$88:$Y$94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108E-4821-B5F9-1037AB5D86A6}"/>
            </c:ext>
          </c:extLst>
        </c:ser>
        <c:ser>
          <c:idx val="7"/>
          <c:order val="7"/>
          <c:tx>
            <c:v>w8</c:v>
          </c:tx>
          <c:spPr>
            <a:solidFill>
              <a:schemeClr val="accent2">
                <a:lumMod val="60000"/>
                <a:alpha val="74000"/>
              </a:schemeClr>
            </a:solidFill>
            <a:ln w="25400">
              <a:noFill/>
            </a:ln>
            <a:effectLst>
              <a:innerShdw blurRad="114300">
                <a:schemeClr val="accent2">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Game!$Y$102:$Y$108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108E-4821-B5F9-1037AB5D86A6}"/>
            </c:ext>
          </c:extLst>
        </c:ser>
        <c:ser>
          <c:idx val="8"/>
          <c:order val="8"/>
          <c:tx>
            <c:v>w9</c:v>
          </c:tx>
          <c:spPr>
            <a:solidFill>
              <a:schemeClr val="accent3">
                <a:lumMod val="60000"/>
                <a:alpha val="74000"/>
              </a:schemeClr>
            </a:solidFill>
            <a:ln w="25400">
              <a:noFill/>
            </a:ln>
            <a:effectLst>
              <a:innerShdw blurRad="114300">
                <a:schemeClr val="accent3">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Game!$Y$116:$Y$122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108E-4821-B5F9-1037AB5D86A6}"/>
            </c:ext>
          </c:extLst>
        </c:ser>
        <c:ser>
          <c:idx val="9"/>
          <c:order val="9"/>
          <c:tx>
            <c:v>w10</c:v>
          </c:tx>
          <c:spPr>
            <a:solidFill>
              <a:schemeClr val="accent4">
                <a:lumMod val="60000"/>
                <a:alpha val="74000"/>
              </a:schemeClr>
            </a:solidFill>
            <a:ln w="25400">
              <a:noFill/>
            </a:ln>
            <a:effectLst>
              <a:innerShdw blurRad="114300">
                <a:schemeClr val="accent4">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Game!$Y$130:$Y$136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9-108E-4821-B5F9-1037AB5D86A6}"/>
            </c:ext>
          </c:extLst>
        </c:ser>
        <c:ser>
          <c:idx val="10"/>
          <c:order val="10"/>
          <c:tx>
            <c:v>w11</c:v>
          </c:tx>
          <c:spPr>
            <a:solidFill>
              <a:schemeClr val="accent5">
                <a:lumMod val="60000"/>
                <a:alpha val="74000"/>
              </a:schemeClr>
            </a:solidFill>
            <a:ln w="25400">
              <a:noFill/>
            </a:ln>
            <a:effectLst>
              <a:innerShdw blurRad="114300">
                <a:schemeClr val="accent5">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Game!$Y$144:$Y$150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A-108E-4821-B5F9-1037AB5D86A6}"/>
            </c:ext>
          </c:extLst>
        </c:ser>
        <c:ser>
          <c:idx val="11"/>
          <c:order val="11"/>
          <c:tx>
            <c:v>w12</c:v>
          </c:tx>
          <c:spPr>
            <a:solidFill>
              <a:schemeClr val="accent6">
                <a:lumMod val="60000"/>
                <a:alpha val="74000"/>
              </a:schemeClr>
            </a:solidFill>
            <a:ln w="25400">
              <a:noFill/>
            </a:ln>
            <a:effectLst>
              <a:innerShdw blurRad="114300">
                <a:schemeClr val="accent6">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Game!$Y$158:$Y$164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108E-4821-B5F9-1037AB5D86A6}"/>
            </c:ext>
          </c:extLst>
        </c:ser>
        <c:dLbls>
          <c:showLegendKey val="0"/>
          <c:showVal val="1"/>
          <c:showCatName val="0"/>
          <c:showSerName val="0"/>
          <c:showPercent val="0"/>
          <c:showBubbleSize val="0"/>
        </c:dLbls>
        <c:axId val="1306827663"/>
        <c:axId val="1306831983"/>
      </c:areaChart>
      <c:catAx>
        <c:axId val="13068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06831983"/>
        <c:crosses val="autoZero"/>
        <c:auto val="1"/>
        <c:lblAlgn val="ctr"/>
        <c:lblOffset val="100"/>
        <c:noMultiLvlLbl val="0"/>
      </c:catAx>
      <c:valAx>
        <c:axId val="13068319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06827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36.25</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F5F9-4BA9-879C-D485182EF53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Game!$AD$2:$AW$2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Game!$B$169:$O$169</c:f>
              <c:numCache>
                <c:formatCode>0.0%</c:formatCode>
                <c:ptCount val="14"/>
                <c:pt idx="0">
                  <c:v>1.1904761904761904E-2</c:v>
                </c:pt>
                <c:pt idx="1">
                  <c:v>0</c:v>
                </c:pt>
                <c:pt idx="2">
                  <c:v>1.1904761904761904E-2</c:v>
                </c:pt>
                <c:pt idx="3">
                  <c:v>1.1904761904761904E-2</c:v>
                </c:pt>
                <c:pt idx="4">
                  <c:v>1.1904761904761904E-2</c:v>
                </c:pt>
                <c:pt idx="5">
                  <c:v>0</c:v>
                </c:pt>
                <c:pt idx="6">
                  <c:v>0</c:v>
                </c:pt>
                <c:pt idx="7">
                  <c:v>1.1904761904761904E-2</c:v>
                </c:pt>
                <c:pt idx="8">
                  <c:v>0</c:v>
                </c:pt>
                <c:pt idx="9">
                  <c:v>1.1904761904761904E-2</c:v>
                </c:pt>
                <c:pt idx="10">
                  <c:v>1.1904761904761904E-2</c:v>
                </c:pt>
                <c:pt idx="11">
                  <c:v>1.1904761904761904E-2</c:v>
                </c:pt>
                <c:pt idx="12">
                  <c:v>1.1904761904761904E-2</c:v>
                </c:pt>
                <c:pt idx="13">
                  <c:v>1.1904761904761904E-2</c:v>
                </c:pt>
              </c:numCache>
            </c:numRef>
          </c:val>
          <c:extLst>
            <c:ext xmlns:c16="http://schemas.microsoft.com/office/drawing/2014/chart" uri="{C3380CC4-5D6E-409C-BE32-E72D297353CC}">
              <c16:uniqueId val="{00000001-9BD4-449E-996A-DEB437B4E3EA}"/>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36.25</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AB8-4B0D-A036-056334C442E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36.25</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F31E-4EBB-8A56-F35029E57E3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36.25</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A7F-46D7-ACAA-FF5A2E46313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Game!$AD$2:$AW$2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Game!$B$169:$O$169</c:f>
              <c:numCache>
                <c:formatCode>0.0%</c:formatCode>
                <c:ptCount val="14"/>
                <c:pt idx="0">
                  <c:v>1.1904761904761904E-2</c:v>
                </c:pt>
                <c:pt idx="1">
                  <c:v>0</c:v>
                </c:pt>
                <c:pt idx="2">
                  <c:v>1.1904761904761904E-2</c:v>
                </c:pt>
                <c:pt idx="3">
                  <c:v>1.1904761904761904E-2</c:v>
                </c:pt>
                <c:pt idx="4">
                  <c:v>1.1904761904761904E-2</c:v>
                </c:pt>
                <c:pt idx="5">
                  <c:v>0</c:v>
                </c:pt>
                <c:pt idx="6">
                  <c:v>0</c:v>
                </c:pt>
                <c:pt idx="7">
                  <c:v>1.1904761904761904E-2</c:v>
                </c:pt>
                <c:pt idx="8">
                  <c:v>0</c:v>
                </c:pt>
                <c:pt idx="9">
                  <c:v>1.1904761904761904E-2</c:v>
                </c:pt>
                <c:pt idx="10">
                  <c:v>1.1904761904761904E-2</c:v>
                </c:pt>
                <c:pt idx="11">
                  <c:v>1.1904761904761904E-2</c:v>
                </c:pt>
                <c:pt idx="12">
                  <c:v>1.1904761904761904E-2</c:v>
                </c:pt>
                <c:pt idx="13">
                  <c:v>1.1904761904761904E-2</c:v>
                </c:pt>
              </c:numCache>
            </c:numRef>
          </c:val>
          <c:extLst>
            <c:ext xmlns:c16="http://schemas.microsoft.com/office/drawing/2014/chart" uri="{C3380CC4-5D6E-409C-BE32-E72D297353CC}">
              <c16:uniqueId val="{00000001-2933-4CA8-A9DB-11CEE319F227}"/>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Game!$AD$2:$AW$2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Game!$B$169:$O$169</c:f>
              <c:numCache>
                <c:formatCode>0.0%</c:formatCode>
                <c:ptCount val="14"/>
                <c:pt idx="0">
                  <c:v>1.1904761904761904E-2</c:v>
                </c:pt>
                <c:pt idx="1">
                  <c:v>0</c:v>
                </c:pt>
                <c:pt idx="2">
                  <c:v>1.1904761904761904E-2</c:v>
                </c:pt>
                <c:pt idx="3">
                  <c:v>1.1904761904761904E-2</c:v>
                </c:pt>
                <c:pt idx="4">
                  <c:v>1.1904761904761904E-2</c:v>
                </c:pt>
                <c:pt idx="5">
                  <c:v>0</c:v>
                </c:pt>
                <c:pt idx="6">
                  <c:v>0</c:v>
                </c:pt>
                <c:pt idx="7">
                  <c:v>1.1904761904761904E-2</c:v>
                </c:pt>
                <c:pt idx="8">
                  <c:v>0</c:v>
                </c:pt>
                <c:pt idx="9">
                  <c:v>1.1904761904761904E-2</c:v>
                </c:pt>
                <c:pt idx="10">
                  <c:v>1.1904761904761904E-2</c:v>
                </c:pt>
                <c:pt idx="11">
                  <c:v>1.1904761904761904E-2</c:v>
                </c:pt>
                <c:pt idx="12">
                  <c:v>1.1904761904761904E-2</c:v>
                </c:pt>
                <c:pt idx="13">
                  <c:v>1.1904761904761904E-2</c:v>
                </c:pt>
              </c:numCache>
            </c:numRef>
          </c:val>
          <c:extLst>
            <c:ext xmlns:c16="http://schemas.microsoft.com/office/drawing/2014/chart" uri="{C3380CC4-5D6E-409C-BE32-E72D297353CC}">
              <c16:uniqueId val="{00000001-E27A-4B0C-BDDB-E11DED33765B}"/>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Game!$AD$2:$AW$2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f>Game!$B$169:$O$169</c:f>
              <c:numCache>
                <c:formatCode>0.0%</c:formatCode>
                <c:ptCount val="14"/>
                <c:pt idx="0">
                  <c:v>1.1904761904761904E-2</c:v>
                </c:pt>
                <c:pt idx="1">
                  <c:v>0</c:v>
                </c:pt>
                <c:pt idx="2">
                  <c:v>1.1904761904761904E-2</c:v>
                </c:pt>
                <c:pt idx="3">
                  <c:v>1.1904761904761904E-2</c:v>
                </c:pt>
                <c:pt idx="4">
                  <c:v>1.1904761904761904E-2</c:v>
                </c:pt>
                <c:pt idx="5">
                  <c:v>0</c:v>
                </c:pt>
                <c:pt idx="6">
                  <c:v>0</c:v>
                </c:pt>
                <c:pt idx="7">
                  <c:v>1.1904761904761904E-2</c:v>
                </c:pt>
                <c:pt idx="8">
                  <c:v>0</c:v>
                </c:pt>
                <c:pt idx="9">
                  <c:v>1.1904761904761904E-2</c:v>
                </c:pt>
                <c:pt idx="10">
                  <c:v>1.1904761904761904E-2</c:v>
                </c:pt>
                <c:pt idx="11">
                  <c:v>1.1904761904761904E-2</c:v>
                </c:pt>
                <c:pt idx="12">
                  <c:v>1.1904761904761904E-2</c:v>
                </c:pt>
                <c:pt idx="13">
                  <c:v>1.1904761904761904E-2</c:v>
                </c:pt>
              </c:numCache>
            </c:numRef>
          </c:val>
          <c:extLst>
            <c:ext xmlns:c16="http://schemas.microsoft.com/office/drawing/2014/chart" uri="{C3380CC4-5D6E-409C-BE32-E72D297353CC}">
              <c16:uniqueId val="{00000001-0E40-435F-8778-E04B6042B01C}"/>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36.25</c:v>
                </c:pt>
              </c:numCache>
            </c:numRef>
          </c:val>
          <c:extLst>
            <c:ext xmlns:c16="http://schemas.microsoft.com/office/drawing/2014/chart" uri="{C3380CC4-5D6E-409C-BE32-E72D297353CC}">
              <c16:uniqueId val="{00000000-37D5-4BAE-922F-475FFC6343AD}"/>
            </c:ext>
          </c:extLst>
        </c:ser>
        <c:ser>
          <c:idx val="1"/>
          <c:order val="1"/>
          <c:tx>
            <c:v>Teu</c:v>
          </c:tx>
          <c:spPr>
            <a:solidFill>
              <a:schemeClr val="accent2"/>
            </a:solidFill>
            <a:ln>
              <a:noFill/>
            </a:ln>
            <a:effectLst/>
          </c:spPr>
          <c:invertIfNegative val="0"/>
          <c:val>
            <c:numRef>
              <c:f>Game!$AB$159</c:f>
              <c:numCache>
                <c:formatCode>General</c:formatCode>
                <c:ptCount val="1"/>
                <c:pt idx="0">
                  <c:v>0</c:v>
                </c:pt>
              </c:numCache>
            </c:numRef>
          </c:val>
          <c:extLst>
            <c:ext xmlns:c16="http://schemas.microsoft.com/office/drawing/2014/chart" uri="{C3380CC4-5D6E-409C-BE32-E72D297353CC}">
              <c16:uniqueId val="{00000001-37D5-4BAE-922F-475FFC6343AD}"/>
            </c:ext>
          </c:extLst>
        </c:ser>
        <c:ser>
          <c:idx val="2"/>
          <c:order val="2"/>
          <c:tx>
            <c:v>Wed</c:v>
          </c:tx>
          <c:spPr>
            <a:solidFill>
              <a:schemeClr val="accent3"/>
            </a:solidFill>
            <a:ln>
              <a:noFill/>
            </a:ln>
            <a:effectLst/>
          </c:spPr>
          <c:invertIfNegative val="0"/>
          <c:val>
            <c:numRef>
              <c:f>Game!$AB$160</c:f>
              <c:numCache>
                <c:formatCode>General</c:formatCode>
                <c:ptCount val="1"/>
                <c:pt idx="0">
                  <c:v>0</c:v>
                </c:pt>
              </c:numCache>
            </c:numRef>
          </c:val>
          <c:extLst>
            <c:ext xmlns:c16="http://schemas.microsoft.com/office/drawing/2014/chart" uri="{C3380CC4-5D6E-409C-BE32-E72D297353CC}">
              <c16:uniqueId val="{00000002-37D5-4BAE-922F-475FFC6343AD}"/>
            </c:ext>
          </c:extLst>
        </c:ser>
        <c:ser>
          <c:idx val="3"/>
          <c:order val="3"/>
          <c:tx>
            <c:v>Thu</c:v>
          </c:tx>
          <c:spPr>
            <a:solidFill>
              <a:schemeClr val="accent4"/>
            </a:solidFill>
            <a:ln>
              <a:noFill/>
            </a:ln>
            <a:effectLst/>
          </c:spPr>
          <c:invertIfNegative val="0"/>
          <c:val>
            <c:numRef>
              <c:f>Game!$AB$161</c:f>
              <c:numCache>
                <c:formatCode>General</c:formatCode>
                <c:ptCount val="1"/>
                <c:pt idx="0">
                  <c:v>0</c:v>
                </c:pt>
              </c:numCache>
            </c:numRef>
          </c:val>
          <c:extLst>
            <c:ext xmlns:c16="http://schemas.microsoft.com/office/drawing/2014/chart" uri="{C3380CC4-5D6E-409C-BE32-E72D297353CC}">
              <c16:uniqueId val="{00000003-37D5-4BAE-922F-475FFC6343AD}"/>
            </c:ext>
          </c:extLst>
        </c:ser>
        <c:ser>
          <c:idx val="4"/>
          <c:order val="4"/>
          <c:tx>
            <c:v>Fri</c:v>
          </c:tx>
          <c:spPr>
            <a:solidFill>
              <a:schemeClr val="accent5"/>
            </a:solidFill>
            <a:ln>
              <a:noFill/>
            </a:ln>
            <a:effectLst/>
          </c:spPr>
          <c:invertIfNegative val="0"/>
          <c:val>
            <c:numRef>
              <c:f>Game!$AB$162</c:f>
              <c:numCache>
                <c:formatCode>General</c:formatCode>
                <c:ptCount val="1"/>
                <c:pt idx="0">
                  <c:v>0</c:v>
                </c:pt>
              </c:numCache>
            </c:numRef>
          </c:val>
          <c:extLst>
            <c:ext xmlns:c16="http://schemas.microsoft.com/office/drawing/2014/chart" uri="{C3380CC4-5D6E-409C-BE32-E72D297353CC}">
              <c16:uniqueId val="{00000004-37D5-4BAE-922F-475FFC6343AD}"/>
            </c:ext>
          </c:extLst>
        </c:ser>
        <c:ser>
          <c:idx val="5"/>
          <c:order val="5"/>
          <c:tx>
            <c:v>Sat</c:v>
          </c:tx>
          <c:spPr>
            <a:solidFill>
              <a:schemeClr val="accent6"/>
            </a:solidFill>
            <a:ln>
              <a:noFill/>
            </a:ln>
            <a:effectLst/>
          </c:spPr>
          <c:invertIfNegative val="0"/>
          <c:val>
            <c:numRef>
              <c:f>Game!$AB$163</c:f>
              <c:numCache>
                <c:formatCode>General</c:formatCode>
                <c:ptCount val="1"/>
                <c:pt idx="0">
                  <c:v>0</c:v>
                </c:pt>
              </c:numCache>
            </c:numRef>
          </c:val>
          <c:extLst>
            <c:ext xmlns:c16="http://schemas.microsoft.com/office/drawing/2014/chart" uri="{C3380CC4-5D6E-409C-BE32-E72D297353CC}">
              <c16:uniqueId val="{00000005-37D5-4BAE-922F-475FFC6343AD}"/>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0</c:v>
                </c:pt>
              </c:numCache>
            </c:numRef>
          </c:val>
          <c:extLst>
            <c:ext xmlns:c16="http://schemas.microsoft.com/office/drawing/2014/chart" uri="{C3380CC4-5D6E-409C-BE32-E72D297353CC}">
              <c16:uniqueId val="{00000006-37D5-4BAE-922F-475FFC6343AD}"/>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36.25</c:v>
                </c:pt>
              </c:numCache>
            </c:numRef>
          </c:val>
          <c:extLst>
            <c:ext xmlns:c16="http://schemas.microsoft.com/office/drawing/2014/chart" uri="{C3380CC4-5D6E-409C-BE32-E72D297353CC}">
              <c16:uniqueId val="{00000000-1874-4AC5-A18D-24B59D1B394A}"/>
            </c:ext>
          </c:extLst>
        </c:ser>
        <c:ser>
          <c:idx val="1"/>
          <c:order val="1"/>
          <c:tx>
            <c:v>Teu</c:v>
          </c:tx>
          <c:spPr>
            <a:solidFill>
              <a:schemeClr val="accent2"/>
            </a:solidFill>
            <a:ln>
              <a:noFill/>
            </a:ln>
            <a:effectLst/>
          </c:spPr>
          <c:invertIfNegative val="0"/>
          <c:val>
            <c:numRef>
              <c:f>Game!$AB$159</c:f>
              <c:numCache>
                <c:formatCode>General</c:formatCode>
                <c:ptCount val="1"/>
                <c:pt idx="0">
                  <c:v>0</c:v>
                </c:pt>
              </c:numCache>
            </c:numRef>
          </c:val>
          <c:extLst>
            <c:ext xmlns:c16="http://schemas.microsoft.com/office/drawing/2014/chart" uri="{C3380CC4-5D6E-409C-BE32-E72D297353CC}">
              <c16:uniqueId val="{00000001-1874-4AC5-A18D-24B59D1B394A}"/>
            </c:ext>
          </c:extLst>
        </c:ser>
        <c:ser>
          <c:idx val="2"/>
          <c:order val="2"/>
          <c:tx>
            <c:v>Wed</c:v>
          </c:tx>
          <c:spPr>
            <a:solidFill>
              <a:schemeClr val="accent3"/>
            </a:solidFill>
            <a:ln>
              <a:noFill/>
            </a:ln>
            <a:effectLst/>
          </c:spPr>
          <c:invertIfNegative val="0"/>
          <c:val>
            <c:numRef>
              <c:f>Game!$AB$160</c:f>
              <c:numCache>
                <c:formatCode>General</c:formatCode>
                <c:ptCount val="1"/>
                <c:pt idx="0">
                  <c:v>0</c:v>
                </c:pt>
              </c:numCache>
            </c:numRef>
          </c:val>
          <c:extLst>
            <c:ext xmlns:c16="http://schemas.microsoft.com/office/drawing/2014/chart" uri="{C3380CC4-5D6E-409C-BE32-E72D297353CC}">
              <c16:uniqueId val="{00000002-1874-4AC5-A18D-24B59D1B394A}"/>
            </c:ext>
          </c:extLst>
        </c:ser>
        <c:ser>
          <c:idx val="3"/>
          <c:order val="3"/>
          <c:tx>
            <c:v>Thu</c:v>
          </c:tx>
          <c:spPr>
            <a:solidFill>
              <a:schemeClr val="accent4"/>
            </a:solidFill>
            <a:ln>
              <a:noFill/>
            </a:ln>
            <a:effectLst/>
          </c:spPr>
          <c:invertIfNegative val="0"/>
          <c:val>
            <c:numRef>
              <c:f>Game!$AB$161</c:f>
              <c:numCache>
                <c:formatCode>General</c:formatCode>
                <c:ptCount val="1"/>
                <c:pt idx="0">
                  <c:v>0</c:v>
                </c:pt>
              </c:numCache>
            </c:numRef>
          </c:val>
          <c:extLst>
            <c:ext xmlns:c16="http://schemas.microsoft.com/office/drawing/2014/chart" uri="{C3380CC4-5D6E-409C-BE32-E72D297353CC}">
              <c16:uniqueId val="{00000003-1874-4AC5-A18D-24B59D1B394A}"/>
            </c:ext>
          </c:extLst>
        </c:ser>
        <c:ser>
          <c:idx val="4"/>
          <c:order val="4"/>
          <c:tx>
            <c:v>Fri</c:v>
          </c:tx>
          <c:spPr>
            <a:solidFill>
              <a:schemeClr val="accent5"/>
            </a:solidFill>
            <a:ln>
              <a:noFill/>
            </a:ln>
            <a:effectLst/>
          </c:spPr>
          <c:invertIfNegative val="0"/>
          <c:val>
            <c:numRef>
              <c:f>Game!$AB$162</c:f>
              <c:numCache>
                <c:formatCode>General</c:formatCode>
                <c:ptCount val="1"/>
                <c:pt idx="0">
                  <c:v>0</c:v>
                </c:pt>
              </c:numCache>
            </c:numRef>
          </c:val>
          <c:extLst>
            <c:ext xmlns:c16="http://schemas.microsoft.com/office/drawing/2014/chart" uri="{C3380CC4-5D6E-409C-BE32-E72D297353CC}">
              <c16:uniqueId val="{00000004-1874-4AC5-A18D-24B59D1B394A}"/>
            </c:ext>
          </c:extLst>
        </c:ser>
        <c:ser>
          <c:idx val="5"/>
          <c:order val="5"/>
          <c:tx>
            <c:v>Sat</c:v>
          </c:tx>
          <c:spPr>
            <a:solidFill>
              <a:schemeClr val="accent6"/>
            </a:solidFill>
            <a:ln>
              <a:noFill/>
            </a:ln>
            <a:effectLst/>
          </c:spPr>
          <c:invertIfNegative val="0"/>
          <c:val>
            <c:numRef>
              <c:f>Game!$AB$163</c:f>
              <c:numCache>
                <c:formatCode>General</c:formatCode>
                <c:ptCount val="1"/>
                <c:pt idx="0">
                  <c:v>0</c:v>
                </c:pt>
              </c:numCache>
            </c:numRef>
          </c:val>
          <c:extLst>
            <c:ext xmlns:c16="http://schemas.microsoft.com/office/drawing/2014/chart" uri="{C3380CC4-5D6E-409C-BE32-E72D297353CC}">
              <c16:uniqueId val="{00000005-1874-4AC5-A18D-24B59D1B394A}"/>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0</c:v>
                </c:pt>
              </c:numCache>
            </c:numRef>
          </c:val>
          <c:extLst>
            <c:ext xmlns:c16="http://schemas.microsoft.com/office/drawing/2014/chart" uri="{C3380CC4-5D6E-409C-BE32-E72D297353CC}">
              <c16:uniqueId val="{00000006-1874-4AC5-A18D-24B59D1B394A}"/>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36.25</c:v>
                </c:pt>
              </c:numCache>
            </c:numRef>
          </c:val>
          <c:extLst>
            <c:ext xmlns:c16="http://schemas.microsoft.com/office/drawing/2014/chart" uri="{C3380CC4-5D6E-409C-BE32-E72D297353CC}">
              <c16:uniqueId val="{00000000-70F2-4597-AC13-F3771950EE29}"/>
            </c:ext>
          </c:extLst>
        </c:ser>
        <c:ser>
          <c:idx val="1"/>
          <c:order val="1"/>
          <c:tx>
            <c:v>Teu</c:v>
          </c:tx>
          <c:spPr>
            <a:solidFill>
              <a:schemeClr val="accent2"/>
            </a:solidFill>
            <a:ln>
              <a:noFill/>
            </a:ln>
            <a:effectLst/>
          </c:spPr>
          <c:invertIfNegative val="0"/>
          <c:val>
            <c:numRef>
              <c:f>Game!$AB$159</c:f>
              <c:numCache>
                <c:formatCode>General</c:formatCode>
                <c:ptCount val="1"/>
                <c:pt idx="0">
                  <c:v>0</c:v>
                </c:pt>
              </c:numCache>
            </c:numRef>
          </c:val>
          <c:extLst>
            <c:ext xmlns:c16="http://schemas.microsoft.com/office/drawing/2014/chart" uri="{C3380CC4-5D6E-409C-BE32-E72D297353CC}">
              <c16:uniqueId val="{00000001-70F2-4597-AC13-F3771950EE29}"/>
            </c:ext>
          </c:extLst>
        </c:ser>
        <c:ser>
          <c:idx val="2"/>
          <c:order val="2"/>
          <c:tx>
            <c:v>Wed</c:v>
          </c:tx>
          <c:spPr>
            <a:solidFill>
              <a:schemeClr val="accent3"/>
            </a:solidFill>
            <a:ln>
              <a:noFill/>
            </a:ln>
            <a:effectLst/>
          </c:spPr>
          <c:invertIfNegative val="0"/>
          <c:val>
            <c:numRef>
              <c:f>Game!$AB$160</c:f>
              <c:numCache>
                <c:formatCode>General</c:formatCode>
                <c:ptCount val="1"/>
                <c:pt idx="0">
                  <c:v>0</c:v>
                </c:pt>
              </c:numCache>
            </c:numRef>
          </c:val>
          <c:extLst>
            <c:ext xmlns:c16="http://schemas.microsoft.com/office/drawing/2014/chart" uri="{C3380CC4-5D6E-409C-BE32-E72D297353CC}">
              <c16:uniqueId val="{00000002-70F2-4597-AC13-F3771950EE29}"/>
            </c:ext>
          </c:extLst>
        </c:ser>
        <c:ser>
          <c:idx val="3"/>
          <c:order val="3"/>
          <c:tx>
            <c:v>Thu</c:v>
          </c:tx>
          <c:spPr>
            <a:solidFill>
              <a:schemeClr val="accent4"/>
            </a:solidFill>
            <a:ln>
              <a:noFill/>
            </a:ln>
            <a:effectLst/>
          </c:spPr>
          <c:invertIfNegative val="0"/>
          <c:val>
            <c:numRef>
              <c:f>Game!$AB$161</c:f>
              <c:numCache>
                <c:formatCode>General</c:formatCode>
                <c:ptCount val="1"/>
                <c:pt idx="0">
                  <c:v>0</c:v>
                </c:pt>
              </c:numCache>
            </c:numRef>
          </c:val>
          <c:extLst>
            <c:ext xmlns:c16="http://schemas.microsoft.com/office/drawing/2014/chart" uri="{C3380CC4-5D6E-409C-BE32-E72D297353CC}">
              <c16:uniqueId val="{00000003-70F2-4597-AC13-F3771950EE29}"/>
            </c:ext>
          </c:extLst>
        </c:ser>
        <c:ser>
          <c:idx val="4"/>
          <c:order val="4"/>
          <c:tx>
            <c:v>Fri</c:v>
          </c:tx>
          <c:spPr>
            <a:solidFill>
              <a:schemeClr val="accent5"/>
            </a:solidFill>
            <a:ln>
              <a:noFill/>
            </a:ln>
            <a:effectLst/>
          </c:spPr>
          <c:invertIfNegative val="0"/>
          <c:val>
            <c:numRef>
              <c:f>Game!$AB$162</c:f>
              <c:numCache>
                <c:formatCode>General</c:formatCode>
                <c:ptCount val="1"/>
                <c:pt idx="0">
                  <c:v>0</c:v>
                </c:pt>
              </c:numCache>
            </c:numRef>
          </c:val>
          <c:extLst>
            <c:ext xmlns:c16="http://schemas.microsoft.com/office/drawing/2014/chart" uri="{C3380CC4-5D6E-409C-BE32-E72D297353CC}">
              <c16:uniqueId val="{00000004-70F2-4597-AC13-F3771950EE29}"/>
            </c:ext>
          </c:extLst>
        </c:ser>
        <c:ser>
          <c:idx val="5"/>
          <c:order val="5"/>
          <c:tx>
            <c:v>Sat</c:v>
          </c:tx>
          <c:spPr>
            <a:solidFill>
              <a:schemeClr val="accent6"/>
            </a:solidFill>
            <a:ln>
              <a:noFill/>
            </a:ln>
            <a:effectLst/>
          </c:spPr>
          <c:invertIfNegative val="0"/>
          <c:val>
            <c:numRef>
              <c:f>Game!$AB$163</c:f>
              <c:numCache>
                <c:formatCode>General</c:formatCode>
                <c:ptCount val="1"/>
                <c:pt idx="0">
                  <c:v>0</c:v>
                </c:pt>
              </c:numCache>
            </c:numRef>
          </c:val>
          <c:extLst>
            <c:ext xmlns:c16="http://schemas.microsoft.com/office/drawing/2014/chart" uri="{C3380CC4-5D6E-409C-BE32-E72D297353CC}">
              <c16:uniqueId val="{00000005-70F2-4597-AC13-F3771950EE29}"/>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0</c:v>
                </c:pt>
              </c:numCache>
            </c:numRef>
          </c:val>
          <c:extLst>
            <c:ext xmlns:c16="http://schemas.microsoft.com/office/drawing/2014/chart" uri="{C3380CC4-5D6E-409C-BE32-E72D297353CC}">
              <c16:uniqueId val="{00000006-70F2-4597-AC13-F3771950EE29}"/>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36.25</c:v>
                </c:pt>
              </c:numCache>
            </c:numRef>
          </c:val>
          <c:extLst>
            <c:ext xmlns:c16="http://schemas.microsoft.com/office/drawing/2014/chart" uri="{C3380CC4-5D6E-409C-BE32-E72D297353CC}">
              <c16:uniqueId val="{00000000-9864-492D-9A63-524B794B20D4}"/>
            </c:ext>
          </c:extLst>
        </c:ser>
        <c:ser>
          <c:idx val="1"/>
          <c:order val="1"/>
          <c:tx>
            <c:v>Teu</c:v>
          </c:tx>
          <c:spPr>
            <a:solidFill>
              <a:schemeClr val="accent2"/>
            </a:solidFill>
            <a:ln>
              <a:noFill/>
            </a:ln>
            <a:effectLst/>
          </c:spPr>
          <c:invertIfNegative val="0"/>
          <c:val>
            <c:numRef>
              <c:f>Game!$AB$159</c:f>
              <c:numCache>
                <c:formatCode>General</c:formatCode>
                <c:ptCount val="1"/>
                <c:pt idx="0">
                  <c:v>0</c:v>
                </c:pt>
              </c:numCache>
            </c:numRef>
          </c:val>
          <c:extLst>
            <c:ext xmlns:c16="http://schemas.microsoft.com/office/drawing/2014/chart" uri="{C3380CC4-5D6E-409C-BE32-E72D297353CC}">
              <c16:uniqueId val="{00000001-9864-492D-9A63-524B794B20D4}"/>
            </c:ext>
          </c:extLst>
        </c:ser>
        <c:ser>
          <c:idx val="2"/>
          <c:order val="2"/>
          <c:tx>
            <c:v>Wed</c:v>
          </c:tx>
          <c:spPr>
            <a:solidFill>
              <a:schemeClr val="accent3"/>
            </a:solidFill>
            <a:ln>
              <a:noFill/>
            </a:ln>
            <a:effectLst/>
          </c:spPr>
          <c:invertIfNegative val="0"/>
          <c:val>
            <c:numRef>
              <c:f>Game!$AB$160</c:f>
              <c:numCache>
                <c:formatCode>General</c:formatCode>
                <c:ptCount val="1"/>
                <c:pt idx="0">
                  <c:v>0</c:v>
                </c:pt>
              </c:numCache>
            </c:numRef>
          </c:val>
          <c:extLst>
            <c:ext xmlns:c16="http://schemas.microsoft.com/office/drawing/2014/chart" uri="{C3380CC4-5D6E-409C-BE32-E72D297353CC}">
              <c16:uniqueId val="{00000002-9864-492D-9A63-524B794B20D4}"/>
            </c:ext>
          </c:extLst>
        </c:ser>
        <c:ser>
          <c:idx val="3"/>
          <c:order val="3"/>
          <c:tx>
            <c:v>Thu</c:v>
          </c:tx>
          <c:spPr>
            <a:solidFill>
              <a:schemeClr val="accent4"/>
            </a:solidFill>
            <a:ln>
              <a:noFill/>
            </a:ln>
            <a:effectLst/>
          </c:spPr>
          <c:invertIfNegative val="0"/>
          <c:val>
            <c:numRef>
              <c:f>Game!$AB$161</c:f>
              <c:numCache>
                <c:formatCode>General</c:formatCode>
                <c:ptCount val="1"/>
                <c:pt idx="0">
                  <c:v>0</c:v>
                </c:pt>
              </c:numCache>
            </c:numRef>
          </c:val>
          <c:extLst>
            <c:ext xmlns:c16="http://schemas.microsoft.com/office/drawing/2014/chart" uri="{C3380CC4-5D6E-409C-BE32-E72D297353CC}">
              <c16:uniqueId val="{00000003-9864-492D-9A63-524B794B20D4}"/>
            </c:ext>
          </c:extLst>
        </c:ser>
        <c:ser>
          <c:idx val="4"/>
          <c:order val="4"/>
          <c:tx>
            <c:v>Fri</c:v>
          </c:tx>
          <c:spPr>
            <a:solidFill>
              <a:schemeClr val="accent5"/>
            </a:solidFill>
            <a:ln>
              <a:noFill/>
            </a:ln>
            <a:effectLst/>
          </c:spPr>
          <c:invertIfNegative val="0"/>
          <c:val>
            <c:numRef>
              <c:f>Game!$AB$162</c:f>
              <c:numCache>
                <c:formatCode>General</c:formatCode>
                <c:ptCount val="1"/>
                <c:pt idx="0">
                  <c:v>0</c:v>
                </c:pt>
              </c:numCache>
            </c:numRef>
          </c:val>
          <c:extLst>
            <c:ext xmlns:c16="http://schemas.microsoft.com/office/drawing/2014/chart" uri="{C3380CC4-5D6E-409C-BE32-E72D297353CC}">
              <c16:uniqueId val="{00000004-9864-492D-9A63-524B794B20D4}"/>
            </c:ext>
          </c:extLst>
        </c:ser>
        <c:ser>
          <c:idx val="5"/>
          <c:order val="5"/>
          <c:tx>
            <c:v>Sat</c:v>
          </c:tx>
          <c:spPr>
            <a:solidFill>
              <a:schemeClr val="accent6"/>
            </a:solidFill>
            <a:ln>
              <a:noFill/>
            </a:ln>
            <a:effectLst/>
          </c:spPr>
          <c:invertIfNegative val="0"/>
          <c:val>
            <c:numRef>
              <c:f>Game!$AB$163</c:f>
              <c:numCache>
                <c:formatCode>General</c:formatCode>
                <c:ptCount val="1"/>
                <c:pt idx="0">
                  <c:v>0</c:v>
                </c:pt>
              </c:numCache>
            </c:numRef>
          </c:val>
          <c:extLst>
            <c:ext xmlns:c16="http://schemas.microsoft.com/office/drawing/2014/chart" uri="{C3380CC4-5D6E-409C-BE32-E72D297353CC}">
              <c16:uniqueId val="{00000005-9864-492D-9A63-524B794B20D4}"/>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0</c:v>
                </c:pt>
              </c:numCache>
            </c:numRef>
          </c:val>
          <c:extLst>
            <c:ext xmlns:c16="http://schemas.microsoft.com/office/drawing/2014/chart" uri="{C3380CC4-5D6E-409C-BE32-E72D297353CC}">
              <c16:uniqueId val="{00000006-9864-492D-9A63-524B794B20D4}"/>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r>
              <a:rPr lang="en-GB" sz="1600" b="0" i="0" u="none" strike="noStrike" kern="1200" cap="all" baseline="0">
                <a:solidFill>
                  <a:schemeClr val="tx1"/>
                </a:solidFill>
              </a:rPr>
              <a:t>Hobby Contribution distribution</a:t>
            </a:r>
          </a:p>
        </c:rich>
      </c:tx>
      <c:layout>
        <c:manualLayout>
          <c:xMode val="edge"/>
          <c:yMode val="edge"/>
          <c:x val="2.7082245643535795E-3"/>
          <c:y val="0"/>
        </c:manualLayout>
      </c:layout>
      <c:overlay val="0"/>
      <c:spPr>
        <a:noFill/>
        <a:ln>
          <a:noFill/>
        </a:ln>
        <a:effectLst/>
      </c:spPr>
      <c:txPr>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C4E-4B00-8CCC-674E4DE61E8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C4E-4B00-8CCC-674E4DE61E8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C4E-4B00-8CCC-674E4DE61E8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C4E-4B00-8CCC-674E4DE61E8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C4E-4B00-8CCC-674E4DE61E8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C4E-4B00-8CCC-674E4DE61E8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C4E-4B00-8CCC-674E4DE61E8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C4E-4B00-8CCC-674E4DE61E8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C4E-4B00-8CCC-674E4DE61E8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C4E-4B00-8CCC-674E4DE61E8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C4E-4B00-8CCC-674E4DE61E8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C4E-4B00-8CCC-674E4DE61E8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2C4E-4B00-8CCC-674E4DE61E8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2C4E-4B00-8CCC-674E4DE61E8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2C4E-4B00-8CCC-674E4DE61E8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2C4E-4B00-8CCC-674E4DE61E8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2C4E-4B00-8CCC-674E4DE61E8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1DC2-4588-B556-8F1F75674A6C}"/>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807B-4C73-9778-C93EA18FA2AD}"/>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2C4E-4B00-8CCC-674E4DE61E8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2C4E-4B00-8CCC-674E4DE61E8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2C4E-4B00-8CCC-674E4DE61E8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2C4E-4B00-8CCC-674E4DE61E8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2C4E-4B00-8CCC-674E4DE61E8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2C4E-4B00-8CCC-674E4DE61E8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2C4E-4B00-8CCC-674E4DE61E8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2C4E-4B00-8CCC-674E4DE61E8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2C4E-4B00-8CCC-674E4DE61E8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2C4E-4B00-8CCC-674E4DE61E8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2C4E-4B00-8CCC-674E4DE61E8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2C4E-4B00-8CCC-674E4DE61E8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2C4E-4B00-8CCC-674E4DE61E8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2C4E-4B00-8CCC-674E4DE61E8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2C4E-4B00-8CCC-674E4DE61E8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2C4E-4B00-8CCC-674E4DE61E8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2C4E-4B00-8CCC-674E4DE61E8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2C4E-4B00-8CCC-674E4DE61E8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8-1DC2-4588-B556-8F1F75674A6C}"/>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xmlns:c15="http://schemas.microsoft.com/office/drawing/2012/chart">
                <c:ext xmlns:c16="http://schemas.microsoft.com/office/drawing/2014/chart" uri="{C3380CC4-5D6E-409C-BE32-E72D297353CC}">
                  <c16:uniqueId val="{00000029-807B-4C73-9778-C93EA18FA2AD}"/>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2C4E-4B00-8CCC-674E4DE61E82}"/>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Game!$AD$2:$AW$2</c15:sqref>
                  </c15:fullRef>
                </c:ext>
              </c:extLst>
              <c:f>Game!$AD$2:$AW$2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Game!$B$168:$V$168</c15:sqref>
                  </c15:fullRef>
                </c:ext>
              </c:extLst>
              <c:f>Game!$B$168:$U$168</c:f>
              <c:numCache>
                <c:formatCode>General</c:formatCode>
                <c:ptCount val="20"/>
                <c:pt idx="0">
                  <c:v>2</c:v>
                </c:pt>
                <c:pt idx="1">
                  <c:v>0</c:v>
                </c:pt>
                <c:pt idx="2">
                  <c:v>5</c:v>
                </c:pt>
                <c:pt idx="3">
                  <c:v>9</c:v>
                </c:pt>
                <c:pt idx="4">
                  <c:v>4</c:v>
                </c:pt>
                <c:pt idx="5">
                  <c:v>0</c:v>
                </c:pt>
                <c:pt idx="6">
                  <c:v>0</c:v>
                </c:pt>
                <c:pt idx="7">
                  <c:v>3</c:v>
                </c:pt>
                <c:pt idx="8">
                  <c:v>0</c:v>
                </c:pt>
                <c:pt idx="9">
                  <c:v>0.75</c:v>
                </c:pt>
                <c:pt idx="10">
                  <c:v>2</c:v>
                </c:pt>
                <c:pt idx="11">
                  <c:v>1</c:v>
                </c:pt>
                <c:pt idx="12">
                  <c:v>2.5</c:v>
                </c:pt>
                <c:pt idx="13">
                  <c:v>2</c:v>
                </c:pt>
                <c:pt idx="14">
                  <c:v>0</c:v>
                </c:pt>
                <c:pt idx="15">
                  <c:v>0</c:v>
                </c:pt>
                <c:pt idx="16">
                  <c:v>1</c:v>
                </c:pt>
                <c:pt idx="17">
                  <c:v>3</c:v>
                </c:pt>
                <c:pt idx="18">
                  <c:v>0</c:v>
                </c:pt>
                <c:pt idx="19">
                  <c:v>-1</c:v>
                </c:pt>
              </c:numCache>
            </c:numRef>
          </c:val>
          <c:extLst>
            <c:ext xmlns:c15="http://schemas.microsoft.com/office/drawing/2012/chart" uri="{02D57815-91ED-43cb-92C2-25804820EDAC}">
              <c15:categoryFilterExceptions>
                <c15:categoryFilterException>
                  <c15:sqref>Game!$V$168</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9-99E3-4C58-AF0C-3AB186F73F75}"/>
                      </c:ext>
                    </c:extLst>
                  </c15:dLbl>
                </c15:categoryFilterException>
              </c15:categoryFilterExceptions>
            </c:ext>
            <c:ext xmlns:c16="http://schemas.microsoft.com/office/drawing/2014/chart" uri="{C3380CC4-5D6E-409C-BE32-E72D297353CC}">
              <c16:uniqueId val="{00000028-2C4E-4B00-8CCC-674E4DE61E8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r>
              <a:rPr lang="en-GB" sz="1600" b="0" i="0" u="none" strike="noStrike" kern="1200" cap="all" baseline="0">
                <a:solidFill>
                  <a:schemeClr val="tx1"/>
                </a:solidFill>
              </a:rPr>
              <a:t>Hobby Contribution distribution</a:t>
            </a:r>
          </a:p>
        </c:rich>
      </c:tx>
      <c:layout>
        <c:manualLayout>
          <c:xMode val="edge"/>
          <c:yMode val="edge"/>
          <c:x val="1.6597116491057849E-2"/>
          <c:y val="0"/>
        </c:manualLayout>
      </c:layout>
      <c:overlay val="0"/>
      <c:spPr>
        <a:noFill/>
        <a:ln>
          <a:noFill/>
        </a:ln>
        <a:effectLst/>
      </c:spPr>
      <c:txPr>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78-4938-AF3F-592F2FA23D1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178-4938-AF3F-592F2FA23D1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178-4938-AF3F-592F2FA23D1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178-4938-AF3F-592F2FA23D1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178-4938-AF3F-592F2FA23D1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178-4938-AF3F-592F2FA23D1F}"/>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178-4938-AF3F-592F2FA23D1F}"/>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178-4938-AF3F-592F2FA23D1F}"/>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7178-4938-AF3F-592F2FA23D1F}"/>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7178-4938-AF3F-592F2FA23D1F}"/>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7178-4938-AF3F-592F2FA23D1F}"/>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7178-4938-AF3F-592F2FA23D1F}"/>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7178-4938-AF3F-592F2FA23D1F}"/>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7178-4938-AF3F-592F2FA23D1F}"/>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7178-4938-AF3F-592F2FA23D1F}"/>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7178-4938-AF3F-592F2FA23D1F}"/>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7178-4938-AF3F-592F2FA23D1F}"/>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BEBD-4E23-B9B4-37194AFC9CDF}"/>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C18E-4DCE-8A18-9304C374B66A}"/>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7178-4938-AF3F-592F2FA23D1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7178-4938-AF3F-592F2FA23D1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7178-4938-AF3F-592F2FA23D1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7178-4938-AF3F-592F2FA23D1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7178-4938-AF3F-592F2FA23D1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7178-4938-AF3F-592F2FA23D1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7178-4938-AF3F-592F2FA23D1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7178-4938-AF3F-592F2FA23D1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7178-4938-AF3F-592F2FA23D1F}"/>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7178-4938-AF3F-592F2FA23D1F}"/>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7178-4938-AF3F-592F2FA23D1F}"/>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7178-4938-AF3F-592F2FA23D1F}"/>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7178-4938-AF3F-592F2FA23D1F}"/>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7178-4938-AF3F-592F2FA23D1F}"/>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7178-4938-AF3F-592F2FA23D1F}"/>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7178-4938-AF3F-592F2FA23D1F}"/>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7178-4938-AF3F-592F2FA23D1F}"/>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7178-4938-AF3F-592F2FA23D1F}"/>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8-BEBD-4E23-B9B4-37194AFC9CDF}"/>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xmlns:c15="http://schemas.microsoft.com/office/drawing/2012/chart">
                <c:ext xmlns:c16="http://schemas.microsoft.com/office/drawing/2014/chart" uri="{C3380CC4-5D6E-409C-BE32-E72D297353CC}">
                  <c16:uniqueId val="{00000029-C18E-4DCE-8A18-9304C374B66A}"/>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7178-4938-AF3F-592F2FA23D1F}"/>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Game!$AD$2:$AW$2</c15:sqref>
                  </c15:fullRef>
                </c:ext>
              </c:extLst>
              <c:f>Game!$AD$2:$AW$2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Game!$B$168:$V$168</c15:sqref>
                  </c15:fullRef>
                </c:ext>
              </c:extLst>
              <c:f>Game!$B$168:$U$168</c:f>
              <c:numCache>
                <c:formatCode>General</c:formatCode>
                <c:ptCount val="20"/>
                <c:pt idx="0">
                  <c:v>2</c:v>
                </c:pt>
                <c:pt idx="1">
                  <c:v>0</c:v>
                </c:pt>
                <c:pt idx="2">
                  <c:v>5</c:v>
                </c:pt>
                <c:pt idx="3">
                  <c:v>9</c:v>
                </c:pt>
                <c:pt idx="4">
                  <c:v>4</c:v>
                </c:pt>
                <c:pt idx="5">
                  <c:v>0</c:v>
                </c:pt>
                <c:pt idx="6">
                  <c:v>0</c:v>
                </c:pt>
                <c:pt idx="7">
                  <c:v>3</c:v>
                </c:pt>
                <c:pt idx="8">
                  <c:v>0</c:v>
                </c:pt>
                <c:pt idx="9">
                  <c:v>0.75</c:v>
                </c:pt>
                <c:pt idx="10">
                  <c:v>2</c:v>
                </c:pt>
                <c:pt idx="11">
                  <c:v>1</c:v>
                </c:pt>
                <c:pt idx="12">
                  <c:v>2.5</c:v>
                </c:pt>
                <c:pt idx="13">
                  <c:v>2</c:v>
                </c:pt>
                <c:pt idx="14">
                  <c:v>0</c:v>
                </c:pt>
                <c:pt idx="15">
                  <c:v>0</c:v>
                </c:pt>
                <c:pt idx="16">
                  <c:v>1</c:v>
                </c:pt>
                <c:pt idx="17">
                  <c:v>3</c:v>
                </c:pt>
                <c:pt idx="18">
                  <c:v>0</c:v>
                </c:pt>
                <c:pt idx="19">
                  <c:v>-1</c:v>
                </c:pt>
              </c:numCache>
            </c:numRef>
          </c:val>
          <c:extLst>
            <c:ext xmlns:c15="http://schemas.microsoft.com/office/drawing/2012/chart" uri="{02D57815-91ED-43cb-92C2-25804820EDAC}">
              <c15:categoryFilterExceptions>
                <c15:categoryFilterException>
                  <c15:sqref>Game!$V$168</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9-AC7C-44CA-BB21-91BD9EA4339F}"/>
                      </c:ext>
                    </c:extLst>
                  </c15:dLbl>
                </c15:categoryFilterException>
              </c15:categoryFilterExceptions>
            </c:ext>
            <c:ext xmlns:c16="http://schemas.microsoft.com/office/drawing/2014/chart" uri="{C3380CC4-5D6E-409C-BE32-E72D297353CC}">
              <c16:uniqueId val="{00000028-7178-4938-AF3F-592F2FA23D1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all" baseline="0">
                <a:solidFill>
                  <a:sysClr val="windowText" lastClr="000000">
                    <a:lumMod val="65000"/>
                    <a:lumOff val="35000"/>
                  </a:sysClr>
                </a:solidFill>
                <a:latin typeface="+mn-lt"/>
                <a:ea typeface="+mn-ea"/>
                <a:cs typeface="+mn-cs"/>
              </a:defRPr>
            </a:pPr>
            <a:r>
              <a:rPr lang="en-GB" sz="1600" b="0" i="0" u="none" strike="noStrike" kern="1200" cap="all" baseline="0">
                <a:solidFill>
                  <a:schemeClr val="tx1"/>
                </a:solidFill>
              </a:rPr>
              <a:t>Hobby Contribution distribution</a:t>
            </a:r>
          </a:p>
          <a:p>
            <a:pPr marL="0" marR="0" lvl="0" indent="0" algn="ctr" defTabSz="914400" rtl="0" eaLnBrk="1" fontAlgn="auto" latinLnBrk="0" hangingPunct="1">
              <a:lnSpc>
                <a:spcPct val="100000"/>
              </a:lnSpc>
              <a:spcBef>
                <a:spcPts val="0"/>
              </a:spcBef>
              <a:spcAft>
                <a:spcPts val="0"/>
              </a:spcAft>
              <a:buClrTx/>
              <a:buSzTx/>
              <a:buFontTx/>
              <a:buNone/>
              <a:tabLst/>
              <a:defRPr b="0">
                <a:solidFill>
                  <a:sysClr val="windowText" lastClr="000000">
                    <a:lumMod val="65000"/>
                    <a:lumOff val="35000"/>
                  </a:sysClr>
                </a:solidFill>
              </a:defRPr>
            </a:pPr>
            <a:endParaRPr lang="en-GB" b="0"/>
          </a:p>
        </c:rich>
      </c:tx>
      <c:layout>
        <c:manualLayout>
          <c:xMode val="edge"/>
          <c:yMode val="edge"/>
          <c:x val="1.9784562507559597E-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285-4C40-8F04-957C46BA3EF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285-4C40-8F04-957C46BA3EF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285-4C40-8F04-957C46BA3EF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285-4C40-8F04-957C46BA3EF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285-4C40-8F04-957C46BA3EF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8285-4C40-8F04-957C46BA3EF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8285-4C40-8F04-957C46BA3EF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8285-4C40-8F04-957C46BA3EF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8285-4C40-8F04-957C46BA3EF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8285-4C40-8F04-957C46BA3EF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8285-4C40-8F04-957C46BA3EF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8285-4C40-8F04-957C46BA3EF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8285-4C40-8F04-957C46BA3EF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8285-4C40-8F04-957C46BA3EF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8285-4C40-8F04-957C46BA3EF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8285-4C40-8F04-957C46BA3EF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8285-4C40-8F04-957C46BA3EF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42AD-43D6-9CC4-23C2807A4CF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3A02-4BC2-9E1B-0457B26A9A0F}"/>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8285-4C40-8F04-957C46BA3EF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8285-4C40-8F04-957C46BA3EF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8285-4C40-8F04-957C46BA3EF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8285-4C40-8F04-957C46BA3EF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8285-4C40-8F04-957C46BA3EF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8285-4C40-8F04-957C46BA3EF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8285-4C40-8F04-957C46BA3EF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8285-4C40-8F04-957C46BA3EF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8285-4C40-8F04-957C46BA3EF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8285-4C40-8F04-957C46BA3EF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8285-4C40-8F04-957C46BA3EF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8285-4C40-8F04-957C46BA3EF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8285-4C40-8F04-957C46BA3EF4}"/>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8285-4C40-8F04-957C46BA3EF4}"/>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8285-4C40-8F04-957C46BA3EF4}"/>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8285-4C40-8F04-957C46BA3EF4}"/>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8285-4C40-8F04-957C46BA3EF4}"/>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8285-4C40-8F04-957C46BA3EF4}"/>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8-42AD-43D6-9CC4-23C2807A4CF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xmlns:c15="http://schemas.microsoft.com/office/drawing/2012/chart">
                <c:ext xmlns:c16="http://schemas.microsoft.com/office/drawing/2014/chart" uri="{C3380CC4-5D6E-409C-BE32-E72D297353CC}">
                  <c16:uniqueId val="{00000029-3A02-4BC2-9E1B-0457B26A9A0F}"/>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8285-4C40-8F04-957C46BA3EF4}"/>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Game!$AD$2:$AW$2</c15:sqref>
                  </c15:fullRef>
                </c:ext>
              </c:extLst>
              <c:f>Game!$AD$2:$AW$2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Game!$B$168:$V$168</c15:sqref>
                  </c15:fullRef>
                </c:ext>
              </c:extLst>
              <c:f>Game!$B$168:$U$168</c:f>
              <c:numCache>
                <c:formatCode>General</c:formatCode>
                <c:ptCount val="20"/>
                <c:pt idx="0">
                  <c:v>2</c:v>
                </c:pt>
                <c:pt idx="1">
                  <c:v>0</c:v>
                </c:pt>
                <c:pt idx="2">
                  <c:v>5</c:v>
                </c:pt>
                <c:pt idx="3">
                  <c:v>9</c:v>
                </c:pt>
                <c:pt idx="4">
                  <c:v>4</c:v>
                </c:pt>
                <c:pt idx="5">
                  <c:v>0</c:v>
                </c:pt>
                <c:pt idx="6">
                  <c:v>0</c:v>
                </c:pt>
                <c:pt idx="7">
                  <c:v>3</c:v>
                </c:pt>
                <c:pt idx="8">
                  <c:v>0</c:v>
                </c:pt>
                <c:pt idx="9">
                  <c:v>0.75</c:v>
                </c:pt>
                <c:pt idx="10">
                  <c:v>2</c:v>
                </c:pt>
                <c:pt idx="11">
                  <c:v>1</c:v>
                </c:pt>
                <c:pt idx="12">
                  <c:v>2.5</c:v>
                </c:pt>
                <c:pt idx="13">
                  <c:v>2</c:v>
                </c:pt>
                <c:pt idx="14">
                  <c:v>0</c:v>
                </c:pt>
                <c:pt idx="15">
                  <c:v>0</c:v>
                </c:pt>
                <c:pt idx="16">
                  <c:v>1</c:v>
                </c:pt>
                <c:pt idx="17">
                  <c:v>3</c:v>
                </c:pt>
                <c:pt idx="18">
                  <c:v>0</c:v>
                </c:pt>
                <c:pt idx="19">
                  <c:v>-1</c:v>
                </c:pt>
              </c:numCache>
            </c:numRef>
          </c:val>
          <c:extLst>
            <c:ext xmlns:c15="http://schemas.microsoft.com/office/drawing/2012/chart" uri="{02D57815-91ED-43cb-92C2-25804820EDAC}">
              <c15:categoryFilterExceptions>
                <c15:categoryFilterException>
                  <c15:sqref>Game!$V$168</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9-4E51-4A6A-AF0C-764A9C70B06C}"/>
                      </c:ext>
                    </c:extLst>
                  </c15:dLbl>
                </c15:categoryFilterException>
              </c15:categoryFilterExceptions>
            </c:ext>
            <c:ext xmlns:c16="http://schemas.microsoft.com/office/drawing/2014/chart" uri="{C3380CC4-5D6E-409C-BE32-E72D297353CC}">
              <c16:uniqueId val="{00000028-8285-4C40-8F04-957C46BA3EF4}"/>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r>
              <a:rPr lang="en-GB" b="0">
                <a:solidFill>
                  <a:schemeClr val="tx1"/>
                </a:solidFill>
                <a:latin typeface="+mj-lt"/>
              </a:rPr>
              <a:t>Hobby</a:t>
            </a:r>
            <a:r>
              <a:rPr lang="en-GB" b="0" baseline="0">
                <a:solidFill>
                  <a:schemeClr val="tx1"/>
                </a:solidFill>
                <a:latin typeface="+mj-lt"/>
              </a:rPr>
              <a:t> Contribution distribution</a:t>
            </a:r>
            <a:endParaRPr lang="en-GB" b="0">
              <a:solidFill>
                <a:schemeClr val="tx1"/>
              </a:solidFill>
              <a:latin typeface="+mj-lt"/>
            </a:endParaRPr>
          </a:p>
        </c:rich>
      </c:tx>
      <c:layout>
        <c:manualLayout>
          <c:xMode val="edge"/>
          <c:yMode val="edge"/>
          <c:x val="7.5678056797476192E-4"/>
          <c:y val="0"/>
        </c:manualLayout>
      </c:layout>
      <c:overlay val="0"/>
      <c:spPr>
        <a:noFill/>
        <a:ln>
          <a:noFill/>
        </a:ln>
        <a:effectLst/>
      </c:spPr>
      <c:txPr>
        <a:bodyPr rot="0" spcFirstLastPara="1" vertOverflow="ellipsis" vert="horz" wrap="square" anchor="ctr" anchorCtr="1"/>
        <a:lstStyle/>
        <a:p>
          <a:pPr>
            <a:defRPr sz="1600" b="0"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DA6-4349-A0B1-6C7D293B7CD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DA6-4349-A0B1-6C7D293B7CD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DA6-4349-A0B1-6C7D293B7CD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DA6-4349-A0B1-6C7D293B7CD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DA6-4349-A0B1-6C7D293B7CD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DA6-4349-A0B1-6C7D293B7CD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DA6-4349-A0B1-6C7D293B7CD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9DA6-4349-A0B1-6C7D293B7CD5}"/>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9DA6-4349-A0B1-6C7D293B7CD5}"/>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9DA6-4349-A0B1-6C7D293B7CD5}"/>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9DA6-4349-A0B1-6C7D293B7CD5}"/>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9DA6-4349-A0B1-6C7D293B7CD5}"/>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9DA6-4349-A0B1-6C7D293B7CD5}"/>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9DA6-4349-A0B1-6C7D293B7CD5}"/>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9DA6-4349-A0B1-6C7D293B7CD5}"/>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9DA6-4349-A0B1-6C7D293B7CD5}"/>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9DA6-4349-A0B1-6C7D293B7CD5}"/>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FAF0-4CBA-B062-EE75B524AC5C}"/>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DD7F-47E7-8209-F387F23A4A0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9DA6-4349-A0B1-6C7D293B7CD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9DA6-4349-A0B1-6C7D293B7CD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9DA6-4349-A0B1-6C7D293B7CD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9DA6-4349-A0B1-6C7D293B7CD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9DA6-4349-A0B1-6C7D293B7CD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9DA6-4349-A0B1-6C7D293B7CD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9DA6-4349-A0B1-6C7D293B7CD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9DA6-4349-A0B1-6C7D293B7CD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9DA6-4349-A0B1-6C7D293B7CD5}"/>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9DA6-4349-A0B1-6C7D293B7CD5}"/>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9DA6-4349-A0B1-6C7D293B7CD5}"/>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9DA6-4349-A0B1-6C7D293B7CD5}"/>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9DA6-4349-A0B1-6C7D293B7CD5}"/>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9DA6-4349-A0B1-6C7D293B7CD5}"/>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9DA6-4349-A0B1-6C7D293B7CD5}"/>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9DA6-4349-A0B1-6C7D293B7CD5}"/>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9DA6-4349-A0B1-6C7D293B7CD5}"/>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9DA6-4349-A0B1-6C7D293B7CD5}"/>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8-FAF0-4CBA-B062-EE75B524AC5C}"/>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xmlns:c15="http://schemas.microsoft.com/office/drawing/2012/chart">
                <c:ext xmlns:c16="http://schemas.microsoft.com/office/drawing/2014/chart" uri="{C3380CC4-5D6E-409C-BE32-E72D297353CC}">
                  <c16:uniqueId val="{00000029-DD7F-47E7-8209-F387F23A4A0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9DA6-4349-A0B1-6C7D293B7CD5}"/>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Game!$AD$2:$AW$2</c15:sqref>
                  </c15:fullRef>
                </c:ext>
              </c:extLst>
              <c:f>Game!$AD$2:$AW$2</c:f>
              <c:strCache>
                <c:ptCount val="20"/>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pt idx="14">
                  <c:v>D &amp; H</c:v>
                </c:pt>
                <c:pt idx="15">
                  <c:v>P &amp; I</c:v>
                </c:pt>
                <c:pt idx="16">
                  <c:v>Cleanliness</c:v>
                </c:pt>
                <c:pt idx="17">
                  <c:v>Integrity
</c:v>
                </c:pt>
                <c:pt idx="18">
                  <c:v>Bonus
</c:v>
                </c:pt>
                <c:pt idx="19">
                  <c:v>Penalties
</c:v>
                </c:pt>
              </c:strCache>
            </c:strRef>
          </c:cat>
          <c:val>
            <c:numRef>
              <c:extLst>
                <c:ext xmlns:c15="http://schemas.microsoft.com/office/drawing/2012/chart" uri="{02D57815-91ED-43cb-92C2-25804820EDAC}">
                  <c15:fullRef>
                    <c15:sqref>Game!$B$168:$V$168</c15:sqref>
                  </c15:fullRef>
                </c:ext>
              </c:extLst>
              <c:f>Game!$B$168:$U$168</c:f>
              <c:numCache>
                <c:formatCode>General</c:formatCode>
                <c:ptCount val="20"/>
                <c:pt idx="0">
                  <c:v>2</c:v>
                </c:pt>
                <c:pt idx="1">
                  <c:v>0</c:v>
                </c:pt>
                <c:pt idx="2">
                  <c:v>5</c:v>
                </c:pt>
                <c:pt idx="3">
                  <c:v>9</c:v>
                </c:pt>
                <c:pt idx="4">
                  <c:v>4</c:v>
                </c:pt>
                <c:pt idx="5">
                  <c:v>0</c:v>
                </c:pt>
                <c:pt idx="6">
                  <c:v>0</c:v>
                </c:pt>
                <c:pt idx="7">
                  <c:v>3</c:v>
                </c:pt>
                <c:pt idx="8">
                  <c:v>0</c:v>
                </c:pt>
                <c:pt idx="9">
                  <c:v>0.75</c:v>
                </c:pt>
                <c:pt idx="10">
                  <c:v>2</c:v>
                </c:pt>
                <c:pt idx="11">
                  <c:v>1</c:v>
                </c:pt>
                <c:pt idx="12">
                  <c:v>2.5</c:v>
                </c:pt>
                <c:pt idx="13">
                  <c:v>2</c:v>
                </c:pt>
                <c:pt idx="14">
                  <c:v>0</c:v>
                </c:pt>
                <c:pt idx="15">
                  <c:v>0</c:v>
                </c:pt>
                <c:pt idx="16">
                  <c:v>1</c:v>
                </c:pt>
                <c:pt idx="17">
                  <c:v>3</c:v>
                </c:pt>
                <c:pt idx="18">
                  <c:v>0</c:v>
                </c:pt>
                <c:pt idx="19">
                  <c:v>-1</c:v>
                </c:pt>
              </c:numCache>
            </c:numRef>
          </c:val>
          <c:extLst>
            <c:ext xmlns:c15="http://schemas.microsoft.com/office/drawing/2012/chart" uri="{02D57815-91ED-43cb-92C2-25804820EDAC}">
              <c15:categoryFilterExceptions>
                <c15:categoryFilterException>
                  <c15:sqref>Game!$V$168</c15:sqref>
                  <c15:spPr xmlns:c15="http://schemas.microsoft.com/office/drawing/2012/chart">
                    <a:solidFill>
                      <a:schemeClr val="accent3">
                        <a:lumMod val="80000"/>
                      </a:schemeClr>
                    </a:solidFill>
                    <a:ln>
                      <a:noFill/>
                    </a:ln>
                    <a:effectLst>
                      <a:outerShdw blurRad="63500" sx="102000" sy="102000" algn="ctr" rotWithShape="0">
                        <a:prstClr val="black">
                          <a:alpha val="20000"/>
                        </a:prstClr>
                      </a:outerShdw>
                    </a:effectLst>
                  </c15:spPr>
                  <c15:bubble3D val="0"/>
                  <c15: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9-3626-4744-8A8A-E415C41E404B}"/>
                      </c:ext>
                    </c:extLst>
                  </c15:dLbl>
                </c15:categoryFilterException>
              </c15:categoryFilterExceptions>
            </c:ext>
            <c:ext xmlns:c16="http://schemas.microsoft.com/office/drawing/2014/chart" uri="{C3380CC4-5D6E-409C-BE32-E72D297353CC}">
              <c16:uniqueId val="{00000028-9DA6-4349-A0B1-6C7D293B7CD5}"/>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Streak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Game!$AD$2:$AQ$2</c:f>
              <c:strCache>
                <c:ptCount val="14"/>
                <c:pt idx="0">
                  <c:v>W @ 6am
</c:v>
                </c:pt>
                <c:pt idx="1">
                  <c:v>Bootup 
</c:v>
                </c:pt>
                <c:pt idx="2">
                  <c:v>R &amp; S</c:v>
                </c:pt>
                <c:pt idx="3">
                  <c:v>Gym
</c:v>
                </c:pt>
                <c:pt idx="4">
                  <c:v>Work
</c:v>
                </c:pt>
                <c:pt idx="5">
                  <c:v>Overtime
</c:v>
                </c:pt>
                <c:pt idx="6">
                  <c:v>Cooking
</c:v>
                </c:pt>
                <c:pt idx="7">
                  <c:v>Art
</c:v>
                </c:pt>
                <c:pt idx="8">
                  <c:v>Chess
</c:v>
                </c:pt>
                <c:pt idx="9">
                  <c:v>Binge
</c:v>
                </c:pt>
                <c:pt idx="10">
                  <c:v>Resist
</c:v>
                </c:pt>
                <c:pt idx="11">
                  <c:v>Help others
</c:v>
                </c:pt>
                <c:pt idx="12">
                  <c:v>Journal
</c:v>
                </c:pt>
                <c:pt idx="13">
                  <c:v>S b 11pm
</c:v>
                </c:pt>
              </c:strCache>
            </c:strRef>
          </c:cat>
          <c:val>
            <c:numRef>
              <c:f>Game!$B$13:$O$13</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BF9F-4CE7-903B-C0177E8CA60B}"/>
            </c:ext>
          </c:extLst>
        </c:ser>
        <c:dLbls>
          <c:showLegendKey val="0"/>
          <c:showVal val="0"/>
          <c:showCatName val="0"/>
          <c:showSerName val="0"/>
          <c:showPercent val="0"/>
          <c:showBubbleSize val="0"/>
        </c:dLbls>
        <c:gapWidth val="0"/>
        <c:axId val="236696031"/>
        <c:axId val="236702271"/>
      </c:barChart>
      <c:catAx>
        <c:axId val="2366960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02271"/>
        <c:crosses val="autoZero"/>
        <c:auto val="1"/>
        <c:lblAlgn val="ctr"/>
        <c:lblOffset val="100"/>
        <c:noMultiLvlLbl val="0"/>
      </c:catAx>
      <c:valAx>
        <c:axId val="23670227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9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50" Type="http://schemas.openxmlformats.org/officeDocument/2006/relationships/chart" Target="../charts/chart50.xml"/><Relationship Id="rId55" Type="http://schemas.openxmlformats.org/officeDocument/2006/relationships/chart" Target="../charts/chart55.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 Type="http://schemas.openxmlformats.org/officeDocument/2006/relationships/chart" Target="../charts/chart5.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8" Type="http://schemas.openxmlformats.org/officeDocument/2006/relationships/chart" Target="../charts/chart8.xml"/><Relationship Id="rId51" Type="http://schemas.openxmlformats.org/officeDocument/2006/relationships/chart" Target="../charts/chart51.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10" Type="http://schemas.openxmlformats.org/officeDocument/2006/relationships/chart" Target="../charts/chart10.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1</xdr:col>
      <xdr:colOff>2000250</xdr:colOff>
      <xdr:row>241</xdr:row>
      <xdr:rowOff>27216</xdr:rowOff>
    </xdr:from>
    <xdr:to>
      <xdr:col>17</xdr:col>
      <xdr:colOff>90714</xdr:colOff>
      <xdr:row>269</xdr:row>
      <xdr:rowOff>81644</xdr:rowOff>
    </xdr:to>
    <xdr:graphicFrame macro="">
      <xdr:nvGraphicFramePr>
        <xdr:cNvPr id="3" name="Chart 2">
          <a:extLst>
            <a:ext uri="{FF2B5EF4-FFF2-40B4-BE49-F238E27FC236}">
              <a16:creationId xmlns:a16="http://schemas.microsoft.com/office/drawing/2014/main" id="{CBB2CDCA-CAED-4C48-BA11-789876EB7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276</xdr:row>
      <xdr:rowOff>0</xdr:rowOff>
    </xdr:from>
    <xdr:to>
      <xdr:col>16</xdr:col>
      <xdr:colOff>600075</xdr:colOff>
      <xdr:row>305</xdr:row>
      <xdr:rowOff>66675</xdr:rowOff>
    </xdr:to>
    <xdr:graphicFrame macro="">
      <xdr:nvGraphicFramePr>
        <xdr:cNvPr id="11" name="Chart 10">
          <a:extLst>
            <a:ext uri="{FF2B5EF4-FFF2-40B4-BE49-F238E27FC236}">
              <a16:creationId xmlns:a16="http://schemas.microsoft.com/office/drawing/2014/main" id="{2EA163F7-0F24-4CD4-8715-0DF728F65DCF}"/>
            </a:ext>
            <a:ext uri="{147F2762-F138-4A5C-976F-8EAC2B608ADB}">
              <a16:predDERef xmlns:a16="http://schemas.microsoft.com/office/drawing/2014/main" pred="{BEAE17D4-A7A8-A8DD-C332-BED1B4CEC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275</xdr:row>
      <xdr:rowOff>171450</xdr:rowOff>
    </xdr:from>
    <xdr:to>
      <xdr:col>24</xdr:col>
      <xdr:colOff>226785</xdr:colOff>
      <xdr:row>291</xdr:row>
      <xdr:rowOff>19050</xdr:rowOff>
    </xdr:to>
    <xdr:graphicFrame macro="">
      <xdr:nvGraphicFramePr>
        <xdr:cNvPr id="12" name="Chart 11">
          <a:extLst>
            <a:ext uri="{FF2B5EF4-FFF2-40B4-BE49-F238E27FC236}">
              <a16:creationId xmlns:a16="http://schemas.microsoft.com/office/drawing/2014/main" id="{F298C66B-0D83-7230-A688-2B39917EA54A}"/>
            </a:ext>
            <a:ext uri="{147F2762-F138-4A5C-976F-8EAC2B608ADB}">
              <a16:predDERef xmlns:a16="http://schemas.microsoft.com/office/drawing/2014/main" pred="{2EA163F7-0F24-4CD4-8715-0DF728F65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1990725</xdr:colOff>
      <xdr:row>309</xdr:row>
      <xdr:rowOff>171450</xdr:rowOff>
    </xdr:from>
    <xdr:to>
      <xdr:col>16</xdr:col>
      <xdr:colOff>590550</xdr:colOff>
      <xdr:row>338</xdr:row>
      <xdr:rowOff>9525</xdr:rowOff>
    </xdr:to>
    <xdr:graphicFrame macro="">
      <xdr:nvGraphicFramePr>
        <xdr:cNvPr id="13" name="Chart 12">
          <a:extLst>
            <a:ext uri="{FF2B5EF4-FFF2-40B4-BE49-F238E27FC236}">
              <a16:creationId xmlns:a16="http://schemas.microsoft.com/office/drawing/2014/main" id="{745D4462-E262-8A06-5C04-AA7172CBF4F1}"/>
            </a:ext>
            <a:ext uri="{147F2762-F138-4A5C-976F-8EAC2B608ADB}">
              <a16:predDERef xmlns:a16="http://schemas.microsoft.com/office/drawing/2014/main" pred="{F298C66B-0D83-7230-A688-2B39917EA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309</xdr:row>
      <xdr:rowOff>171450</xdr:rowOff>
    </xdr:from>
    <xdr:to>
      <xdr:col>24</xdr:col>
      <xdr:colOff>281214</xdr:colOff>
      <xdr:row>324</xdr:row>
      <xdr:rowOff>19050</xdr:rowOff>
    </xdr:to>
    <xdr:graphicFrame macro="">
      <xdr:nvGraphicFramePr>
        <xdr:cNvPr id="14" name="Chart 13">
          <a:extLst>
            <a:ext uri="{FF2B5EF4-FFF2-40B4-BE49-F238E27FC236}">
              <a16:creationId xmlns:a16="http://schemas.microsoft.com/office/drawing/2014/main" id="{67876705-15B1-A33D-70B2-CB3401E998BE}"/>
            </a:ext>
            <a:ext uri="{147F2762-F138-4A5C-976F-8EAC2B608ADB}">
              <a16:predDERef xmlns:a16="http://schemas.microsoft.com/office/drawing/2014/main" pred="{745D4462-E262-8A06-5C04-AA7172CBF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343</xdr:row>
      <xdr:rowOff>0</xdr:rowOff>
    </xdr:from>
    <xdr:to>
      <xdr:col>16</xdr:col>
      <xdr:colOff>600075</xdr:colOff>
      <xdr:row>371</xdr:row>
      <xdr:rowOff>0</xdr:rowOff>
    </xdr:to>
    <xdr:graphicFrame macro="">
      <xdr:nvGraphicFramePr>
        <xdr:cNvPr id="5" name="Chart 4">
          <a:extLst>
            <a:ext uri="{FF2B5EF4-FFF2-40B4-BE49-F238E27FC236}">
              <a16:creationId xmlns:a16="http://schemas.microsoft.com/office/drawing/2014/main" id="{FE09502E-8645-4EAF-8E11-FF0DAE37BDC7}"/>
            </a:ext>
            <a:ext uri="{147F2762-F138-4A5C-976F-8EAC2B608ADB}">
              <a16:predDERef xmlns:a16="http://schemas.microsoft.com/office/drawing/2014/main" pred="{67876705-15B1-A33D-70B2-CB3401E99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600075</xdr:colOff>
      <xdr:row>342</xdr:row>
      <xdr:rowOff>171450</xdr:rowOff>
    </xdr:from>
    <xdr:to>
      <xdr:col>24</xdr:col>
      <xdr:colOff>171450</xdr:colOff>
      <xdr:row>356</xdr:row>
      <xdr:rowOff>161925</xdr:rowOff>
    </xdr:to>
    <xdr:graphicFrame macro="">
      <xdr:nvGraphicFramePr>
        <xdr:cNvPr id="7" name="Chart 6">
          <a:extLst>
            <a:ext uri="{FF2B5EF4-FFF2-40B4-BE49-F238E27FC236}">
              <a16:creationId xmlns:a16="http://schemas.microsoft.com/office/drawing/2014/main" id="{19945B59-4756-4FE4-BD36-2C9B421C6D15}"/>
            </a:ext>
            <a:ext uri="{147F2762-F138-4A5C-976F-8EAC2B608ADB}">
              <a16:predDERef xmlns:a16="http://schemas.microsoft.com/office/drawing/2014/main" pred="{FE09502E-8645-4EAF-8E11-FF0DAE37B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375</xdr:row>
      <xdr:rowOff>161925</xdr:rowOff>
    </xdr:from>
    <xdr:to>
      <xdr:col>17</xdr:col>
      <xdr:colOff>0</xdr:colOff>
      <xdr:row>405</xdr:row>
      <xdr:rowOff>161925</xdr:rowOff>
    </xdr:to>
    <xdr:graphicFrame macro="">
      <xdr:nvGraphicFramePr>
        <xdr:cNvPr id="8" name="Chart 7">
          <a:extLst>
            <a:ext uri="{FF2B5EF4-FFF2-40B4-BE49-F238E27FC236}">
              <a16:creationId xmlns:a16="http://schemas.microsoft.com/office/drawing/2014/main" id="{33AF8AE8-8985-4E73-B15A-8F8FA1A292B7}"/>
            </a:ext>
            <a:ext uri="{147F2762-F138-4A5C-976F-8EAC2B608ADB}">
              <a16:predDERef xmlns:a16="http://schemas.microsoft.com/office/drawing/2014/main" pred="{19945B59-4756-4FE4-BD36-2C9B421C6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0</xdr:colOff>
      <xdr:row>375</xdr:row>
      <xdr:rowOff>161925</xdr:rowOff>
    </xdr:from>
    <xdr:to>
      <xdr:col>24</xdr:col>
      <xdr:colOff>161925</xdr:colOff>
      <xdr:row>390</xdr:row>
      <xdr:rowOff>171450</xdr:rowOff>
    </xdr:to>
    <xdr:graphicFrame macro="">
      <xdr:nvGraphicFramePr>
        <xdr:cNvPr id="9" name="Chart 8">
          <a:extLst>
            <a:ext uri="{FF2B5EF4-FFF2-40B4-BE49-F238E27FC236}">
              <a16:creationId xmlns:a16="http://schemas.microsoft.com/office/drawing/2014/main" id="{98B0E686-67F6-4F73-995E-046DBD3D9A0C}"/>
            </a:ext>
            <a:ext uri="{147F2762-F138-4A5C-976F-8EAC2B608ADB}">
              <a16:predDERef xmlns:a16="http://schemas.microsoft.com/office/drawing/2014/main" pred="{33AF8AE8-8985-4E73-B15A-8F8FA1A29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2000250</xdr:colOff>
      <xdr:row>410</xdr:row>
      <xdr:rowOff>171450</xdr:rowOff>
    </xdr:from>
    <xdr:to>
      <xdr:col>17</xdr:col>
      <xdr:colOff>0</xdr:colOff>
      <xdr:row>439</xdr:row>
      <xdr:rowOff>171450</xdr:rowOff>
    </xdr:to>
    <xdr:graphicFrame macro="">
      <xdr:nvGraphicFramePr>
        <xdr:cNvPr id="15" name="Chart 14">
          <a:extLst>
            <a:ext uri="{FF2B5EF4-FFF2-40B4-BE49-F238E27FC236}">
              <a16:creationId xmlns:a16="http://schemas.microsoft.com/office/drawing/2014/main" id="{F4323B72-9856-445D-B3B7-2CEB8A5D620B}"/>
            </a:ext>
            <a:ext uri="{147F2762-F138-4A5C-976F-8EAC2B608ADB}">
              <a16:predDERef xmlns:a16="http://schemas.microsoft.com/office/drawing/2014/main" pred="{98B0E686-67F6-4F73-995E-046DBD3D9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410</xdr:row>
      <xdr:rowOff>171450</xdr:rowOff>
    </xdr:from>
    <xdr:to>
      <xdr:col>24</xdr:col>
      <xdr:colOff>171450</xdr:colOff>
      <xdr:row>425</xdr:row>
      <xdr:rowOff>66675</xdr:rowOff>
    </xdr:to>
    <xdr:graphicFrame macro="">
      <xdr:nvGraphicFramePr>
        <xdr:cNvPr id="16" name="Chart 15">
          <a:extLst>
            <a:ext uri="{FF2B5EF4-FFF2-40B4-BE49-F238E27FC236}">
              <a16:creationId xmlns:a16="http://schemas.microsoft.com/office/drawing/2014/main" id="{4D2E8DF2-0794-4571-A168-12283BDB3167}"/>
            </a:ext>
            <a:ext uri="{147F2762-F138-4A5C-976F-8EAC2B608ADB}">
              <a16:predDERef xmlns:a16="http://schemas.microsoft.com/office/drawing/2014/main" pred="{F4323B72-9856-445D-B3B7-2CEB8A5D6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445</xdr:row>
      <xdr:rowOff>22412</xdr:rowOff>
    </xdr:from>
    <xdr:to>
      <xdr:col>16</xdr:col>
      <xdr:colOff>600075</xdr:colOff>
      <xdr:row>471</xdr:row>
      <xdr:rowOff>22412</xdr:rowOff>
    </xdr:to>
    <xdr:graphicFrame macro="">
      <xdr:nvGraphicFramePr>
        <xdr:cNvPr id="17" name="Chart 16">
          <a:extLst>
            <a:ext uri="{FF2B5EF4-FFF2-40B4-BE49-F238E27FC236}">
              <a16:creationId xmlns:a16="http://schemas.microsoft.com/office/drawing/2014/main" id="{B814B971-2621-46D9-B06E-92CC8C5798FD}"/>
            </a:ext>
            <a:ext uri="{147F2762-F138-4A5C-976F-8EAC2B608ADB}">
              <a16:predDERef xmlns:a16="http://schemas.microsoft.com/office/drawing/2014/main" pred="{4D2E8DF2-0794-4571-A168-12283BDB3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0</xdr:colOff>
      <xdr:row>445</xdr:row>
      <xdr:rowOff>0</xdr:rowOff>
    </xdr:from>
    <xdr:to>
      <xdr:col>24</xdr:col>
      <xdr:colOff>57150</xdr:colOff>
      <xdr:row>457</xdr:row>
      <xdr:rowOff>161925</xdr:rowOff>
    </xdr:to>
    <xdr:graphicFrame macro="">
      <xdr:nvGraphicFramePr>
        <xdr:cNvPr id="18" name="Chart 17">
          <a:extLst>
            <a:ext uri="{FF2B5EF4-FFF2-40B4-BE49-F238E27FC236}">
              <a16:creationId xmlns:a16="http://schemas.microsoft.com/office/drawing/2014/main" id="{24C4090C-FDF4-479E-BF9E-5A6750E72AAC}"/>
            </a:ext>
            <a:ext uri="{147F2762-F138-4A5C-976F-8EAC2B608ADB}">
              <a16:predDERef xmlns:a16="http://schemas.microsoft.com/office/drawing/2014/main" pred="{B814B971-2621-46D9-B06E-92CC8C579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0</xdr:colOff>
      <xdr:row>476</xdr:row>
      <xdr:rowOff>0</xdr:rowOff>
    </xdr:from>
    <xdr:to>
      <xdr:col>17</xdr:col>
      <xdr:colOff>0</xdr:colOff>
      <xdr:row>502</xdr:row>
      <xdr:rowOff>171450</xdr:rowOff>
    </xdr:to>
    <xdr:graphicFrame macro="">
      <xdr:nvGraphicFramePr>
        <xdr:cNvPr id="19" name="Chart 18">
          <a:extLst>
            <a:ext uri="{FF2B5EF4-FFF2-40B4-BE49-F238E27FC236}">
              <a16:creationId xmlns:a16="http://schemas.microsoft.com/office/drawing/2014/main" id="{A8742454-F64D-47AA-9BE6-4F65BC70AAF3}"/>
            </a:ext>
            <a:ext uri="{147F2762-F138-4A5C-976F-8EAC2B608ADB}">
              <a16:predDERef xmlns:a16="http://schemas.microsoft.com/office/drawing/2014/main" pred="{24C4090C-FDF4-479E-BF9E-5A6750E7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0</xdr:colOff>
      <xdr:row>476</xdr:row>
      <xdr:rowOff>0</xdr:rowOff>
    </xdr:from>
    <xdr:to>
      <xdr:col>24</xdr:col>
      <xdr:colOff>85725</xdr:colOff>
      <xdr:row>489</xdr:row>
      <xdr:rowOff>0</xdr:rowOff>
    </xdr:to>
    <xdr:graphicFrame macro="">
      <xdr:nvGraphicFramePr>
        <xdr:cNvPr id="20" name="Chart 19">
          <a:extLst>
            <a:ext uri="{FF2B5EF4-FFF2-40B4-BE49-F238E27FC236}">
              <a16:creationId xmlns:a16="http://schemas.microsoft.com/office/drawing/2014/main" id="{96D11C9B-DBE4-4735-90E4-85BD04E978CC}"/>
            </a:ext>
            <a:ext uri="{147F2762-F138-4A5C-976F-8EAC2B608ADB}">
              <a16:predDERef xmlns:a16="http://schemas.microsoft.com/office/drawing/2014/main" pred="{A8742454-F64D-47AA-9BE6-4F65BC70A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508</xdr:row>
      <xdr:rowOff>0</xdr:rowOff>
    </xdr:from>
    <xdr:to>
      <xdr:col>16</xdr:col>
      <xdr:colOff>600075</xdr:colOff>
      <xdr:row>535</xdr:row>
      <xdr:rowOff>161925</xdr:rowOff>
    </xdr:to>
    <xdr:graphicFrame macro="">
      <xdr:nvGraphicFramePr>
        <xdr:cNvPr id="21" name="Chart 20">
          <a:extLst>
            <a:ext uri="{FF2B5EF4-FFF2-40B4-BE49-F238E27FC236}">
              <a16:creationId xmlns:a16="http://schemas.microsoft.com/office/drawing/2014/main" id="{8B85A3A3-7F30-488A-95D9-3CF729CFE4FB}"/>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9525</xdr:colOff>
      <xdr:row>508</xdr:row>
      <xdr:rowOff>0</xdr:rowOff>
    </xdr:from>
    <xdr:to>
      <xdr:col>24</xdr:col>
      <xdr:colOff>180975</xdr:colOff>
      <xdr:row>522</xdr:row>
      <xdr:rowOff>57150</xdr:rowOff>
    </xdr:to>
    <xdr:graphicFrame macro="">
      <xdr:nvGraphicFramePr>
        <xdr:cNvPr id="22" name="Chart 21">
          <a:extLst>
            <a:ext uri="{FF2B5EF4-FFF2-40B4-BE49-F238E27FC236}">
              <a16:creationId xmlns:a16="http://schemas.microsoft.com/office/drawing/2014/main" id="{D63EB693-40DC-44B1-AB6B-8DE0FF36F24A}"/>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22412</xdr:colOff>
      <xdr:row>241</xdr:row>
      <xdr:rowOff>55283</xdr:rowOff>
    </xdr:from>
    <xdr:to>
      <xdr:col>24</xdr:col>
      <xdr:colOff>306295</xdr:colOff>
      <xdr:row>255</xdr:row>
      <xdr:rowOff>183777</xdr:rowOff>
    </xdr:to>
    <xdr:graphicFrame macro="">
      <xdr:nvGraphicFramePr>
        <xdr:cNvPr id="10" name="Chart 9">
          <a:extLst>
            <a:ext uri="{FF2B5EF4-FFF2-40B4-BE49-F238E27FC236}">
              <a16:creationId xmlns:a16="http://schemas.microsoft.com/office/drawing/2014/main" id="{F32695D5-AD85-9D6E-2D31-D60CDB8A6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67236</xdr:colOff>
      <xdr:row>543</xdr:row>
      <xdr:rowOff>59766</xdr:rowOff>
    </xdr:from>
    <xdr:to>
      <xdr:col>17</xdr:col>
      <xdr:colOff>54723</xdr:colOff>
      <xdr:row>571</xdr:row>
      <xdr:rowOff>34927</xdr:rowOff>
    </xdr:to>
    <xdr:graphicFrame macro="">
      <xdr:nvGraphicFramePr>
        <xdr:cNvPr id="23" name="Chart 22">
          <a:extLst>
            <a:ext uri="{FF2B5EF4-FFF2-40B4-BE49-F238E27FC236}">
              <a16:creationId xmlns:a16="http://schemas.microsoft.com/office/drawing/2014/main" id="{84284D2D-DFE2-474B-8315-5FABD286D85C}"/>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37353</xdr:colOff>
      <xdr:row>543</xdr:row>
      <xdr:rowOff>0</xdr:rowOff>
    </xdr:from>
    <xdr:to>
      <xdr:col>24</xdr:col>
      <xdr:colOff>208803</xdr:colOff>
      <xdr:row>557</xdr:row>
      <xdr:rowOff>57151</xdr:rowOff>
    </xdr:to>
    <xdr:graphicFrame macro="">
      <xdr:nvGraphicFramePr>
        <xdr:cNvPr id="33" name="Chart 32">
          <a:extLst>
            <a:ext uri="{FF2B5EF4-FFF2-40B4-BE49-F238E27FC236}">
              <a16:creationId xmlns:a16="http://schemas.microsoft.com/office/drawing/2014/main" id="{726D2067-F3B6-4593-AD75-14450C964160}"/>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37353</xdr:colOff>
      <xdr:row>579</xdr:row>
      <xdr:rowOff>52294</xdr:rowOff>
    </xdr:from>
    <xdr:to>
      <xdr:col>17</xdr:col>
      <xdr:colOff>24840</xdr:colOff>
      <xdr:row>607</xdr:row>
      <xdr:rowOff>27455</xdr:rowOff>
    </xdr:to>
    <xdr:graphicFrame macro="">
      <xdr:nvGraphicFramePr>
        <xdr:cNvPr id="35" name="Chart 34">
          <a:extLst>
            <a:ext uri="{FF2B5EF4-FFF2-40B4-BE49-F238E27FC236}">
              <a16:creationId xmlns:a16="http://schemas.microsoft.com/office/drawing/2014/main" id="{126F2F31-0043-49A5-974A-7D42BEDD43C1}"/>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0</xdr:colOff>
      <xdr:row>578</xdr:row>
      <xdr:rowOff>0</xdr:rowOff>
    </xdr:from>
    <xdr:to>
      <xdr:col>24</xdr:col>
      <xdr:colOff>171450</xdr:colOff>
      <xdr:row>592</xdr:row>
      <xdr:rowOff>57150</xdr:rowOff>
    </xdr:to>
    <xdr:graphicFrame macro="">
      <xdr:nvGraphicFramePr>
        <xdr:cNvPr id="36" name="Chart 35">
          <a:extLst>
            <a:ext uri="{FF2B5EF4-FFF2-40B4-BE49-F238E27FC236}">
              <a16:creationId xmlns:a16="http://schemas.microsoft.com/office/drawing/2014/main" id="{2F142A38-855C-4712-9F58-8B207283F70D}"/>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2046940</xdr:colOff>
      <xdr:row>613</xdr:row>
      <xdr:rowOff>164353</xdr:rowOff>
    </xdr:from>
    <xdr:to>
      <xdr:col>16</xdr:col>
      <xdr:colOff>532839</xdr:colOff>
      <xdr:row>641</xdr:row>
      <xdr:rowOff>139513</xdr:rowOff>
    </xdr:to>
    <xdr:graphicFrame macro="">
      <xdr:nvGraphicFramePr>
        <xdr:cNvPr id="38" name="Chart 37">
          <a:extLst>
            <a:ext uri="{FF2B5EF4-FFF2-40B4-BE49-F238E27FC236}">
              <a16:creationId xmlns:a16="http://schemas.microsoft.com/office/drawing/2014/main" id="{DB46F848-C58F-4B87-AA69-D815739018C3}"/>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560293</xdr:colOff>
      <xdr:row>614</xdr:row>
      <xdr:rowOff>89647</xdr:rowOff>
    </xdr:from>
    <xdr:to>
      <xdr:col>24</xdr:col>
      <xdr:colOff>290285</xdr:colOff>
      <xdr:row>628</xdr:row>
      <xdr:rowOff>146797</xdr:rowOff>
    </xdr:to>
    <xdr:graphicFrame macro="">
      <xdr:nvGraphicFramePr>
        <xdr:cNvPr id="39" name="Chart 38">
          <a:extLst>
            <a:ext uri="{FF2B5EF4-FFF2-40B4-BE49-F238E27FC236}">
              <a16:creationId xmlns:a16="http://schemas.microsoft.com/office/drawing/2014/main" id="{333EA17A-0314-4B38-92E4-D5D05B4B9DF3}"/>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xdr:col>
      <xdr:colOff>542637</xdr:colOff>
      <xdr:row>290</xdr:row>
      <xdr:rowOff>100445</xdr:rowOff>
    </xdr:from>
    <xdr:to>
      <xdr:col>24</xdr:col>
      <xdr:colOff>219364</xdr:colOff>
      <xdr:row>305</xdr:row>
      <xdr:rowOff>72736</xdr:rowOff>
    </xdr:to>
    <xdr:graphicFrame macro="">
      <xdr:nvGraphicFramePr>
        <xdr:cNvPr id="45" name="Chart 44">
          <a:extLst>
            <a:ext uri="{FF2B5EF4-FFF2-40B4-BE49-F238E27FC236}">
              <a16:creationId xmlns:a16="http://schemas.microsoft.com/office/drawing/2014/main" id="{DA488942-3566-4FD2-1632-A0ED64EC6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17</xdr:col>
      <xdr:colOff>0</xdr:colOff>
      <xdr:row>324</xdr:row>
      <xdr:rowOff>42719</xdr:rowOff>
    </xdr:from>
    <xdr:to>
      <xdr:col>24</xdr:col>
      <xdr:colOff>288637</xdr:colOff>
      <xdr:row>339</xdr:row>
      <xdr:rowOff>15010</xdr:rowOff>
    </xdr:to>
    <xdr:graphicFrame macro="">
      <xdr:nvGraphicFramePr>
        <xdr:cNvPr id="46" name="Chart 45">
          <a:extLst>
            <a:ext uri="{FF2B5EF4-FFF2-40B4-BE49-F238E27FC236}">
              <a16:creationId xmlns:a16="http://schemas.microsoft.com/office/drawing/2014/main" id="{C16C9C50-8D40-CE20-D4DB-789109C90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16</xdr:col>
      <xdr:colOff>496455</xdr:colOff>
      <xdr:row>356</xdr:row>
      <xdr:rowOff>146628</xdr:rowOff>
    </xdr:from>
    <xdr:to>
      <xdr:col>24</xdr:col>
      <xdr:colOff>173182</xdr:colOff>
      <xdr:row>371</xdr:row>
      <xdr:rowOff>118919</xdr:rowOff>
    </xdr:to>
    <xdr:graphicFrame macro="">
      <xdr:nvGraphicFramePr>
        <xdr:cNvPr id="49" name="Chart 48">
          <a:extLst>
            <a:ext uri="{FF2B5EF4-FFF2-40B4-BE49-F238E27FC236}">
              <a16:creationId xmlns:a16="http://schemas.microsoft.com/office/drawing/2014/main" id="{2BBC943D-4339-9884-DF64-7045A46FC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17</xdr:col>
      <xdr:colOff>-1</xdr:colOff>
      <xdr:row>391</xdr:row>
      <xdr:rowOff>31172</xdr:rowOff>
    </xdr:from>
    <xdr:to>
      <xdr:col>24</xdr:col>
      <xdr:colOff>288636</xdr:colOff>
      <xdr:row>406</xdr:row>
      <xdr:rowOff>3463</xdr:rowOff>
    </xdr:to>
    <xdr:graphicFrame macro="">
      <xdr:nvGraphicFramePr>
        <xdr:cNvPr id="50" name="Chart 49">
          <a:extLst>
            <a:ext uri="{FF2B5EF4-FFF2-40B4-BE49-F238E27FC236}">
              <a16:creationId xmlns:a16="http://schemas.microsoft.com/office/drawing/2014/main" id="{A9961A76-4CEB-0D83-D5E3-AC8E54A51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0</xdr:colOff>
      <xdr:row>425</xdr:row>
      <xdr:rowOff>57727</xdr:rowOff>
    </xdr:from>
    <xdr:to>
      <xdr:col>24</xdr:col>
      <xdr:colOff>288637</xdr:colOff>
      <xdr:row>440</xdr:row>
      <xdr:rowOff>30018</xdr:rowOff>
    </xdr:to>
    <xdr:graphicFrame macro="">
      <xdr:nvGraphicFramePr>
        <xdr:cNvPr id="51" name="Chart 50">
          <a:extLst>
            <a:ext uri="{FF2B5EF4-FFF2-40B4-BE49-F238E27FC236}">
              <a16:creationId xmlns:a16="http://schemas.microsoft.com/office/drawing/2014/main" id="{C432CDE4-C7E0-4FD0-ABCF-AC96611DC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600364</xdr:colOff>
      <xdr:row>457</xdr:row>
      <xdr:rowOff>184726</xdr:rowOff>
    </xdr:from>
    <xdr:to>
      <xdr:col>24</xdr:col>
      <xdr:colOff>277091</xdr:colOff>
      <xdr:row>472</xdr:row>
      <xdr:rowOff>157017</xdr:rowOff>
    </xdr:to>
    <xdr:graphicFrame macro="">
      <xdr:nvGraphicFramePr>
        <xdr:cNvPr id="52" name="Chart 51">
          <a:extLst>
            <a:ext uri="{FF2B5EF4-FFF2-40B4-BE49-F238E27FC236}">
              <a16:creationId xmlns:a16="http://schemas.microsoft.com/office/drawing/2014/main" id="{E6B67BF9-917C-4179-8458-2396B61BE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17</xdr:col>
      <xdr:colOff>0</xdr:colOff>
      <xdr:row>489</xdr:row>
      <xdr:rowOff>0</xdr:rowOff>
    </xdr:from>
    <xdr:to>
      <xdr:col>24</xdr:col>
      <xdr:colOff>288637</xdr:colOff>
      <xdr:row>503</xdr:row>
      <xdr:rowOff>157019</xdr:rowOff>
    </xdr:to>
    <xdr:graphicFrame macro="">
      <xdr:nvGraphicFramePr>
        <xdr:cNvPr id="53" name="Chart 52">
          <a:extLst>
            <a:ext uri="{FF2B5EF4-FFF2-40B4-BE49-F238E27FC236}">
              <a16:creationId xmlns:a16="http://schemas.microsoft.com/office/drawing/2014/main" id="{EC8E8456-5666-460B-BE40-FF7B621F9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17</xdr:col>
      <xdr:colOff>0</xdr:colOff>
      <xdr:row>522</xdr:row>
      <xdr:rowOff>0</xdr:rowOff>
    </xdr:from>
    <xdr:to>
      <xdr:col>24</xdr:col>
      <xdr:colOff>288637</xdr:colOff>
      <xdr:row>536</xdr:row>
      <xdr:rowOff>157019</xdr:rowOff>
    </xdr:to>
    <xdr:graphicFrame macro="">
      <xdr:nvGraphicFramePr>
        <xdr:cNvPr id="54" name="Chart 53">
          <a:extLst>
            <a:ext uri="{FF2B5EF4-FFF2-40B4-BE49-F238E27FC236}">
              <a16:creationId xmlns:a16="http://schemas.microsoft.com/office/drawing/2014/main" id="{FD1703E4-A96D-4D87-A080-DECA0494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17</xdr:col>
      <xdr:colOff>11545</xdr:colOff>
      <xdr:row>557</xdr:row>
      <xdr:rowOff>80818</xdr:rowOff>
    </xdr:from>
    <xdr:to>
      <xdr:col>24</xdr:col>
      <xdr:colOff>300182</xdr:colOff>
      <xdr:row>572</xdr:row>
      <xdr:rowOff>53109</xdr:rowOff>
    </xdr:to>
    <xdr:graphicFrame macro="">
      <xdr:nvGraphicFramePr>
        <xdr:cNvPr id="55" name="Chart 54">
          <a:extLst>
            <a:ext uri="{FF2B5EF4-FFF2-40B4-BE49-F238E27FC236}">
              <a16:creationId xmlns:a16="http://schemas.microsoft.com/office/drawing/2014/main" id="{C8EA8102-896E-4A2F-8A58-0C8D305C2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16</xdr:col>
      <xdr:colOff>600365</xdr:colOff>
      <xdr:row>592</xdr:row>
      <xdr:rowOff>69272</xdr:rowOff>
    </xdr:from>
    <xdr:to>
      <xdr:col>24</xdr:col>
      <xdr:colOff>277092</xdr:colOff>
      <xdr:row>607</xdr:row>
      <xdr:rowOff>41563</xdr:rowOff>
    </xdr:to>
    <xdr:graphicFrame macro="">
      <xdr:nvGraphicFramePr>
        <xdr:cNvPr id="56" name="Chart 55">
          <a:extLst>
            <a:ext uri="{FF2B5EF4-FFF2-40B4-BE49-F238E27FC236}">
              <a16:creationId xmlns:a16="http://schemas.microsoft.com/office/drawing/2014/main" id="{15FC0AEF-1908-4694-B575-116960955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xdr:col>
      <xdr:colOff>0</xdr:colOff>
      <xdr:row>629</xdr:row>
      <xdr:rowOff>0</xdr:rowOff>
    </xdr:from>
    <xdr:to>
      <xdr:col>24</xdr:col>
      <xdr:colOff>288637</xdr:colOff>
      <xdr:row>643</xdr:row>
      <xdr:rowOff>157018</xdr:rowOff>
    </xdr:to>
    <xdr:graphicFrame macro="">
      <xdr:nvGraphicFramePr>
        <xdr:cNvPr id="57" name="Chart 56">
          <a:extLst>
            <a:ext uri="{FF2B5EF4-FFF2-40B4-BE49-F238E27FC236}">
              <a16:creationId xmlns:a16="http://schemas.microsoft.com/office/drawing/2014/main" id="{BB7D6E7E-B5D2-427C-BB92-99159F05C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57</xdr:col>
      <xdr:colOff>0</xdr:colOff>
      <xdr:row>282</xdr:row>
      <xdr:rowOff>0</xdr:rowOff>
    </xdr:from>
    <xdr:to>
      <xdr:col>79</xdr:col>
      <xdr:colOff>544287</xdr:colOff>
      <xdr:row>311</xdr:row>
      <xdr:rowOff>78921</xdr:rowOff>
    </xdr:to>
    <xdr:graphicFrame macro="">
      <xdr:nvGraphicFramePr>
        <xdr:cNvPr id="25" name="Chart 24">
          <a:extLst>
            <a:ext uri="{FF2B5EF4-FFF2-40B4-BE49-F238E27FC236}">
              <a16:creationId xmlns:a16="http://schemas.microsoft.com/office/drawing/2014/main" id="{6B7BE1F4-C9FE-4E66-8297-F6B136BC8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xdr:col>
      <xdr:colOff>0</xdr:colOff>
      <xdr:row>7</xdr:row>
      <xdr:rowOff>0</xdr:rowOff>
    </xdr:from>
    <xdr:to>
      <xdr:col>18</xdr:col>
      <xdr:colOff>190786</xdr:colOff>
      <xdr:row>63</xdr:row>
      <xdr:rowOff>172000</xdr:rowOff>
    </xdr:to>
    <xdr:graphicFrame macro="">
      <xdr:nvGraphicFramePr>
        <xdr:cNvPr id="63" name="Chart 62">
          <a:extLst>
            <a:ext uri="{FF2B5EF4-FFF2-40B4-BE49-F238E27FC236}">
              <a16:creationId xmlns:a16="http://schemas.microsoft.com/office/drawing/2014/main" id="{CF238705-FAEE-47B3-90AE-7997F6CF271E}"/>
            </a:ext>
            <a:ext uri="{147F2762-F138-4A5C-976F-8EAC2B608ADB}">
              <a16:predDERef xmlns:a16="http://schemas.microsoft.com/office/drawing/2014/main" pred="{1F79AF88-0560-B3C4-9866-3F3863286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0</xdr:col>
      <xdr:colOff>0</xdr:colOff>
      <xdr:row>6</xdr:row>
      <xdr:rowOff>181428</xdr:rowOff>
    </xdr:from>
    <xdr:to>
      <xdr:col>18</xdr:col>
      <xdr:colOff>190786</xdr:colOff>
      <xdr:row>120</xdr:row>
      <xdr:rowOff>171999</xdr:rowOff>
    </xdr:to>
    <xdr:graphicFrame macro="">
      <xdr:nvGraphicFramePr>
        <xdr:cNvPr id="64" name="Chart 63">
          <a:extLst>
            <a:ext uri="{FF2B5EF4-FFF2-40B4-BE49-F238E27FC236}">
              <a16:creationId xmlns:a16="http://schemas.microsoft.com/office/drawing/2014/main" id="{FC7C99EE-E8BB-4485-B14F-706B23D4D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xdr:col>
      <xdr:colOff>0</xdr:colOff>
      <xdr:row>121</xdr:row>
      <xdr:rowOff>0</xdr:rowOff>
    </xdr:from>
    <xdr:to>
      <xdr:col>18</xdr:col>
      <xdr:colOff>190786</xdr:colOff>
      <xdr:row>177</xdr:row>
      <xdr:rowOff>172357</xdr:rowOff>
    </xdr:to>
    <xdr:graphicFrame macro="">
      <xdr:nvGraphicFramePr>
        <xdr:cNvPr id="65" name="Chart 64">
          <a:extLst>
            <a:ext uri="{FF2B5EF4-FFF2-40B4-BE49-F238E27FC236}">
              <a16:creationId xmlns:a16="http://schemas.microsoft.com/office/drawing/2014/main" id="{4648DF17-0D42-4B86-98B6-04FA46411005}"/>
            </a:ext>
            <a:ext uri="{147F2762-F138-4A5C-976F-8EAC2B608ADB}">
              <a16:predDERef xmlns:a16="http://schemas.microsoft.com/office/drawing/2014/main" pred="{1F79AF88-0560-B3C4-9866-3F3863286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xdr:col>
      <xdr:colOff>-1</xdr:colOff>
      <xdr:row>178</xdr:row>
      <xdr:rowOff>0</xdr:rowOff>
    </xdr:from>
    <xdr:to>
      <xdr:col>18</xdr:col>
      <xdr:colOff>190785</xdr:colOff>
      <xdr:row>234</xdr:row>
      <xdr:rowOff>172000</xdr:rowOff>
    </xdr:to>
    <xdr:graphicFrame macro="">
      <xdr:nvGraphicFramePr>
        <xdr:cNvPr id="66" name="Chart 65">
          <a:extLst>
            <a:ext uri="{FF2B5EF4-FFF2-40B4-BE49-F238E27FC236}">
              <a16:creationId xmlns:a16="http://schemas.microsoft.com/office/drawing/2014/main" id="{7551DDDA-8921-4CF3-8D64-CFB3ACA3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editAs="absolute">
    <xdr:from>
      <xdr:col>30</xdr:col>
      <xdr:colOff>457197</xdr:colOff>
      <xdr:row>192</xdr:row>
      <xdr:rowOff>104319</xdr:rowOff>
    </xdr:from>
    <xdr:to>
      <xdr:col>33</xdr:col>
      <xdr:colOff>317499</xdr:colOff>
      <xdr:row>199</xdr:row>
      <xdr:rowOff>145142</xdr:rowOff>
    </xdr:to>
    <mc:AlternateContent xmlns:mc="http://schemas.openxmlformats.org/markup-compatibility/2006" xmlns:sle15="http://schemas.microsoft.com/office/drawing/2012/slicer">
      <mc:Choice Requires="sle15">
        <xdr:graphicFrame macro="">
          <xdr:nvGraphicFramePr>
            <xdr:cNvPr id="67" name="Charts 1">
              <a:extLst>
                <a:ext uri="{FF2B5EF4-FFF2-40B4-BE49-F238E27FC236}">
                  <a16:creationId xmlns:a16="http://schemas.microsoft.com/office/drawing/2014/main" id="{AC50A8C1-377A-B200-9312-4EC7C7AACC21}"/>
                </a:ext>
              </a:extLst>
            </xdr:cNvPr>
            <xdr:cNvGraphicFramePr/>
          </xdr:nvGraphicFramePr>
          <xdr:xfrm>
            <a:off x="0" y="0"/>
            <a:ext cx="0" cy="0"/>
          </xdr:xfrm>
          <a:graphic>
            <a:graphicData uri="http://schemas.microsoft.com/office/drawing/2010/slicer">
              <sle:slicer xmlns:sle="http://schemas.microsoft.com/office/drawing/2010/slicer" name="Charts 1"/>
            </a:graphicData>
          </a:graphic>
        </xdr:graphicFrame>
      </mc:Choice>
      <mc:Fallback xmlns="">
        <xdr:sp macro="" textlink="">
          <xdr:nvSpPr>
            <xdr:cNvPr id="0" name=""/>
            <xdr:cNvSpPr>
              <a:spLocks noTextEdit="1"/>
            </xdr:cNvSpPr>
          </xdr:nvSpPr>
          <xdr:spPr>
            <a:xfrm>
              <a:off x="21239840" y="5946319"/>
              <a:ext cx="1683659" cy="1310823"/>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190500</xdr:colOff>
      <xdr:row>7</xdr:row>
      <xdr:rowOff>1</xdr:rowOff>
    </xdr:from>
    <xdr:to>
      <xdr:col>30</xdr:col>
      <xdr:colOff>526144</xdr:colOff>
      <xdr:row>21</xdr:row>
      <xdr:rowOff>99787</xdr:rowOff>
    </xdr:to>
    <xdr:graphicFrame macro="">
      <xdr:nvGraphicFramePr>
        <xdr:cNvPr id="68" name="Chart 67">
          <a:extLst>
            <a:ext uri="{FF2B5EF4-FFF2-40B4-BE49-F238E27FC236}">
              <a16:creationId xmlns:a16="http://schemas.microsoft.com/office/drawing/2014/main" id="{8A780292-F825-40A3-AFCE-4B04297BB982}"/>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18</xdr:col>
      <xdr:colOff>199571</xdr:colOff>
      <xdr:row>21</xdr:row>
      <xdr:rowOff>117929</xdr:rowOff>
    </xdr:from>
    <xdr:to>
      <xdr:col>30</xdr:col>
      <xdr:colOff>523420</xdr:colOff>
      <xdr:row>37</xdr:row>
      <xdr:rowOff>145142</xdr:rowOff>
    </xdr:to>
    <xdr:graphicFrame macro="">
      <xdr:nvGraphicFramePr>
        <xdr:cNvPr id="69" name="Chart 68">
          <a:extLst>
            <a:ext uri="{FF2B5EF4-FFF2-40B4-BE49-F238E27FC236}">
              <a16:creationId xmlns:a16="http://schemas.microsoft.com/office/drawing/2014/main" id="{2ED46461-C09A-4830-8F2F-9E76F15AA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18</xdr:col>
      <xdr:colOff>190500</xdr:colOff>
      <xdr:row>64</xdr:row>
      <xdr:rowOff>1</xdr:rowOff>
    </xdr:from>
    <xdr:to>
      <xdr:col>30</xdr:col>
      <xdr:colOff>526144</xdr:colOff>
      <xdr:row>78</xdr:row>
      <xdr:rowOff>99787</xdr:rowOff>
    </xdr:to>
    <xdr:graphicFrame macro="">
      <xdr:nvGraphicFramePr>
        <xdr:cNvPr id="70" name="Chart 69">
          <a:extLst>
            <a:ext uri="{FF2B5EF4-FFF2-40B4-BE49-F238E27FC236}">
              <a16:creationId xmlns:a16="http://schemas.microsoft.com/office/drawing/2014/main" id="{B702847E-6713-46DB-B631-84DAE0FAFF4F}"/>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18</xdr:col>
      <xdr:colOff>199572</xdr:colOff>
      <xdr:row>120</xdr:row>
      <xdr:rowOff>172358</xdr:rowOff>
    </xdr:from>
    <xdr:to>
      <xdr:col>30</xdr:col>
      <xdr:colOff>535216</xdr:colOff>
      <xdr:row>135</xdr:row>
      <xdr:rowOff>90715</xdr:rowOff>
    </xdr:to>
    <xdr:graphicFrame macro="">
      <xdr:nvGraphicFramePr>
        <xdr:cNvPr id="71" name="Chart 70">
          <a:extLst>
            <a:ext uri="{FF2B5EF4-FFF2-40B4-BE49-F238E27FC236}">
              <a16:creationId xmlns:a16="http://schemas.microsoft.com/office/drawing/2014/main" id="{7202544C-F2FD-4B5D-9519-26CD00D21CA0}"/>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18</xdr:col>
      <xdr:colOff>190500</xdr:colOff>
      <xdr:row>177</xdr:row>
      <xdr:rowOff>154213</xdr:rowOff>
    </xdr:from>
    <xdr:to>
      <xdr:col>30</xdr:col>
      <xdr:colOff>526144</xdr:colOff>
      <xdr:row>192</xdr:row>
      <xdr:rowOff>72571</xdr:rowOff>
    </xdr:to>
    <xdr:graphicFrame macro="">
      <xdr:nvGraphicFramePr>
        <xdr:cNvPr id="72" name="Chart 71">
          <a:extLst>
            <a:ext uri="{FF2B5EF4-FFF2-40B4-BE49-F238E27FC236}">
              <a16:creationId xmlns:a16="http://schemas.microsoft.com/office/drawing/2014/main" id="{F26D72C3-6EB6-4E46-82A6-9D4E57E57C11}"/>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18</xdr:col>
      <xdr:colOff>190500</xdr:colOff>
      <xdr:row>78</xdr:row>
      <xdr:rowOff>108858</xdr:rowOff>
    </xdr:from>
    <xdr:to>
      <xdr:col>30</xdr:col>
      <xdr:colOff>514349</xdr:colOff>
      <xdr:row>94</xdr:row>
      <xdr:rowOff>136072</xdr:rowOff>
    </xdr:to>
    <xdr:graphicFrame macro="">
      <xdr:nvGraphicFramePr>
        <xdr:cNvPr id="73" name="Chart 72">
          <a:extLst>
            <a:ext uri="{FF2B5EF4-FFF2-40B4-BE49-F238E27FC236}">
              <a16:creationId xmlns:a16="http://schemas.microsoft.com/office/drawing/2014/main" id="{C189E9D0-365C-4CB7-B8D6-9241A3C75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18</xdr:col>
      <xdr:colOff>208643</xdr:colOff>
      <xdr:row>135</xdr:row>
      <xdr:rowOff>108857</xdr:rowOff>
    </xdr:from>
    <xdr:to>
      <xdr:col>30</xdr:col>
      <xdr:colOff>532492</xdr:colOff>
      <xdr:row>151</xdr:row>
      <xdr:rowOff>136071</xdr:rowOff>
    </xdr:to>
    <xdr:graphicFrame macro="">
      <xdr:nvGraphicFramePr>
        <xdr:cNvPr id="74" name="Chart 73">
          <a:extLst>
            <a:ext uri="{FF2B5EF4-FFF2-40B4-BE49-F238E27FC236}">
              <a16:creationId xmlns:a16="http://schemas.microsoft.com/office/drawing/2014/main" id="{7155DD65-C03B-4156-B6EF-576CA29A9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18</xdr:col>
      <xdr:colOff>190500</xdr:colOff>
      <xdr:row>192</xdr:row>
      <xdr:rowOff>81642</xdr:rowOff>
    </xdr:from>
    <xdr:to>
      <xdr:col>30</xdr:col>
      <xdr:colOff>514349</xdr:colOff>
      <xdr:row>208</xdr:row>
      <xdr:rowOff>108856</xdr:rowOff>
    </xdr:to>
    <xdr:graphicFrame macro="">
      <xdr:nvGraphicFramePr>
        <xdr:cNvPr id="75" name="Chart 74">
          <a:extLst>
            <a:ext uri="{FF2B5EF4-FFF2-40B4-BE49-F238E27FC236}">
              <a16:creationId xmlns:a16="http://schemas.microsoft.com/office/drawing/2014/main" id="{389897A2-FFDA-4361-913D-282FF0577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18</xdr:col>
      <xdr:colOff>190500</xdr:colOff>
      <xdr:row>37</xdr:row>
      <xdr:rowOff>136071</xdr:rowOff>
    </xdr:from>
    <xdr:to>
      <xdr:col>23</xdr:col>
      <xdr:colOff>199571</xdr:colOff>
      <xdr:row>64</xdr:row>
      <xdr:rowOff>0</xdr:rowOff>
    </xdr:to>
    <xdr:graphicFrame macro="">
      <xdr:nvGraphicFramePr>
        <xdr:cNvPr id="76" name="Chart 75">
          <a:extLst>
            <a:ext uri="{FF2B5EF4-FFF2-40B4-BE49-F238E27FC236}">
              <a16:creationId xmlns:a16="http://schemas.microsoft.com/office/drawing/2014/main" id="{DEE7E750-4E1B-4CAD-A50A-E139EC595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18</xdr:col>
      <xdr:colOff>199572</xdr:colOff>
      <xdr:row>94</xdr:row>
      <xdr:rowOff>117928</xdr:rowOff>
    </xdr:from>
    <xdr:to>
      <xdr:col>23</xdr:col>
      <xdr:colOff>208643</xdr:colOff>
      <xdr:row>120</xdr:row>
      <xdr:rowOff>163285</xdr:rowOff>
    </xdr:to>
    <xdr:graphicFrame macro="">
      <xdr:nvGraphicFramePr>
        <xdr:cNvPr id="77" name="Chart 76">
          <a:extLst>
            <a:ext uri="{FF2B5EF4-FFF2-40B4-BE49-F238E27FC236}">
              <a16:creationId xmlns:a16="http://schemas.microsoft.com/office/drawing/2014/main" id="{451DCC0B-C307-454A-9D20-234CE9705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18</xdr:col>
      <xdr:colOff>199572</xdr:colOff>
      <xdr:row>151</xdr:row>
      <xdr:rowOff>99785</xdr:rowOff>
    </xdr:from>
    <xdr:to>
      <xdr:col>23</xdr:col>
      <xdr:colOff>208643</xdr:colOff>
      <xdr:row>177</xdr:row>
      <xdr:rowOff>145142</xdr:rowOff>
    </xdr:to>
    <xdr:graphicFrame macro="">
      <xdr:nvGraphicFramePr>
        <xdr:cNvPr id="78" name="Chart 77">
          <a:extLst>
            <a:ext uri="{FF2B5EF4-FFF2-40B4-BE49-F238E27FC236}">
              <a16:creationId xmlns:a16="http://schemas.microsoft.com/office/drawing/2014/main" id="{2AFDFF87-9F90-498F-B47D-6D264EE83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18</xdr:col>
      <xdr:colOff>181429</xdr:colOff>
      <xdr:row>208</xdr:row>
      <xdr:rowOff>108857</xdr:rowOff>
    </xdr:from>
    <xdr:to>
      <xdr:col>23</xdr:col>
      <xdr:colOff>190500</xdr:colOff>
      <xdr:row>234</xdr:row>
      <xdr:rowOff>154214</xdr:rowOff>
    </xdr:to>
    <xdr:graphicFrame macro="">
      <xdr:nvGraphicFramePr>
        <xdr:cNvPr id="79" name="Chart 78">
          <a:extLst>
            <a:ext uri="{FF2B5EF4-FFF2-40B4-BE49-F238E27FC236}">
              <a16:creationId xmlns:a16="http://schemas.microsoft.com/office/drawing/2014/main" id="{11C9EC93-06DD-4D63-81F7-3EEEBF9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23</xdr:col>
      <xdr:colOff>181427</xdr:colOff>
      <xdr:row>208</xdr:row>
      <xdr:rowOff>108858</xdr:rowOff>
    </xdr:from>
    <xdr:to>
      <xdr:col>30</xdr:col>
      <xdr:colOff>498926</xdr:colOff>
      <xdr:row>234</xdr:row>
      <xdr:rowOff>154214</xdr:rowOff>
    </xdr:to>
    <xdr:graphicFrame macro="">
      <xdr:nvGraphicFramePr>
        <xdr:cNvPr id="80" name="Chart 79">
          <a:extLst>
            <a:ext uri="{FF2B5EF4-FFF2-40B4-BE49-F238E27FC236}">
              <a16:creationId xmlns:a16="http://schemas.microsoft.com/office/drawing/2014/main" id="{4C5FA66F-9555-4BA7-8518-CA6BCAA7F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23</xdr:col>
      <xdr:colOff>181429</xdr:colOff>
      <xdr:row>151</xdr:row>
      <xdr:rowOff>99785</xdr:rowOff>
    </xdr:from>
    <xdr:to>
      <xdr:col>30</xdr:col>
      <xdr:colOff>498928</xdr:colOff>
      <xdr:row>177</xdr:row>
      <xdr:rowOff>145141</xdr:rowOff>
    </xdr:to>
    <xdr:graphicFrame macro="">
      <xdr:nvGraphicFramePr>
        <xdr:cNvPr id="81" name="Chart 80">
          <a:extLst>
            <a:ext uri="{FF2B5EF4-FFF2-40B4-BE49-F238E27FC236}">
              <a16:creationId xmlns:a16="http://schemas.microsoft.com/office/drawing/2014/main" id="{8C7C7EF1-0342-4827-9DB4-0E9C3C1F8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23</xdr:col>
      <xdr:colOff>199571</xdr:colOff>
      <xdr:row>94</xdr:row>
      <xdr:rowOff>127000</xdr:rowOff>
    </xdr:from>
    <xdr:to>
      <xdr:col>30</xdr:col>
      <xdr:colOff>517070</xdr:colOff>
      <xdr:row>120</xdr:row>
      <xdr:rowOff>172356</xdr:rowOff>
    </xdr:to>
    <xdr:graphicFrame macro="">
      <xdr:nvGraphicFramePr>
        <xdr:cNvPr id="82" name="Chart 81">
          <a:extLst>
            <a:ext uri="{FF2B5EF4-FFF2-40B4-BE49-F238E27FC236}">
              <a16:creationId xmlns:a16="http://schemas.microsoft.com/office/drawing/2014/main" id="{63FF8FCC-8D0D-4A0B-8D6C-C95387B07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23</xdr:col>
      <xdr:colOff>163285</xdr:colOff>
      <xdr:row>37</xdr:row>
      <xdr:rowOff>126999</xdr:rowOff>
    </xdr:from>
    <xdr:to>
      <xdr:col>30</xdr:col>
      <xdr:colOff>480784</xdr:colOff>
      <xdr:row>63</xdr:row>
      <xdr:rowOff>172356</xdr:rowOff>
    </xdr:to>
    <xdr:graphicFrame macro="">
      <xdr:nvGraphicFramePr>
        <xdr:cNvPr id="83" name="Chart 82">
          <a:extLst>
            <a:ext uri="{FF2B5EF4-FFF2-40B4-BE49-F238E27FC236}">
              <a16:creationId xmlns:a16="http://schemas.microsoft.com/office/drawing/2014/main" id="{5A24ADA3-5C70-4A8F-9171-3FA70C5E7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17</xdr:col>
      <xdr:colOff>13605</xdr:colOff>
      <xdr:row>255</xdr:row>
      <xdr:rowOff>156934</xdr:rowOff>
    </xdr:from>
    <xdr:to>
      <xdr:col>24</xdr:col>
      <xdr:colOff>331105</xdr:colOff>
      <xdr:row>270</xdr:row>
      <xdr:rowOff>178705</xdr:rowOff>
    </xdr:to>
    <xdr:graphicFrame macro="">
      <xdr:nvGraphicFramePr>
        <xdr:cNvPr id="2" name="Chart 1">
          <a:extLst>
            <a:ext uri="{FF2B5EF4-FFF2-40B4-BE49-F238E27FC236}">
              <a16:creationId xmlns:a16="http://schemas.microsoft.com/office/drawing/2014/main" id="{474310F6-69C6-B18E-45D2-96068718E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ts" xr10:uid="{99D9E0EE-49A1-4BF9-AD65-F5163FF786FE}" sourceName="Chart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ts 1" xr10:uid="{F6F40F94-2F63-46D6-BC4E-BB0AF3097113}" cache="Slicer_Charts" caption="Charts"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03C92-1614-466E-9DB8-B9F168343E54}" name="Table1" displayName="Table1" ref="A7:A235" totalsRowShown="0">
  <autoFilter ref="A7:A235" xr:uid="{51703C92-1614-466E-9DB8-B9F168343E54}">
    <filterColumn colId="0">
      <filters>
        <filter val="Everyday performance(Streak Bonus)"/>
      </filters>
    </filterColumn>
  </autoFilter>
  <tableColumns count="1">
    <tableColumn id="1" xr3:uid="{978C8EA5-9ECD-426B-913C-B44753DDA0C8}" name="Char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ocs.google.com/forms/d/e/1FAIpQLSeGUdUZ_43yD0RIy5FU2S7OAtnAPyPJjnT3wjJh2nu1oovxmA/viewform?usp=header"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forms/d/e/1FAIpQLSeGUdUZ_43yD0RIy5FU2S7OAtnAPyPJjnT3wjJh2nu1oovxmA/viewform?usp=head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DD6DF-6574-4522-BEC3-02C9DAEE7232}">
  <sheetPr codeName="Sheet1"/>
  <dimension ref="A1:BU222"/>
  <sheetViews>
    <sheetView showGridLines="0" tabSelected="1" zoomScale="70" zoomScaleNormal="70" workbookViewId="0">
      <pane ySplit="2" topLeftCell="A3" activePane="bottomLeft" state="frozen"/>
      <selection pane="bottomLeft" activeCell="J37" sqref="J37"/>
    </sheetView>
  </sheetViews>
  <sheetFormatPr defaultRowHeight="14.5" x14ac:dyDescent="0.35"/>
  <cols>
    <col min="1" max="3" width="10.36328125" bestFit="1" customWidth="1"/>
    <col min="4" max="4" width="15.08984375" bestFit="1" customWidth="1"/>
    <col min="5" max="5" width="10.36328125" customWidth="1"/>
    <col min="6" max="6" width="7" customWidth="1"/>
    <col min="7" max="7" width="8.54296875" bestFit="1" customWidth="1"/>
    <col min="8" max="8" width="7.54296875" bestFit="1" customWidth="1"/>
    <col min="9" max="9" width="10.54296875" bestFit="1" customWidth="1"/>
    <col min="10" max="10" width="9.54296875" bestFit="1" customWidth="1"/>
    <col min="11" max="11" width="10.1796875" bestFit="1" customWidth="1"/>
    <col min="12" max="12" width="8.54296875" bestFit="1" customWidth="1"/>
    <col min="13" max="13" width="7.90625" bestFit="1" customWidth="1"/>
    <col min="14" max="14" width="6.90625" bestFit="1" customWidth="1"/>
    <col min="15" max="16" width="7.7265625" bestFit="1" customWidth="1"/>
    <col min="17" max="17" width="7.7265625" customWidth="1"/>
    <col min="18" max="18" width="10.453125" customWidth="1"/>
    <col min="19" max="19" width="7.7265625" bestFit="1" customWidth="1"/>
    <col min="20" max="20" width="6.1796875" bestFit="1" customWidth="1"/>
    <col min="21" max="21" width="9.1796875" bestFit="1" customWidth="1"/>
    <col min="22" max="22" width="9.1796875" customWidth="1"/>
    <col min="26" max="26" width="76.1796875" style="1" customWidth="1"/>
    <col min="27" max="27" width="28" style="1" customWidth="1"/>
    <col min="28" max="28" width="13.7265625" customWidth="1"/>
    <col min="63" max="63" width="7.6328125" bestFit="1" customWidth="1"/>
    <col min="65" max="65" width="5.81640625" bestFit="1" customWidth="1"/>
  </cols>
  <sheetData>
    <row r="1" spans="1:73" s="163" customFormat="1" x14ac:dyDescent="0.35">
      <c r="A1" s="170" t="s">
        <v>108</v>
      </c>
      <c r="B1" s="203" t="s">
        <v>103</v>
      </c>
      <c r="C1" s="203"/>
      <c r="D1" s="203"/>
      <c r="E1" s="203"/>
      <c r="F1" s="203"/>
      <c r="G1" s="203"/>
      <c r="H1" s="203"/>
      <c r="I1" s="203"/>
      <c r="J1" s="203"/>
      <c r="K1" s="203"/>
      <c r="L1" s="203"/>
      <c r="M1" s="203"/>
      <c r="N1" s="203"/>
      <c r="O1" s="203"/>
      <c r="P1" s="175" t="s">
        <v>104</v>
      </c>
      <c r="Q1" s="175"/>
      <c r="R1" s="175"/>
      <c r="S1" s="175"/>
      <c r="T1" s="175"/>
      <c r="U1" s="175"/>
      <c r="V1" s="175"/>
      <c r="Z1" s="168"/>
      <c r="AA1" s="168"/>
    </row>
    <row r="2" spans="1:73" s="164" customFormat="1" ht="69" customHeight="1" x14ac:dyDescent="0.35">
      <c r="B2" s="165" t="s">
        <v>182</v>
      </c>
      <c r="C2" s="165" t="s">
        <v>183</v>
      </c>
      <c r="D2" s="165" t="s">
        <v>184</v>
      </c>
      <c r="E2" s="165" t="s">
        <v>185</v>
      </c>
      <c r="F2" s="165" t="s">
        <v>186</v>
      </c>
      <c r="G2" s="165" t="s">
        <v>187</v>
      </c>
      <c r="H2" s="165" t="s">
        <v>188</v>
      </c>
      <c r="I2" s="165" t="s">
        <v>102</v>
      </c>
      <c r="J2" s="165" t="s">
        <v>189</v>
      </c>
      <c r="K2" s="165" t="s">
        <v>190</v>
      </c>
      <c r="L2" s="165" t="s">
        <v>191</v>
      </c>
      <c r="M2" s="165" t="s">
        <v>192</v>
      </c>
      <c r="N2" s="165" t="s">
        <v>193</v>
      </c>
      <c r="O2" s="165" t="s">
        <v>194</v>
      </c>
      <c r="P2" s="165" t="s">
        <v>195</v>
      </c>
      <c r="Q2" s="165" t="s">
        <v>196</v>
      </c>
      <c r="R2" s="165" t="s">
        <v>105</v>
      </c>
      <c r="S2" s="165" t="s">
        <v>197</v>
      </c>
      <c r="T2" s="165" t="s">
        <v>100</v>
      </c>
      <c r="U2" s="165" t="s">
        <v>101</v>
      </c>
      <c r="V2" s="165" t="s">
        <v>198</v>
      </c>
      <c r="W2" s="165" t="s">
        <v>0</v>
      </c>
      <c r="X2" s="165" t="s">
        <v>111</v>
      </c>
      <c r="Y2" s="165" t="s">
        <v>113</v>
      </c>
      <c r="Z2" s="165" t="s">
        <v>170</v>
      </c>
      <c r="AA2" s="165" t="s">
        <v>53</v>
      </c>
      <c r="AB2" s="166" t="s">
        <v>98</v>
      </c>
      <c r="AC2" s="167"/>
      <c r="AD2" s="165" t="str" cm="1">
        <f t="array" ref="AD2">_xlfn.LET(
_xlpm.clean,TRIM(LEFT(B2,FIND("(",B2&amp;"(")-1)),
_xlpm.tokens,_xlfn.TEXTSPLIT(_xlpm.clean," "),
_xlpm.n,COUNTA(_xlpm.tokens),
IF(
_xlpm.n&lt;=2,
_xlpm.clean,
_xlfn.TEXTJOIN(
" ",
,
_xlfn.MAP(
_xlpm.tokens,
_xlfn.LAMBDA(_xlpm.t,
IF(
OR(
_xlpm.t="&amp;",
SUM(--ISNUMBER(SEARCH({0,1,2,3,4,5,6,7,8,9},_xlpm.t)))&gt;0
),
_xlpm.t,
LEFT(_xlpm.t,1)
)
)
)
)
))</f>
        <v xml:space="preserve">W @ 6am
</v>
      </c>
      <c r="AE2" s="165" t="str" cm="1">
        <f t="array" ref="AE2">_xlfn.LET(
_xlpm.clean,TRIM(LEFT(C2,FIND("(",C2&amp;"(")-1)),
_xlpm.tokens,_xlfn.TEXTSPLIT(_xlpm.clean," "),
_xlpm.n,COUNTA(_xlpm.tokens),
IF(
_xlpm.n&lt;=2,
_xlpm.clean,
_xlfn.TEXTJOIN(
" ",
,
_xlfn.MAP(
_xlpm.tokens,
_xlfn.LAMBDA(_xlpm.t,
IF(
OR(
_xlpm.t="&amp;",
SUM(--ISNUMBER(SEARCH({0,1,2,3,4,5,6,7,8,9},_xlpm.t)))&gt;0
),
_xlpm.t,
LEFT(_xlpm.t,1)
)
)
)
)
))</f>
        <v xml:space="preserve">Bootup 
</v>
      </c>
      <c r="AF2" s="165" t="str" cm="1">
        <f t="array" ref="AF2">_xlfn.LET(
_xlpm.clean,TRIM(LEFT(D2,FIND("(",D2&amp;"(")-1)),
_xlpm.tokens,_xlfn.TEXTSPLIT(_xlpm.clean," "),
_xlpm.n,COUNTA(_xlpm.tokens),
IF(
_xlpm.n&lt;=2,
_xlpm.clean,
_xlfn.TEXTJOIN(
" ",
,
_xlfn.MAP(
_xlpm.tokens,
_xlfn.LAMBDA(_xlpm.t,
IF(
OR(
_xlpm.t="&amp;",
SUM(--ISNUMBER(SEARCH({0,1,2,3,4,5,6,7,8,9},_xlpm.t)))&gt;0
),
_xlpm.t,
LEFT(_xlpm.t,1)
)
)
)
)
))</f>
        <v>R &amp; S</v>
      </c>
      <c r="AG2" s="165" t="str" cm="1">
        <f t="array" ref="AG2">_xlfn.LET(
_xlpm.clean,TRIM(LEFT(E2,FIND("(",E2&amp;"(")-1)),
_xlpm.tokens,_xlfn.TEXTSPLIT(_xlpm.clean," "),
_xlpm.n,COUNTA(_xlpm.tokens),
IF(
_xlpm.n&lt;=2,
_xlpm.clean,
_xlfn.TEXTJOIN(
" ",
,
_xlfn.MAP(
_xlpm.tokens,
_xlfn.LAMBDA(_xlpm.t,
IF(
OR(
_xlpm.t="&amp;",
SUM(--ISNUMBER(SEARCH({0,1,2,3,4,5,6,7,8,9},_xlpm.t)))&gt;0
),
_xlpm.t,
LEFT(_xlpm.t,1)
)
)
)
)
))</f>
        <v xml:space="preserve">Gym
</v>
      </c>
      <c r="AH2" s="165" t="str" cm="1">
        <f t="array" ref="AH2">_xlfn.LET(
_xlpm.clean,TRIM(LEFT(F2,FIND("(",F2&amp;"(")-1)),
_xlpm.tokens,_xlfn.TEXTSPLIT(_xlpm.clean," "),
_xlpm.n,COUNTA(_xlpm.tokens),
IF(
_xlpm.n&lt;=2,
_xlpm.clean,
_xlfn.TEXTJOIN(
" ",
,
_xlfn.MAP(
_xlpm.tokens,
_xlfn.LAMBDA(_xlpm.t,
IF(
OR(
_xlpm.t="&amp;",
SUM(--ISNUMBER(SEARCH({0,1,2,3,4,5,6,7,8,9},_xlpm.t)))&gt;0
),
_xlpm.t,
LEFT(_xlpm.t,1)
)
)
)
)
))</f>
        <v xml:space="preserve">Work
</v>
      </c>
      <c r="AI2" s="165" t="str" cm="1">
        <f t="array" ref="AI2">_xlfn.LET(
_xlpm.clean,TRIM(LEFT(G2,FIND("(",G2&amp;"(")-1)),
_xlpm.tokens,_xlfn.TEXTSPLIT(_xlpm.clean," "),
_xlpm.n,COUNTA(_xlpm.tokens),
IF(
_xlpm.n&lt;=2,
_xlpm.clean,
_xlfn.TEXTJOIN(
" ",
,
_xlfn.MAP(
_xlpm.tokens,
_xlfn.LAMBDA(_xlpm.t,
IF(
OR(
_xlpm.t="&amp;",
SUM(--ISNUMBER(SEARCH({0,1,2,3,4,5,6,7,8,9},_xlpm.t)))&gt;0
),
_xlpm.t,
LEFT(_xlpm.t,1)
)
)
)
)
))</f>
        <v xml:space="preserve">Overtime
</v>
      </c>
      <c r="AJ2" s="165" t="str" cm="1">
        <f t="array" ref="AJ2">_xlfn.LET(
_xlpm.clean,TRIM(LEFT(H2,FIND("(",H2&amp;"(")-1)),
_xlpm.tokens,_xlfn.TEXTSPLIT(_xlpm.clean," "),
_xlpm.n,COUNTA(_xlpm.tokens),
IF(
_xlpm.n&lt;=2,
_xlpm.clean,
_xlfn.TEXTJOIN(
" ",
,
_xlfn.MAP(
_xlpm.tokens,
_xlfn.LAMBDA(_xlpm.t,
IF(
OR(
_xlpm.t="&amp;",
SUM(--ISNUMBER(SEARCH({0,1,2,3,4,5,6,7,8,9},_xlpm.t)))&gt;0
),
_xlpm.t,
LEFT(_xlpm.t,1)
)
)
)
)
))</f>
        <v xml:space="preserve">Cooking
</v>
      </c>
      <c r="AK2" s="165" t="str" cm="1">
        <f t="array" ref="AK2">_xlfn.LET(
_xlpm.clean,TRIM(LEFT(I2,FIND("(",I2&amp;"(")-1)),
_xlpm.tokens,_xlfn.TEXTSPLIT(_xlpm.clean," "),
_xlpm.n,COUNTA(_xlpm.tokens),
IF(
_xlpm.n&lt;=2,
_xlpm.clean,
_xlfn.TEXTJOIN(
" ",
,
_xlfn.MAP(
_xlpm.tokens,
_xlfn.LAMBDA(_xlpm.t,
IF(
OR(
_xlpm.t="&amp;",
SUM(--ISNUMBER(SEARCH({0,1,2,3,4,5,6,7,8,9},_xlpm.t)))&gt;0
),
_xlpm.t,
LEFT(_xlpm.t,1)
)
)
)
)
))</f>
        <v xml:space="preserve">Art
</v>
      </c>
      <c r="AL2" s="165" t="str" cm="1">
        <f t="array" ref="AL2">_xlfn.LET(
_xlpm.clean,TRIM(LEFT(J2,FIND("(",J2&amp;"(")-1)),
_xlpm.tokens,_xlfn.TEXTSPLIT(_xlpm.clean," "),
_xlpm.n,COUNTA(_xlpm.tokens),
IF(
_xlpm.n&lt;=2,
_xlpm.clean,
_xlfn.TEXTJOIN(
" ",
,
_xlfn.MAP(
_xlpm.tokens,
_xlfn.LAMBDA(_xlpm.t,
IF(
OR(
_xlpm.t="&amp;",
SUM(--ISNUMBER(SEARCH({0,1,2,3,4,5,6,7,8,9},_xlpm.t)))&gt;0
),
_xlpm.t,
LEFT(_xlpm.t,1)
)
)
)
)
))</f>
        <v xml:space="preserve">Chess
</v>
      </c>
      <c r="AM2" s="165" t="str" cm="1">
        <f t="array" ref="AM2">_xlfn.LET(
_xlpm.clean,TRIM(LEFT(K2,FIND("(",K2&amp;"(")-1)),
_xlpm.tokens,_xlfn.TEXTSPLIT(_xlpm.clean," "),
_xlpm.n,COUNTA(_xlpm.tokens),
IF(
_xlpm.n&lt;=2,
_xlpm.clean,
_xlfn.TEXTJOIN(
" ",
,
_xlfn.MAP(
_xlpm.tokens,
_xlfn.LAMBDA(_xlpm.t,
IF(
OR(
_xlpm.t="&amp;",
SUM(--ISNUMBER(SEARCH({0,1,2,3,4,5,6,7,8,9},_xlpm.t)))&gt;0
),
_xlpm.t,
LEFT(_xlpm.t,1)
)
)
)
)
))</f>
        <v xml:space="preserve">Binge
</v>
      </c>
      <c r="AN2" s="165" t="str" cm="1">
        <f t="array" ref="AN2">_xlfn.LET(
_xlpm.clean,TRIM(LEFT(L2,FIND("(",L2&amp;"(")-1)),
_xlpm.tokens,_xlfn.TEXTSPLIT(_xlpm.clean," "),
_xlpm.n,COUNTA(_xlpm.tokens),
IF(
_xlpm.n&lt;=2,
_xlpm.clean,
_xlfn.TEXTJOIN(
" ",
,
_xlfn.MAP(
_xlpm.tokens,
_xlfn.LAMBDA(_xlpm.t,
IF(
OR(
_xlpm.t="&amp;",
SUM(--ISNUMBER(SEARCH({0,1,2,3,4,5,6,7,8,9},_xlpm.t)))&gt;0
),
_xlpm.t,
LEFT(_xlpm.t,1)
)
)
)
)
))</f>
        <v xml:space="preserve">Resist
</v>
      </c>
      <c r="AO2" s="165" t="str" cm="1">
        <f t="array" ref="AO2">_xlfn.LET(
_xlpm.clean,TRIM(LEFT(M2,FIND("(",M2&amp;"(")-1)),
_xlpm.tokens,_xlfn.TEXTSPLIT(_xlpm.clean," "),
_xlpm.n,COUNTA(_xlpm.tokens),
IF(
_xlpm.n&lt;=2,
_xlpm.clean,
_xlfn.TEXTJOIN(
" ",
,
_xlfn.MAP(
_xlpm.tokens,
_xlfn.LAMBDA(_xlpm.t,
IF(
OR(
_xlpm.t="&amp;",
SUM(--ISNUMBER(SEARCH({0,1,2,3,4,5,6,7,8,9},_xlpm.t)))&gt;0
),
_xlpm.t,
LEFT(_xlpm.t,1)
)
)
)
)
))</f>
        <v xml:space="preserve">Help others
</v>
      </c>
      <c r="AP2" s="165" t="str" cm="1">
        <f t="array" ref="AP2">_xlfn.LET(
_xlpm.clean,TRIM(LEFT(N2,FIND("(",N2&amp;"(")-1)),
_xlpm.tokens,_xlfn.TEXTSPLIT(_xlpm.clean," "),
_xlpm.n,COUNTA(_xlpm.tokens),
IF(
_xlpm.n&lt;=2,
_xlpm.clean,
_xlfn.TEXTJOIN(
" ",
,
_xlfn.MAP(
_xlpm.tokens,
_xlfn.LAMBDA(_xlpm.t,
IF(
OR(
_xlpm.t="&amp;",
SUM(--ISNUMBER(SEARCH({0,1,2,3,4,5,6,7,8,9},_xlpm.t)))&gt;0
),
_xlpm.t,
LEFT(_xlpm.t,1)
)
)
)
)
))</f>
        <v xml:space="preserve">Journal
</v>
      </c>
      <c r="AQ2" s="165" t="str" cm="1">
        <f t="array" ref="AQ2">_xlfn.LET(
_xlpm.clean,TRIM(LEFT(O2,FIND("(",O2&amp;"(")-1)),
_xlpm.tokens,_xlfn.TEXTSPLIT(_xlpm.clean," "),
_xlpm.n,COUNTA(_xlpm.tokens),
IF(
_xlpm.n&lt;=2,
_xlpm.clean,
_xlfn.TEXTJOIN(
" ",
,
_xlfn.MAP(
_xlpm.tokens,
_xlfn.LAMBDA(_xlpm.t,
IF(
OR(
_xlpm.t="&amp;",
SUM(--ISNUMBER(SEARCH({0,1,2,3,4,5,6,7,8,9},_xlpm.t)))&gt;0
),
_xlpm.t,
LEFT(_xlpm.t,1)
)
)
)
)
))</f>
        <v xml:space="preserve">S b 11pm
</v>
      </c>
      <c r="AR2" s="165" t="str" cm="1">
        <f t="array" ref="AR2">_xlfn.LET(
_xlpm.clean,TRIM(LEFT(P2,FIND("(",P2&amp;"(")-1)),
_xlpm.tokens,_xlfn.TEXTSPLIT(_xlpm.clean," "),
_xlpm.n,COUNTA(_xlpm.tokens),
IF(
_xlpm.n&lt;=2,
_xlpm.clean,
_xlfn.TEXTJOIN(
" ",
,
_xlfn.MAP(
_xlpm.tokens,
_xlfn.LAMBDA(_xlpm.t,
IF(
OR(
_xlpm.t="&amp;",
SUM(--ISNUMBER(SEARCH({0,1,2,3,4,5,6,7,8,9},_xlpm.t)))&gt;0
),
_xlpm.t,
LEFT(_xlpm.t,1)
)
)
)
)
))</f>
        <v>D &amp; H</v>
      </c>
      <c r="AS2" s="165" t="str" cm="1">
        <f t="array" ref="AS2">_xlfn.LET(
_xlpm.clean,TRIM(LEFT(Q2,FIND("(",Q2&amp;"(")-1)),
_xlpm.tokens,_xlfn.TEXTSPLIT(_xlpm.clean," "),
_xlpm.n,COUNTA(_xlpm.tokens),
IF(
_xlpm.n&lt;=2,
_xlpm.clean,
_xlfn.TEXTJOIN(
" ",
,
_xlfn.MAP(
_xlpm.tokens,
_xlfn.LAMBDA(_xlpm.t,
IF(
OR(
_xlpm.t="&amp;",
SUM(--ISNUMBER(SEARCH({0,1,2,3,4,5,6,7,8,9},_xlpm.t)))&gt;0
),
_xlpm.t,
LEFT(_xlpm.t,1)
)
)
)
)
))</f>
        <v>P &amp; I</v>
      </c>
      <c r="AT2" s="165" t="str" cm="1">
        <f t="array" ref="AT2">_xlfn.LET(
_xlpm.clean,TRIM(LEFT(R2,FIND("(",R2&amp;"(")-1)),
_xlpm.tokens,_xlfn.TEXTSPLIT(_xlpm.clean," "),
_xlpm.n,COUNTA(_xlpm.tokens),
IF(
_xlpm.n&lt;=2,
_xlpm.clean,
_xlfn.TEXTJOIN(
" ",
,
_xlfn.MAP(
_xlpm.tokens,
_xlfn.LAMBDA(_xlpm.t,
IF(
OR(
_xlpm.t="&amp;",
SUM(--ISNUMBER(SEARCH({0,1,2,3,4,5,6,7,8,9},_xlpm.t)))&gt;0
),
_xlpm.t,
LEFT(_xlpm.t,1)
)
)
)
)
))</f>
        <v>Cleanliness</v>
      </c>
      <c r="AU2" s="165" t="str" cm="1">
        <f t="array" ref="AU2">_xlfn.LET(
_xlpm.clean,TRIM(LEFT(S2,FIND("(",S2&amp;"(")-1)),
_xlpm.tokens,_xlfn.TEXTSPLIT(_xlpm.clean," "),
_xlpm.n,COUNTA(_xlpm.tokens),
IF(
_xlpm.n&lt;=2,
_xlpm.clean,
_xlfn.TEXTJOIN(
" ",
,
_xlfn.MAP(
_xlpm.tokens,
_xlfn.LAMBDA(_xlpm.t,
IF(
OR(
_xlpm.t="&amp;",
SUM(--ISNUMBER(SEARCH({0,1,2,3,4,5,6,7,8,9},_xlpm.t)))&gt;0
),
_xlpm.t,
LEFT(_xlpm.t,1)
)
)
)
)
))</f>
        <v xml:space="preserve">Integrity
</v>
      </c>
      <c r="AV2" s="165" t="str" cm="1">
        <f t="array" ref="AV2">_xlfn.LET(
_xlpm.clean,TRIM(LEFT(T2,FIND("(",T2&amp;"(")-1)),
_xlpm.tokens,_xlfn.TEXTSPLIT(_xlpm.clean," "),
_xlpm.n,COUNTA(_xlpm.tokens),
IF(
_xlpm.n&lt;=2,
_xlpm.clean,
_xlfn.TEXTJOIN(
" ",
,
_xlfn.MAP(
_xlpm.tokens,
_xlfn.LAMBDA(_xlpm.t,
IF(
OR(
_xlpm.t="&amp;",
SUM(--ISNUMBER(SEARCH({0,1,2,3,4,5,6,7,8,9},_xlpm.t)))&gt;0
),
_xlpm.t,
LEFT(_xlpm.t,1)
)
)
)
)
))</f>
        <v xml:space="preserve">Bonus
</v>
      </c>
      <c r="AW2" s="165" t="str" cm="1">
        <f t="array" ref="AW2">_xlfn.LET(
_xlpm.clean,TRIM(LEFT(U2,FIND("(",U2&amp;"(")-1)),
_xlpm.tokens,_xlfn.TEXTSPLIT(_xlpm.clean," "),
_xlpm.n,COUNTA(_xlpm.tokens),
IF(
_xlpm.n&lt;=2,
_xlpm.clean,
_xlfn.TEXTJOIN(
" ",
,
_xlfn.MAP(
_xlpm.tokens,
_xlfn.LAMBDA(_xlpm.t,
IF(
OR(
_xlpm.t="&amp;",
SUM(--ISNUMBER(SEARCH({0,1,2,3,4,5,6,7,8,9},_xlpm.t)))&gt;0
),
_xlpm.t,
LEFT(_xlpm.t,1)
)
)
)
)
))</f>
        <v xml:space="preserve">Penalties
</v>
      </c>
      <c r="AX2" s="165"/>
      <c r="AY2" s="165" t="str">
        <f>AD2</f>
        <v xml:space="preserve">W @ 6am
</v>
      </c>
      <c r="AZ2" s="165" t="str">
        <f t="shared" ref="AZ2:BR2" si="0">AE2</f>
        <v xml:space="preserve">Bootup 
</v>
      </c>
      <c r="BA2" s="165" t="str">
        <f t="shared" si="0"/>
        <v>R &amp; S</v>
      </c>
      <c r="BB2" s="165" t="str">
        <f t="shared" si="0"/>
        <v xml:space="preserve">Gym
</v>
      </c>
      <c r="BC2" s="165" t="str">
        <f t="shared" si="0"/>
        <v xml:space="preserve">Work
</v>
      </c>
      <c r="BD2" s="165" t="str">
        <f t="shared" si="0"/>
        <v xml:space="preserve">Overtime
</v>
      </c>
      <c r="BE2" s="165" t="str">
        <f t="shared" si="0"/>
        <v xml:space="preserve">Cooking
</v>
      </c>
      <c r="BF2" s="165" t="str">
        <f t="shared" si="0"/>
        <v xml:space="preserve">Art
</v>
      </c>
      <c r="BG2" s="165" t="str">
        <f t="shared" si="0"/>
        <v xml:space="preserve">Chess
</v>
      </c>
      <c r="BH2" s="165" t="str">
        <f t="shared" si="0"/>
        <v xml:space="preserve">Binge
</v>
      </c>
      <c r="BI2" s="165" t="str">
        <f t="shared" si="0"/>
        <v xml:space="preserve">Resist
</v>
      </c>
      <c r="BJ2" s="165" t="str">
        <f t="shared" si="0"/>
        <v xml:space="preserve">Help others
</v>
      </c>
      <c r="BK2" s="165" t="str">
        <f t="shared" si="0"/>
        <v xml:space="preserve">Journal
</v>
      </c>
      <c r="BL2" s="165" t="str">
        <f t="shared" si="0"/>
        <v xml:space="preserve">S b 11pm
</v>
      </c>
      <c r="BM2" s="165" t="str">
        <f t="shared" si="0"/>
        <v>D &amp; H</v>
      </c>
      <c r="BN2" s="165" t="str">
        <f t="shared" si="0"/>
        <v>P &amp; I</v>
      </c>
      <c r="BO2" s="165" t="str">
        <f t="shared" si="0"/>
        <v>Cleanliness</v>
      </c>
      <c r="BP2" s="165" t="str">
        <f t="shared" si="0"/>
        <v xml:space="preserve">Integrity
</v>
      </c>
      <c r="BQ2" s="165" t="str">
        <f t="shared" si="0"/>
        <v xml:space="preserve">Bonus
</v>
      </c>
      <c r="BR2" s="165" t="str">
        <f t="shared" si="0"/>
        <v xml:space="preserve">Penalties
</v>
      </c>
      <c r="BS2" s="165" t="s">
        <v>0</v>
      </c>
      <c r="BT2" s="167" t="s">
        <v>114</v>
      </c>
      <c r="BU2" s="167" t="s">
        <v>115</v>
      </c>
    </row>
    <row r="3" spans="1:73" x14ac:dyDescent="0.35">
      <c r="A3" s="53" t="s">
        <v>107</v>
      </c>
      <c r="B3" s="204" t="s">
        <v>149</v>
      </c>
      <c r="C3" s="204"/>
      <c r="D3" s="28">
        <v>46027</v>
      </c>
      <c r="E3" s="28">
        <f>D3+6</f>
        <v>46033</v>
      </c>
      <c r="F3" s="205" t="s">
        <v>150</v>
      </c>
      <c r="G3" s="205"/>
      <c r="H3" s="184" t="s">
        <v>106</v>
      </c>
      <c r="I3" s="19"/>
      <c r="J3" s="19"/>
      <c r="K3" s="19"/>
      <c r="L3" s="19"/>
      <c r="M3" s="19"/>
      <c r="N3" s="19"/>
      <c r="O3" s="19"/>
      <c r="P3" s="19"/>
      <c r="Q3" s="19"/>
      <c r="R3" s="19"/>
      <c r="S3" s="19"/>
      <c r="T3" s="19"/>
      <c r="U3" s="19"/>
      <c r="V3" s="19"/>
      <c r="W3" s="19"/>
      <c r="X3" s="19"/>
      <c r="Y3" s="7"/>
      <c r="Z3" s="20"/>
      <c r="AA3" s="20"/>
      <c r="AB3" s="7"/>
      <c r="AC3" s="7" t="s">
        <v>62</v>
      </c>
      <c r="AD3" s="7"/>
      <c r="AE3" s="7"/>
      <c r="AF3" s="7"/>
      <c r="AG3" s="7"/>
      <c r="AH3" s="7"/>
      <c r="AI3" s="7"/>
      <c r="AJ3" s="7"/>
      <c r="AK3" s="7"/>
      <c r="AL3" s="7"/>
      <c r="AM3" s="7"/>
      <c r="AN3" s="7"/>
      <c r="AO3" s="7"/>
      <c r="AP3" s="7"/>
      <c r="AQ3" s="7"/>
      <c r="AR3" s="7"/>
      <c r="AS3" s="7"/>
      <c r="AT3" s="7"/>
      <c r="AU3" s="7"/>
      <c r="AV3" s="7"/>
      <c r="AW3" s="7"/>
      <c r="AX3" s="7"/>
      <c r="AY3" s="10"/>
      <c r="AZ3" s="10"/>
      <c r="BA3" s="10"/>
      <c r="BB3" s="10"/>
      <c r="BC3" s="10"/>
      <c r="BD3" s="10"/>
      <c r="BE3" s="10"/>
      <c r="BF3" s="10"/>
      <c r="BG3" s="10"/>
      <c r="BH3" s="10"/>
      <c r="BI3" s="10"/>
      <c r="BJ3" s="10"/>
      <c r="BK3" s="10"/>
      <c r="BL3" s="10"/>
      <c r="BM3" s="10"/>
      <c r="BN3" s="10"/>
      <c r="BO3" s="10"/>
      <c r="BP3" s="10"/>
      <c r="BQ3" s="10"/>
      <c r="BR3" s="10"/>
      <c r="BS3" s="10">
        <v>0</v>
      </c>
      <c r="BU3">
        <v>0</v>
      </c>
    </row>
    <row r="4" spans="1:73" x14ac:dyDescent="0.35">
      <c r="A4" s="69" t="s">
        <v>181</v>
      </c>
      <c r="B4" s="16">
        <v>2</v>
      </c>
      <c r="C4" s="16"/>
      <c r="D4" s="16">
        <v>5</v>
      </c>
      <c r="E4" s="16">
        <v>9</v>
      </c>
      <c r="F4" s="176">
        <v>4</v>
      </c>
      <c r="G4" s="16"/>
      <c r="H4" s="16"/>
      <c r="I4" s="16">
        <v>3</v>
      </c>
      <c r="J4" s="16"/>
      <c r="K4" s="16">
        <v>0.75</v>
      </c>
      <c r="L4" s="16">
        <v>2</v>
      </c>
      <c r="M4" s="176">
        <v>1</v>
      </c>
      <c r="N4" s="197">
        <v>2.5</v>
      </c>
      <c r="O4" s="176">
        <v>2</v>
      </c>
      <c r="P4" s="176"/>
      <c r="Q4" s="16"/>
      <c r="R4" s="176">
        <v>1</v>
      </c>
      <c r="S4" s="176">
        <v>3</v>
      </c>
      <c r="T4" s="16"/>
      <c r="U4" s="176">
        <v>-1</v>
      </c>
      <c r="V4" s="202">
        <v>2</v>
      </c>
      <c r="W4" s="24">
        <f>SUM(B4:V4)</f>
        <v>36.25</v>
      </c>
      <c r="X4" s="17">
        <f t="shared" ref="X4:X10" si="1">SUM(AD4:AW4)*0.1</f>
        <v>0.12</v>
      </c>
      <c r="Y4" s="7">
        <f t="shared" ref="Y4:Y10" si="2">W4+X4</f>
        <v>36.369999999999997</v>
      </c>
      <c r="Z4" s="18" t="s">
        <v>169</v>
      </c>
      <c r="AA4" s="23"/>
      <c r="AB4" s="7">
        <f t="shared" ref="AB4:AB10" si="3">W4</f>
        <v>36.25</v>
      </c>
      <c r="AC4" s="7" t="s">
        <v>22</v>
      </c>
      <c r="AD4" s="7">
        <f t="shared" ref="AD4:AM10" si="4">IF(B4 &gt; 0, IF(AD3 &gt; 0, AD3 + 1, 0.1), 0)</f>
        <v>0.1</v>
      </c>
      <c r="AE4" s="7">
        <f t="shared" si="4"/>
        <v>0</v>
      </c>
      <c r="AF4" s="7">
        <f t="shared" si="4"/>
        <v>0.1</v>
      </c>
      <c r="AG4" s="7">
        <f t="shared" si="4"/>
        <v>0.1</v>
      </c>
      <c r="AH4" s="7">
        <f t="shared" si="4"/>
        <v>0.1</v>
      </c>
      <c r="AI4" s="7">
        <f t="shared" si="4"/>
        <v>0</v>
      </c>
      <c r="AJ4" s="7">
        <f t="shared" si="4"/>
        <v>0</v>
      </c>
      <c r="AK4" s="7">
        <f t="shared" si="4"/>
        <v>0.1</v>
      </c>
      <c r="AL4" s="7">
        <f t="shared" si="4"/>
        <v>0</v>
      </c>
      <c r="AM4" s="7">
        <f t="shared" si="4"/>
        <v>0.1</v>
      </c>
      <c r="AN4" s="7">
        <f t="shared" ref="AN4:AW10" si="5">IF(L4 &gt; 0, IF(AN3 &gt; 0, AN3 + 1, 0.1), 0)</f>
        <v>0.1</v>
      </c>
      <c r="AO4" s="7">
        <f t="shared" si="5"/>
        <v>0.1</v>
      </c>
      <c r="AP4" s="7">
        <f t="shared" si="5"/>
        <v>0.1</v>
      </c>
      <c r="AQ4" s="7">
        <f t="shared" si="5"/>
        <v>0.1</v>
      </c>
      <c r="AR4" s="7">
        <f t="shared" si="5"/>
        <v>0</v>
      </c>
      <c r="AS4" s="7">
        <f t="shared" si="5"/>
        <v>0</v>
      </c>
      <c r="AT4" s="7">
        <f t="shared" si="5"/>
        <v>0.1</v>
      </c>
      <c r="AU4" s="7">
        <f t="shared" si="5"/>
        <v>0.1</v>
      </c>
      <c r="AV4" s="7">
        <f t="shared" si="5"/>
        <v>0</v>
      </c>
      <c r="AW4" s="7">
        <f t="shared" si="5"/>
        <v>0</v>
      </c>
      <c r="AX4" s="7"/>
      <c r="AY4" s="7">
        <f>SUM($B$4:B4)</f>
        <v>2</v>
      </c>
      <c r="AZ4" s="7">
        <f>SUM($B$4:C4)</f>
        <v>2</v>
      </c>
      <c r="BA4" s="7">
        <f>SUM($B$4:D4)</f>
        <v>7</v>
      </c>
      <c r="BB4" s="7">
        <f>SUM($B$4:E4)</f>
        <v>16</v>
      </c>
      <c r="BC4" s="7">
        <f>SUM($B$4:F4)</f>
        <v>20</v>
      </c>
      <c r="BD4" s="7">
        <f>SUM($B$4:G4)</f>
        <v>20</v>
      </c>
      <c r="BE4" s="7">
        <f>SUM($B$4:H4)</f>
        <v>20</v>
      </c>
      <c r="BF4" s="7">
        <f>SUM($B$4:I4)</f>
        <v>23</v>
      </c>
      <c r="BG4" s="7">
        <f>SUM($B$4:J4)</f>
        <v>23</v>
      </c>
      <c r="BH4" s="7">
        <f>SUM($B$4:K4)</f>
        <v>23.75</v>
      </c>
      <c r="BI4" s="7">
        <f>SUM($B$4:L4)</f>
        <v>25.75</v>
      </c>
      <c r="BJ4" s="7">
        <f>SUM($B$4:M4)</f>
        <v>26.75</v>
      </c>
      <c r="BK4" s="7">
        <f>SUM($B$4:Q4)</f>
        <v>31.25</v>
      </c>
      <c r="BL4" s="7">
        <f>SUM($B$4:N4)</f>
        <v>29.25</v>
      </c>
      <c r="BM4" s="7">
        <f>SUM($B$4:O4)</f>
        <v>31.25</v>
      </c>
      <c r="BN4" s="7">
        <f>SUM($B$4:P4)</f>
        <v>31.25</v>
      </c>
      <c r="BO4" s="7">
        <f>SUM($B$4:R4)</f>
        <v>32.25</v>
      </c>
      <c r="BP4" s="7">
        <f>SUM($B$4:S4)</f>
        <v>35.25</v>
      </c>
      <c r="BQ4" s="7">
        <f>SUM($B$4:T4)</f>
        <v>35.25</v>
      </c>
      <c r="BR4" s="7">
        <f>SUM($B$4:V4)</f>
        <v>36.25</v>
      </c>
      <c r="BS4" s="7">
        <f>SUM($W$4:W4)</f>
        <v>36.25</v>
      </c>
      <c r="BT4">
        <f>BR4+X4</f>
        <v>36.369999999999997</v>
      </c>
      <c r="BU4">
        <f>SUM($BT$4:BT4)</f>
        <v>36.369999999999997</v>
      </c>
    </row>
    <row r="5" spans="1:73" x14ac:dyDescent="0.35">
      <c r="A5" s="70" t="s">
        <v>23</v>
      </c>
      <c r="B5" s="16"/>
      <c r="C5" s="16"/>
      <c r="D5" s="16"/>
      <c r="E5" s="16"/>
      <c r="F5" s="16"/>
      <c r="G5" s="16"/>
      <c r="H5" s="176"/>
      <c r="I5" s="16"/>
      <c r="J5" s="176"/>
      <c r="K5" s="16"/>
      <c r="L5" s="16"/>
      <c r="M5" s="16"/>
      <c r="N5" s="176"/>
      <c r="O5" s="16"/>
      <c r="P5" s="16"/>
      <c r="Q5" s="16"/>
      <c r="R5" s="16"/>
      <c r="S5" s="16"/>
      <c r="T5" s="16"/>
      <c r="U5" s="16"/>
      <c r="V5" s="17"/>
      <c r="W5" s="24">
        <f>SUM(B5:V5)</f>
        <v>0</v>
      </c>
      <c r="X5" s="17">
        <f t="shared" si="1"/>
        <v>0</v>
      </c>
      <c r="Y5" s="7">
        <f t="shared" si="2"/>
        <v>0</v>
      </c>
      <c r="Z5" s="18"/>
      <c r="AA5" s="23"/>
      <c r="AB5" s="7">
        <f t="shared" si="3"/>
        <v>0</v>
      </c>
      <c r="AC5" s="7" t="s">
        <v>23</v>
      </c>
      <c r="AD5" s="7">
        <f t="shared" si="4"/>
        <v>0</v>
      </c>
      <c r="AE5" s="7">
        <f t="shared" si="4"/>
        <v>0</v>
      </c>
      <c r="AF5" s="7">
        <f t="shared" si="4"/>
        <v>0</v>
      </c>
      <c r="AG5" s="7">
        <f t="shared" si="4"/>
        <v>0</v>
      </c>
      <c r="AH5" s="7">
        <f t="shared" si="4"/>
        <v>0</v>
      </c>
      <c r="AI5" s="7">
        <f t="shared" si="4"/>
        <v>0</v>
      </c>
      <c r="AJ5" s="7">
        <f t="shared" si="4"/>
        <v>0</v>
      </c>
      <c r="AK5" s="7">
        <f t="shared" si="4"/>
        <v>0</v>
      </c>
      <c r="AL5" s="7">
        <f t="shared" si="4"/>
        <v>0</v>
      </c>
      <c r="AM5" s="7">
        <f t="shared" si="4"/>
        <v>0</v>
      </c>
      <c r="AN5" s="7">
        <f t="shared" si="5"/>
        <v>0</v>
      </c>
      <c r="AO5" s="7">
        <f t="shared" si="5"/>
        <v>0</v>
      </c>
      <c r="AP5" s="7">
        <f t="shared" si="5"/>
        <v>0</v>
      </c>
      <c r="AQ5" s="7">
        <f t="shared" si="5"/>
        <v>0</v>
      </c>
      <c r="AR5" s="7">
        <f t="shared" si="5"/>
        <v>0</v>
      </c>
      <c r="AS5" s="7">
        <f t="shared" si="5"/>
        <v>0</v>
      </c>
      <c r="AT5" s="7">
        <f t="shared" si="5"/>
        <v>0</v>
      </c>
      <c r="AU5" s="7">
        <f t="shared" si="5"/>
        <v>0</v>
      </c>
      <c r="AV5" s="7">
        <f t="shared" si="5"/>
        <v>0</v>
      </c>
      <c r="AW5" s="7">
        <f t="shared" si="5"/>
        <v>0</v>
      </c>
      <c r="AX5" s="7"/>
      <c r="AY5" s="7">
        <f>SUM($B$5:B5)</f>
        <v>0</v>
      </c>
      <c r="AZ5" s="7">
        <f>SUM($B$5:C5)</f>
        <v>0</v>
      </c>
      <c r="BA5" s="7">
        <f>SUM($B$5:D5)</f>
        <v>0</v>
      </c>
      <c r="BB5" s="7">
        <f>SUM($B$5:E5)</f>
        <v>0</v>
      </c>
      <c r="BC5" s="7">
        <f>SUM($B$5:F5)</f>
        <v>0</v>
      </c>
      <c r="BD5" s="7">
        <f>SUM($B$5:G5)</f>
        <v>0</v>
      </c>
      <c r="BE5" s="7">
        <f>SUM($B$5:H5)</f>
        <v>0</v>
      </c>
      <c r="BF5" s="7">
        <f>SUM($B$5:I5)</f>
        <v>0</v>
      </c>
      <c r="BG5" s="7">
        <f>SUM($B$5:J5)</f>
        <v>0</v>
      </c>
      <c r="BH5" s="7">
        <f>SUM($B$5:K5)</f>
        <v>0</v>
      </c>
      <c r="BI5" s="7">
        <f>SUM($B$5:L5)</f>
        <v>0</v>
      </c>
      <c r="BJ5" s="7">
        <f>SUM($B$5:M5)</f>
        <v>0</v>
      </c>
      <c r="BK5" s="7">
        <f>SUM($B$5:Q5)</f>
        <v>0</v>
      </c>
      <c r="BL5" s="7">
        <f>SUM($B$5:N5)</f>
        <v>0</v>
      </c>
      <c r="BM5" s="7">
        <f>SUM($B$5:O5)</f>
        <v>0</v>
      </c>
      <c r="BN5" s="7">
        <f>SUM($B$5:P5)</f>
        <v>0</v>
      </c>
      <c r="BO5" s="7">
        <f>SUM($B$5:R5)</f>
        <v>0</v>
      </c>
      <c r="BP5" s="7">
        <f>SUM($B$5:S5)</f>
        <v>0</v>
      </c>
      <c r="BQ5" s="7">
        <f>SUM($B$5:T5)</f>
        <v>0</v>
      </c>
      <c r="BR5" s="7">
        <f>SUM($B$5:V5)</f>
        <v>0</v>
      </c>
      <c r="BS5" s="7">
        <f>SUM($W$4:W5)</f>
        <v>36.25</v>
      </c>
      <c r="BT5">
        <f t="shared" ref="BT5:BT66" si="6">BR5+X5</f>
        <v>0</v>
      </c>
      <c r="BU5">
        <f>SUM($BT$4:BT5)</f>
        <v>36.369999999999997</v>
      </c>
    </row>
    <row r="6" spans="1:73" x14ac:dyDescent="0.35">
      <c r="A6" s="71" t="s">
        <v>24</v>
      </c>
      <c r="B6" s="16"/>
      <c r="C6" s="16"/>
      <c r="D6" s="16"/>
      <c r="E6" s="16"/>
      <c r="F6" s="176"/>
      <c r="G6" s="16"/>
      <c r="H6" s="16"/>
      <c r="I6" s="16"/>
      <c r="J6" s="16"/>
      <c r="K6" s="16"/>
      <c r="L6" s="16"/>
      <c r="M6" s="16"/>
      <c r="N6" s="16"/>
      <c r="O6" s="176"/>
      <c r="P6" s="16"/>
      <c r="Q6" s="16"/>
      <c r="R6" s="16"/>
      <c r="S6" s="16"/>
      <c r="T6" s="16"/>
      <c r="U6" s="16"/>
      <c r="V6" s="17"/>
      <c r="W6" s="24">
        <f t="shared" ref="W6:W10" si="7">SUM(B6:U6)</f>
        <v>0</v>
      </c>
      <c r="X6" s="17">
        <f t="shared" si="1"/>
        <v>0</v>
      </c>
      <c r="Y6" s="7">
        <f t="shared" si="2"/>
        <v>0</v>
      </c>
      <c r="Z6" s="18"/>
      <c r="AA6" s="23"/>
      <c r="AB6" s="7">
        <f t="shared" si="3"/>
        <v>0</v>
      </c>
      <c r="AC6" s="7" t="s">
        <v>24</v>
      </c>
      <c r="AD6" s="7">
        <f t="shared" si="4"/>
        <v>0</v>
      </c>
      <c r="AE6" s="7">
        <f t="shared" si="4"/>
        <v>0</v>
      </c>
      <c r="AF6" s="7">
        <f t="shared" si="4"/>
        <v>0</v>
      </c>
      <c r="AG6" s="7">
        <f t="shared" si="4"/>
        <v>0</v>
      </c>
      <c r="AH6" s="7">
        <f t="shared" si="4"/>
        <v>0</v>
      </c>
      <c r="AI6" s="7">
        <f t="shared" si="4"/>
        <v>0</v>
      </c>
      <c r="AJ6" s="7">
        <f t="shared" si="4"/>
        <v>0</v>
      </c>
      <c r="AK6" s="7">
        <f t="shared" si="4"/>
        <v>0</v>
      </c>
      <c r="AL6" s="7">
        <f t="shared" si="4"/>
        <v>0</v>
      </c>
      <c r="AM6" s="7">
        <f t="shared" si="4"/>
        <v>0</v>
      </c>
      <c r="AN6" s="7">
        <f t="shared" si="5"/>
        <v>0</v>
      </c>
      <c r="AO6" s="7">
        <f t="shared" si="5"/>
        <v>0</v>
      </c>
      <c r="AP6" s="7">
        <f t="shared" si="5"/>
        <v>0</v>
      </c>
      <c r="AQ6" s="7">
        <f t="shared" si="5"/>
        <v>0</v>
      </c>
      <c r="AR6" s="7">
        <f t="shared" si="5"/>
        <v>0</v>
      </c>
      <c r="AS6" s="7">
        <f t="shared" si="5"/>
        <v>0</v>
      </c>
      <c r="AT6" s="7">
        <f t="shared" si="5"/>
        <v>0</v>
      </c>
      <c r="AU6" s="7">
        <f t="shared" si="5"/>
        <v>0</v>
      </c>
      <c r="AV6" s="7">
        <f t="shared" si="5"/>
        <v>0</v>
      </c>
      <c r="AW6" s="7">
        <f t="shared" si="5"/>
        <v>0</v>
      </c>
      <c r="AX6" s="7"/>
      <c r="AY6" s="7">
        <f>SUM($B$6:B6)</f>
        <v>0</v>
      </c>
      <c r="AZ6" s="7">
        <f>SUM($B$6:C6)</f>
        <v>0</v>
      </c>
      <c r="BA6" s="7">
        <f>SUM($B$6:D6)</f>
        <v>0</v>
      </c>
      <c r="BB6" s="7">
        <f>SUM($B$6:E6)</f>
        <v>0</v>
      </c>
      <c r="BC6" s="7">
        <f>SUM($B$6:F6)</f>
        <v>0</v>
      </c>
      <c r="BD6" s="7">
        <f>SUM($B$6:G6)</f>
        <v>0</v>
      </c>
      <c r="BE6" s="7">
        <f>SUM($B$6:H6)</f>
        <v>0</v>
      </c>
      <c r="BF6" s="7">
        <f>SUM($B$6:I6)</f>
        <v>0</v>
      </c>
      <c r="BG6" s="7">
        <f>SUM($B$6:J6)</f>
        <v>0</v>
      </c>
      <c r="BH6" s="7">
        <f>SUM($B$6:K6)</f>
        <v>0</v>
      </c>
      <c r="BI6" s="7">
        <f>SUM($B$6:L6)</f>
        <v>0</v>
      </c>
      <c r="BJ6" s="7">
        <f>SUM($B$6:M6)</f>
        <v>0</v>
      </c>
      <c r="BK6" s="7">
        <f>SUM($B$6:Q6)</f>
        <v>0</v>
      </c>
      <c r="BL6" s="7">
        <f>SUM($B$6:N6)</f>
        <v>0</v>
      </c>
      <c r="BM6" s="7">
        <f>SUM($B$6:O6)</f>
        <v>0</v>
      </c>
      <c r="BN6" s="7">
        <f>SUM($B$6:P6)</f>
        <v>0</v>
      </c>
      <c r="BO6" s="7">
        <f>SUM($B$6:R6)</f>
        <v>0</v>
      </c>
      <c r="BP6" s="7">
        <f>SUM($B$6:S6)</f>
        <v>0</v>
      </c>
      <c r="BQ6" s="7">
        <f>SUM($B$6:T6)</f>
        <v>0</v>
      </c>
      <c r="BR6" s="7">
        <f>SUM($B$6:V6)</f>
        <v>0</v>
      </c>
      <c r="BS6" s="7">
        <f>SUM($W$4:W6)</f>
        <v>36.25</v>
      </c>
      <c r="BT6">
        <f t="shared" si="6"/>
        <v>0</v>
      </c>
      <c r="BU6">
        <f>SUM($BT$4:BT6)</f>
        <v>36.369999999999997</v>
      </c>
    </row>
    <row r="7" spans="1:73" x14ac:dyDescent="0.35">
      <c r="A7" s="68" t="s">
        <v>25</v>
      </c>
      <c r="B7" s="16"/>
      <c r="C7" s="16"/>
      <c r="D7" s="176"/>
      <c r="E7" s="16"/>
      <c r="F7" s="16"/>
      <c r="G7" s="16"/>
      <c r="H7" s="16"/>
      <c r="I7" s="16"/>
      <c r="J7" s="176"/>
      <c r="K7" s="16"/>
      <c r="L7" s="176"/>
      <c r="M7" s="16"/>
      <c r="N7" s="176"/>
      <c r="O7" s="16"/>
      <c r="P7" s="16"/>
      <c r="Q7" s="16"/>
      <c r="R7" s="16"/>
      <c r="S7" s="16"/>
      <c r="T7" s="16"/>
      <c r="U7" s="176"/>
      <c r="V7" s="17"/>
      <c r="W7" s="24">
        <f t="shared" si="7"/>
        <v>0</v>
      </c>
      <c r="X7" s="17">
        <f t="shared" si="1"/>
        <v>0</v>
      </c>
      <c r="Y7" s="7">
        <f t="shared" si="2"/>
        <v>0</v>
      </c>
      <c r="Z7" s="18"/>
      <c r="AA7" s="23"/>
      <c r="AB7" s="7">
        <f t="shared" si="3"/>
        <v>0</v>
      </c>
      <c r="AC7" s="7" t="s">
        <v>25</v>
      </c>
      <c r="AD7" s="7">
        <f t="shared" si="4"/>
        <v>0</v>
      </c>
      <c r="AE7" s="7">
        <f t="shared" si="4"/>
        <v>0</v>
      </c>
      <c r="AF7" s="7">
        <f t="shared" si="4"/>
        <v>0</v>
      </c>
      <c r="AG7" s="7">
        <f t="shared" si="4"/>
        <v>0</v>
      </c>
      <c r="AH7" s="7">
        <f t="shared" si="4"/>
        <v>0</v>
      </c>
      <c r="AI7" s="7">
        <f t="shared" si="4"/>
        <v>0</v>
      </c>
      <c r="AJ7" s="7">
        <f t="shared" si="4"/>
        <v>0</v>
      </c>
      <c r="AK7" s="7">
        <f t="shared" si="4"/>
        <v>0</v>
      </c>
      <c r="AL7" s="7">
        <f t="shared" si="4"/>
        <v>0</v>
      </c>
      <c r="AM7" s="7">
        <f t="shared" si="4"/>
        <v>0</v>
      </c>
      <c r="AN7" s="7">
        <f t="shared" si="5"/>
        <v>0</v>
      </c>
      <c r="AO7" s="7">
        <f t="shared" si="5"/>
        <v>0</v>
      </c>
      <c r="AP7" s="7">
        <f t="shared" si="5"/>
        <v>0</v>
      </c>
      <c r="AQ7" s="7">
        <f t="shared" si="5"/>
        <v>0</v>
      </c>
      <c r="AR7" s="7">
        <f t="shared" si="5"/>
        <v>0</v>
      </c>
      <c r="AS7" s="7">
        <f t="shared" si="5"/>
        <v>0</v>
      </c>
      <c r="AT7" s="7">
        <f t="shared" si="5"/>
        <v>0</v>
      </c>
      <c r="AU7" s="7">
        <f t="shared" si="5"/>
        <v>0</v>
      </c>
      <c r="AV7" s="7">
        <f t="shared" si="5"/>
        <v>0</v>
      </c>
      <c r="AW7" s="7">
        <f t="shared" si="5"/>
        <v>0</v>
      </c>
      <c r="AX7" s="7"/>
      <c r="AY7" s="7">
        <f>SUM($B$7:B7)</f>
        <v>0</v>
      </c>
      <c r="AZ7" s="7">
        <f>SUM($B$7:C7)</f>
        <v>0</v>
      </c>
      <c r="BA7" s="7">
        <f>SUM($B$7:D7)</f>
        <v>0</v>
      </c>
      <c r="BB7" s="7">
        <f>SUM($B$7:E7)</f>
        <v>0</v>
      </c>
      <c r="BC7" s="7">
        <f>SUM($B$7:F7)</f>
        <v>0</v>
      </c>
      <c r="BD7" s="7">
        <f>SUM($B$7:G7)</f>
        <v>0</v>
      </c>
      <c r="BE7" s="7">
        <f>SUM($B$7:H7)</f>
        <v>0</v>
      </c>
      <c r="BF7" s="7">
        <f>SUM($B$7:I7)</f>
        <v>0</v>
      </c>
      <c r="BG7" s="7">
        <f>SUM($B$7:J7)</f>
        <v>0</v>
      </c>
      <c r="BH7" s="7">
        <f>SUM($B$7:K7)</f>
        <v>0</v>
      </c>
      <c r="BI7" s="7">
        <f>SUM($B$7:L7)</f>
        <v>0</v>
      </c>
      <c r="BJ7" s="7">
        <f>SUM($B$7:M7)</f>
        <v>0</v>
      </c>
      <c r="BK7" s="7">
        <f>SUM($B$7:Q7)</f>
        <v>0</v>
      </c>
      <c r="BL7" s="7">
        <f>SUM($B$7:N7)</f>
        <v>0</v>
      </c>
      <c r="BM7" s="7">
        <f>SUM($B$7:O7)</f>
        <v>0</v>
      </c>
      <c r="BN7" s="7">
        <f>SUM($B$7:P7)</f>
        <v>0</v>
      </c>
      <c r="BO7" s="7">
        <f>SUM($B$7:R7)</f>
        <v>0</v>
      </c>
      <c r="BP7" s="7">
        <f>SUM($B$7:S7)</f>
        <v>0</v>
      </c>
      <c r="BQ7" s="7">
        <f>SUM($B$7:T7)</f>
        <v>0</v>
      </c>
      <c r="BR7" s="7">
        <f>SUM($B$7:V7)</f>
        <v>0</v>
      </c>
      <c r="BS7" s="7">
        <f>SUM($W$4:W7)</f>
        <v>36.25</v>
      </c>
      <c r="BT7">
        <f t="shared" si="6"/>
        <v>0</v>
      </c>
      <c r="BU7">
        <f>SUM($BT$4:BT7)</f>
        <v>36.369999999999997</v>
      </c>
    </row>
    <row r="8" spans="1:73" x14ac:dyDescent="0.35">
      <c r="A8" s="72" t="s">
        <v>26</v>
      </c>
      <c r="B8" s="16"/>
      <c r="C8" s="16"/>
      <c r="D8" s="176"/>
      <c r="E8" s="16"/>
      <c r="F8" s="16"/>
      <c r="G8" s="16"/>
      <c r="H8" s="16"/>
      <c r="I8" s="16"/>
      <c r="J8" s="16"/>
      <c r="K8" s="16"/>
      <c r="L8" s="176"/>
      <c r="M8" s="16"/>
      <c r="N8" s="16"/>
      <c r="O8" s="16"/>
      <c r="P8" s="16"/>
      <c r="Q8" s="16"/>
      <c r="R8" s="16"/>
      <c r="S8" s="16"/>
      <c r="T8" s="16"/>
      <c r="U8" s="16"/>
      <c r="V8" s="17"/>
      <c r="W8" s="24">
        <f t="shared" si="7"/>
        <v>0</v>
      </c>
      <c r="X8" s="17">
        <f t="shared" si="1"/>
        <v>0</v>
      </c>
      <c r="Y8" s="7">
        <f t="shared" si="2"/>
        <v>0</v>
      </c>
      <c r="Z8" s="18"/>
      <c r="AA8" s="23"/>
      <c r="AB8" s="7">
        <f t="shared" si="3"/>
        <v>0</v>
      </c>
      <c r="AC8" s="7" t="s">
        <v>26</v>
      </c>
      <c r="AD8" s="7">
        <f t="shared" si="4"/>
        <v>0</v>
      </c>
      <c r="AE8" s="7">
        <f t="shared" si="4"/>
        <v>0</v>
      </c>
      <c r="AF8" s="7">
        <f t="shared" si="4"/>
        <v>0</v>
      </c>
      <c r="AG8" s="7">
        <f t="shared" si="4"/>
        <v>0</v>
      </c>
      <c r="AH8" s="7">
        <f t="shared" si="4"/>
        <v>0</v>
      </c>
      <c r="AI8" s="7">
        <f t="shared" si="4"/>
        <v>0</v>
      </c>
      <c r="AJ8" s="7">
        <f t="shared" si="4"/>
        <v>0</v>
      </c>
      <c r="AK8" s="7">
        <f t="shared" si="4"/>
        <v>0</v>
      </c>
      <c r="AL8" s="7">
        <f t="shared" si="4"/>
        <v>0</v>
      </c>
      <c r="AM8" s="7">
        <f t="shared" si="4"/>
        <v>0</v>
      </c>
      <c r="AN8" s="7">
        <f t="shared" si="5"/>
        <v>0</v>
      </c>
      <c r="AO8" s="7">
        <f t="shared" si="5"/>
        <v>0</v>
      </c>
      <c r="AP8" s="7">
        <f t="shared" si="5"/>
        <v>0</v>
      </c>
      <c r="AQ8" s="7">
        <f t="shared" si="5"/>
        <v>0</v>
      </c>
      <c r="AR8" s="7">
        <f t="shared" si="5"/>
        <v>0</v>
      </c>
      <c r="AS8" s="7">
        <f t="shared" si="5"/>
        <v>0</v>
      </c>
      <c r="AT8" s="7">
        <f t="shared" si="5"/>
        <v>0</v>
      </c>
      <c r="AU8" s="7">
        <f t="shared" si="5"/>
        <v>0</v>
      </c>
      <c r="AV8" s="7">
        <f t="shared" si="5"/>
        <v>0</v>
      </c>
      <c r="AW8" s="7">
        <f t="shared" si="5"/>
        <v>0</v>
      </c>
      <c r="AX8" s="7"/>
      <c r="AY8" s="7">
        <f>SUM($B$8:B8)</f>
        <v>0</v>
      </c>
      <c r="AZ8" s="7">
        <f>SUM($B$8:C8)</f>
        <v>0</v>
      </c>
      <c r="BA8" s="7">
        <f>SUM($B$8:D8)</f>
        <v>0</v>
      </c>
      <c r="BB8" s="7">
        <f>SUM($B$8:E8)</f>
        <v>0</v>
      </c>
      <c r="BC8" s="7">
        <f>SUM($B$8:F8)</f>
        <v>0</v>
      </c>
      <c r="BD8" s="7">
        <f>SUM($B$8:G8)</f>
        <v>0</v>
      </c>
      <c r="BE8" s="7">
        <f>SUM($B$8:H8)</f>
        <v>0</v>
      </c>
      <c r="BF8" s="7">
        <f>SUM($B$8:I8)</f>
        <v>0</v>
      </c>
      <c r="BG8" s="7">
        <f>SUM($B$8:J8)</f>
        <v>0</v>
      </c>
      <c r="BH8" s="7">
        <f>SUM($B$8:K8)</f>
        <v>0</v>
      </c>
      <c r="BI8" s="7">
        <f>SUM($B$8:L8)</f>
        <v>0</v>
      </c>
      <c r="BJ8" s="7">
        <f>SUM($B$8:M8)</f>
        <v>0</v>
      </c>
      <c r="BK8" s="7">
        <f>SUM($B$8:Q8)</f>
        <v>0</v>
      </c>
      <c r="BL8" s="7">
        <f>SUM($B$8:N8)</f>
        <v>0</v>
      </c>
      <c r="BM8" s="7">
        <f>SUM($B$8:O8)</f>
        <v>0</v>
      </c>
      <c r="BN8" s="7">
        <f>SUM($B$8:P8)</f>
        <v>0</v>
      </c>
      <c r="BO8" s="7">
        <f>SUM($B$8:R8)</f>
        <v>0</v>
      </c>
      <c r="BP8" s="7">
        <f>SUM($B$8:S8)</f>
        <v>0</v>
      </c>
      <c r="BQ8" s="7">
        <f>SUM($B$8:T8)</f>
        <v>0</v>
      </c>
      <c r="BR8" s="7">
        <f>SUM($B$8:V8)</f>
        <v>0</v>
      </c>
      <c r="BS8" s="7">
        <f>SUM($W$4:W8)</f>
        <v>36.25</v>
      </c>
      <c r="BT8">
        <f t="shared" si="6"/>
        <v>0</v>
      </c>
      <c r="BU8">
        <f>SUM($BT$4:BT8)</f>
        <v>36.369999999999997</v>
      </c>
    </row>
    <row r="9" spans="1:73" x14ac:dyDescent="0.35">
      <c r="A9" s="73" t="s">
        <v>27</v>
      </c>
      <c r="B9" s="172"/>
      <c r="C9" s="16"/>
      <c r="D9" s="176"/>
      <c r="E9" s="16"/>
      <c r="F9" s="171"/>
      <c r="G9" s="16"/>
      <c r="H9" s="16"/>
      <c r="I9" s="16"/>
      <c r="J9" s="16"/>
      <c r="K9" s="16"/>
      <c r="L9" s="176"/>
      <c r="M9" s="16"/>
      <c r="N9" s="16"/>
      <c r="O9" s="16"/>
      <c r="P9" s="16"/>
      <c r="Q9" s="16"/>
      <c r="R9" s="16"/>
      <c r="S9" s="16"/>
      <c r="T9" s="16"/>
      <c r="U9" s="16"/>
      <c r="V9" s="17"/>
      <c r="W9" s="24">
        <f t="shared" si="7"/>
        <v>0</v>
      </c>
      <c r="X9" s="17">
        <f t="shared" si="1"/>
        <v>0</v>
      </c>
      <c r="Y9" s="7">
        <f t="shared" si="2"/>
        <v>0</v>
      </c>
      <c r="Z9" s="18"/>
      <c r="AA9" s="23"/>
      <c r="AB9" s="7">
        <f t="shared" si="3"/>
        <v>0</v>
      </c>
      <c r="AC9" s="7" t="s">
        <v>27</v>
      </c>
      <c r="AD9" s="7">
        <f t="shared" si="4"/>
        <v>0</v>
      </c>
      <c r="AE9" s="7">
        <f t="shared" si="4"/>
        <v>0</v>
      </c>
      <c r="AF9" s="7">
        <f t="shared" si="4"/>
        <v>0</v>
      </c>
      <c r="AG9" s="7">
        <f t="shared" si="4"/>
        <v>0</v>
      </c>
      <c r="AH9" s="7">
        <f t="shared" si="4"/>
        <v>0</v>
      </c>
      <c r="AI9" s="7">
        <f t="shared" si="4"/>
        <v>0</v>
      </c>
      <c r="AJ9" s="7">
        <f t="shared" si="4"/>
        <v>0</v>
      </c>
      <c r="AK9" s="7">
        <f t="shared" si="4"/>
        <v>0</v>
      </c>
      <c r="AL9" s="7">
        <f t="shared" si="4"/>
        <v>0</v>
      </c>
      <c r="AM9" s="7">
        <f t="shared" si="4"/>
        <v>0</v>
      </c>
      <c r="AN9" s="7">
        <f t="shared" si="5"/>
        <v>0</v>
      </c>
      <c r="AO9" s="7">
        <f t="shared" si="5"/>
        <v>0</v>
      </c>
      <c r="AP9" s="7">
        <f t="shared" si="5"/>
        <v>0</v>
      </c>
      <c r="AQ9" s="7">
        <f t="shared" si="5"/>
        <v>0</v>
      </c>
      <c r="AR9" s="7">
        <f t="shared" si="5"/>
        <v>0</v>
      </c>
      <c r="AS9" s="7">
        <f t="shared" si="5"/>
        <v>0</v>
      </c>
      <c r="AT9" s="7">
        <f t="shared" si="5"/>
        <v>0</v>
      </c>
      <c r="AU9" s="7">
        <f t="shared" si="5"/>
        <v>0</v>
      </c>
      <c r="AV9" s="7">
        <f t="shared" si="5"/>
        <v>0</v>
      </c>
      <c r="AW9" s="7">
        <f t="shared" si="5"/>
        <v>0</v>
      </c>
      <c r="AX9" s="7"/>
      <c r="AY9" s="7">
        <f>SUM($B$9:B9)</f>
        <v>0</v>
      </c>
      <c r="AZ9" s="7">
        <f>SUM($B$9:C9)</f>
        <v>0</v>
      </c>
      <c r="BA9" s="7">
        <f>SUM($B$9:D9)</f>
        <v>0</v>
      </c>
      <c r="BB9" s="7">
        <f>SUM($B$9:E9)</f>
        <v>0</v>
      </c>
      <c r="BC9" s="7">
        <f>SUM($B$9:F9)</f>
        <v>0</v>
      </c>
      <c r="BD9" s="7">
        <f>SUM($B$9:G9)</f>
        <v>0</v>
      </c>
      <c r="BE9" s="7">
        <f>SUM($B$9:H9)</f>
        <v>0</v>
      </c>
      <c r="BF9" s="7">
        <f>SUM($B$9:I9)</f>
        <v>0</v>
      </c>
      <c r="BG9" s="7">
        <f>SUM($B$9:J9)</f>
        <v>0</v>
      </c>
      <c r="BH9" s="7">
        <f>SUM($B$9:K9)</f>
        <v>0</v>
      </c>
      <c r="BI9" s="7">
        <f>SUM($B$9:L9)</f>
        <v>0</v>
      </c>
      <c r="BJ9" s="7">
        <f>SUM($B$9:M9)</f>
        <v>0</v>
      </c>
      <c r="BK9" s="7">
        <f>SUM($B$9:Q9)</f>
        <v>0</v>
      </c>
      <c r="BL9" s="7">
        <f>SUM($B$9:N9)</f>
        <v>0</v>
      </c>
      <c r="BM9" s="7">
        <f>SUM($B$9:O9)</f>
        <v>0</v>
      </c>
      <c r="BN9" s="7">
        <f>SUM($B$9:P9)</f>
        <v>0</v>
      </c>
      <c r="BO9" s="7">
        <f>SUM($B$9:R9)</f>
        <v>0</v>
      </c>
      <c r="BP9" s="7">
        <f>SUM($B$9:S9)</f>
        <v>0</v>
      </c>
      <c r="BQ9" s="7">
        <f>SUM($B$9:T9)</f>
        <v>0</v>
      </c>
      <c r="BR9" s="7">
        <f>SUM($B$9:V9)</f>
        <v>0</v>
      </c>
      <c r="BS9" s="7">
        <f>SUM($W$4:W9)</f>
        <v>36.25</v>
      </c>
      <c r="BT9">
        <f t="shared" si="6"/>
        <v>0</v>
      </c>
      <c r="BU9">
        <f>SUM($BT$4:BT9)</f>
        <v>36.369999999999997</v>
      </c>
    </row>
    <row r="10" spans="1:73" ht="29" x14ac:dyDescent="0.35">
      <c r="A10" s="74" t="s">
        <v>28</v>
      </c>
      <c r="B10" s="16"/>
      <c r="C10" s="16"/>
      <c r="D10" s="176"/>
      <c r="E10" s="16"/>
      <c r="F10" s="16"/>
      <c r="G10" s="16"/>
      <c r="H10" s="16"/>
      <c r="I10" s="16"/>
      <c r="J10" s="16"/>
      <c r="K10" s="16"/>
      <c r="L10" s="176"/>
      <c r="M10" s="16"/>
      <c r="N10" s="16"/>
      <c r="O10" s="16"/>
      <c r="P10" s="16"/>
      <c r="Q10" s="16"/>
      <c r="R10" s="16"/>
      <c r="S10" s="16"/>
      <c r="T10" s="16"/>
      <c r="U10" s="16"/>
      <c r="V10" s="17"/>
      <c r="W10" s="24">
        <f t="shared" si="7"/>
        <v>0</v>
      </c>
      <c r="X10" s="17">
        <f t="shared" si="1"/>
        <v>0</v>
      </c>
      <c r="Y10" s="7">
        <f t="shared" si="2"/>
        <v>0</v>
      </c>
      <c r="Z10" s="18"/>
      <c r="AA10" s="23" t="s">
        <v>177</v>
      </c>
      <c r="AB10" s="7">
        <f t="shared" si="3"/>
        <v>0</v>
      </c>
      <c r="AC10" s="7" t="s">
        <v>28</v>
      </c>
      <c r="AD10" s="7">
        <f t="shared" si="4"/>
        <v>0</v>
      </c>
      <c r="AE10" s="7">
        <f t="shared" si="4"/>
        <v>0</v>
      </c>
      <c r="AF10" s="7">
        <f t="shared" si="4"/>
        <v>0</v>
      </c>
      <c r="AG10" s="7">
        <f t="shared" si="4"/>
        <v>0</v>
      </c>
      <c r="AH10" s="7">
        <f t="shared" si="4"/>
        <v>0</v>
      </c>
      <c r="AI10" s="7">
        <f t="shared" si="4"/>
        <v>0</v>
      </c>
      <c r="AJ10" s="7">
        <f t="shared" si="4"/>
        <v>0</v>
      </c>
      <c r="AK10" s="7">
        <f t="shared" si="4"/>
        <v>0</v>
      </c>
      <c r="AL10" s="7">
        <f t="shared" si="4"/>
        <v>0</v>
      </c>
      <c r="AM10" s="7">
        <f t="shared" si="4"/>
        <v>0</v>
      </c>
      <c r="AN10" s="7">
        <f t="shared" si="5"/>
        <v>0</v>
      </c>
      <c r="AO10" s="7">
        <f t="shared" si="5"/>
        <v>0</v>
      </c>
      <c r="AP10" s="7">
        <f t="shared" si="5"/>
        <v>0</v>
      </c>
      <c r="AQ10" s="7">
        <f t="shared" si="5"/>
        <v>0</v>
      </c>
      <c r="AR10" s="7">
        <f t="shared" si="5"/>
        <v>0</v>
      </c>
      <c r="AS10" s="7">
        <f t="shared" si="5"/>
        <v>0</v>
      </c>
      <c r="AT10" s="7">
        <f t="shared" si="5"/>
        <v>0</v>
      </c>
      <c r="AU10" s="7">
        <f t="shared" si="5"/>
        <v>0</v>
      </c>
      <c r="AV10" s="7">
        <f t="shared" si="5"/>
        <v>0</v>
      </c>
      <c r="AW10" s="7">
        <f t="shared" si="5"/>
        <v>0</v>
      </c>
      <c r="AX10" s="7"/>
      <c r="AY10" s="7">
        <f>SUM($B$10:B10)</f>
        <v>0</v>
      </c>
      <c r="AZ10" s="7">
        <f>SUM($B$10:C10)</f>
        <v>0</v>
      </c>
      <c r="BA10" s="7">
        <f>SUM($B$10:D10)</f>
        <v>0</v>
      </c>
      <c r="BB10" s="7">
        <f>SUM($B$10:E10)</f>
        <v>0</v>
      </c>
      <c r="BC10" s="7">
        <f>SUM($B$10:F10)</f>
        <v>0</v>
      </c>
      <c r="BD10" s="7">
        <f>SUM($B$10:G10)</f>
        <v>0</v>
      </c>
      <c r="BE10" s="7">
        <f>SUM($B$10:H10)</f>
        <v>0</v>
      </c>
      <c r="BF10" s="7">
        <f>SUM($B$10:I10)</f>
        <v>0</v>
      </c>
      <c r="BG10" s="7">
        <f>SUM($B$10:J10)</f>
        <v>0</v>
      </c>
      <c r="BH10" s="7">
        <f>SUM($B$10:K10)</f>
        <v>0</v>
      </c>
      <c r="BI10" s="7">
        <f>SUM($B$10:L10)</f>
        <v>0</v>
      </c>
      <c r="BJ10" s="7">
        <f>SUM($B$10:M10)</f>
        <v>0</v>
      </c>
      <c r="BK10" s="7">
        <f>SUM($B$10:Q10)</f>
        <v>0</v>
      </c>
      <c r="BL10" s="7">
        <f>SUM($B$10:N10)</f>
        <v>0</v>
      </c>
      <c r="BM10" s="7">
        <f>SUM($B$10:O10)</f>
        <v>0</v>
      </c>
      <c r="BN10" s="7">
        <f>SUM($B$10:P10)</f>
        <v>0</v>
      </c>
      <c r="BO10" s="7">
        <f>SUM($B$10:R10)</f>
        <v>0</v>
      </c>
      <c r="BP10" s="7">
        <f>SUM($B$10:S10)</f>
        <v>0</v>
      </c>
      <c r="BQ10" s="7">
        <f>SUM($B$10:T10)</f>
        <v>0</v>
      </c>
      <c r="BR10" s="7">
        <f>SUM($B$10:V10)</f>
        <v>0</v>
      </c>
      <c r="BS10" s="7">
        <f>SUM($W$4:W10)</f>
        <v>36.25</v>
      </c>
      <c r="BT10">
        <f t="shared" si="6"/>
        <v>0</v>
      </c>
      <c r="BU10">
        <f>SUM($BT$4:BT10)</f>
        <v>36.369999999999997</v>
      </c>
    </row>
    <row r="11" spans="1:73" x14ac:dyDescent="0.35">
      <c r="A11" s="21" t="s">
        <v>29</v>
      </c>
      <c r="B11" s="17">
        <f>SUM(B4:B10)</f>
        <v>2</v>
      </c>
      <c r="C11" s="17">
        <f>SUM(C4:C10)</f>
        <v>0</v>
      </c>
      <c r="D11" s="17">
        <f t="shared" ref="D11:J11" si="8">SUM(D4:D10)</f>
        <v>5</v>
      </c>
      <c r="E11" s="17">
        <f t="shared" si="8"/>
        <v>9</v>
      </c>
      <c r="F11" s="17">
        <f t="shared" si="8"/>
        <v>4</v>
      </c>
      <c r="G11" s="17">
        <f t="shared" si="8"/>
        <v>0</v>
      </c>
      <c r="H11" s="17">
        <f t="shared" si="8"/>
        <v>0</v>
      </c>
      <c r="I11" s="17">
        <f t="shared" si="8"/>
        <v>3</v>
      </c>
      <c r="J11" s="17">
        <f t="shared" si="8"/>
        <v>0</v>
      </c>
      <c r="K11" s="17">
        <f>SUM(K4:K10)</f>
        <v>0.75</v>
      </c>
      <c r="L11" s="17">
        <f t="shared" ref="L11:W11" si="9">SUM(L4:L10)</f>
        <v>2</v>
      </c>
      <c r="M11" s="17">
        <f t="shared" si="9"/>
        <v>1</v>
      </c>
      <c r="N11" s="17">
        <f t="shared" si="9"/>
        <v>2.5</v>
      </c>
      <c r="O11" s="17">
        <f t="shared" si="9"/>
        <v>2</v>
      </c>
      <c r="P11" s="17">
        <f t="shared" si="9"/>
        <v>0</v>
      </c>
      <c r="Q11" s="17">
        <f>SUM(Q4:Q10)</f>
        <v>0</v>
      </c>
      <c r="R11" s="17">
        <f t="shared" si="9"/>
        <v>1</v>
      </c>
      <c r="S11" s="17">
        <f t="shared" si="9"/>
        <v>3</v>
      </c>
      <c r="T11" s="17">
        <f t="shared" si="9"/>
        <v>0</v>
      </c>
      <c r="U11" s="17">
        <f t="shared" ref="U11" si="10">SUM(U4:U10)</f>
        <v>-1</v>
      </c>
      <c r="V11" s="17">
        <f>SUM(V4:V10)</f>
        <v>2</v>
      </c>
      <c r="W11" s="29">
        <f t="shared" si="9"/>
        <v>36.25</v>
      </c>
      <c r="X11" s="17"/>
      <c r="Y11" s="7">
        <f>SUM(Y4:Y10)</f>
        <v>36.369999999999997</v>
      </c>
      <c r="Z11" s="18" t="s">
        <v>172</v>
      </c>
      <c r="AA11" s="23"/>
      <c r="AB11" s="7"/>
      <c r="AC11" s="7"/>
      <c r="AD11" s="7" t="str">
        <f>TEXT(COUNTIF(AD4:AD10, "&gt;0") / 7, "0%")</f>
        <v>14%</v>
      </c>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row>
    <row r="12" spans="1:73" x14ac:dyDescent="0.35">
      <c r="A12" s="21" t="s">
        <v>30</v>
      </c>
      <c r="B12" s="17">
        <f>B11</f>
        <v>2</v>
      </c>
      <c r="C12" s="17">
        <f t="shared" ref="C12:T12" si="11">C11</f>
        <v>0</v>
      </c>
      <c r="D12" s="17">
        <f t="shared" si="11"/>
        <v>5</v>
      </c>
      <c r="E12" s="17">
        <f t="shared" si="11"/>
        <v>9</v>
      </c>
      <c r="F12" s="17">
        <f t="shared" si="11"/>
        <v>4</v>
      </c>
      <c r="G12" s="17">
        <f t="shared" si="11"/>
        <v>0</v>
      </c>
      <c r="H12" s="17">
        <f t="shared" si="11"/>
        <v>0</v>
      </c>
      <c r="I12" s="17">
        <f t="shared" si="11"/>
        <v>3</v>
      </c>
      <c r="J12" s="17">
        <f t="shared" si="11"/>
        <v>0</v>
      </c>
      <c r="K12" s="17">
        <f>K11</f>
        <v>0.75</v>
      </c>
      <c r="L12" s="17">
        <f t="shared" si="11"/>
        <v>2</v>
      </c>
      <c r="M12" s="17">
        <f t="shared" si="11"/>
        <v>1</v>
      </c>
      <c r="N12" s="17">
        <f t="shared" si="11"/>
        <v>2.5</v>
      </c>
      <c r="O12" s="17">
        <f t="shared" si="11"/>
        <v>2</v>
      </c>
      <c r="P12" s="17">
        <f t="shared" si="11"/>
        <v>0</v>
      </c>
      <c r="Q12" s="17">
        <f>Q11</f>
        <v>0</v>
      </c>
      <c r="R12" s="17">
        <f t="shared" si="11"/>
        <v>1</v>
      </c>
      <c r="S12" s="17">
        <f t="shared" si="11"/>
        <v>3</v>
      </c>
      <c r="T12" s="17">
        <f t="shared" si="11"/>
        <v>0</v>
      </c>
      <c r="U12" s="17">
        <f t="shared" ref="U12" si="12">U11</f>
        <v>-1</v>
      </c>
      <c r="V12" s="17">
        <f>V11</f>
        <v>2</v>
      </c>
      <c r="W12" s="17">
        <f>W11</f>
        <v>36.25</v>
      </c>
      <c r="X12" s="17"/>
      <c r="Y12" s="7"/>
      <c r="Z12" s="18"/>
      <c r="AA12" s="23"/>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row>
    <row r="13" spans="1:73" x14ac:dyDescent="0.35">
      <c r="A13" s="21" t="s">
        <v>110</v>
      </c>
      <c r="B13" s="17" cm="1">
        <f t="array" ref="B13">IF(COUNTIF(AD4:AD10,0)=0,
    LOOKUP(2,1/(AD4:AD10&lt;&gt;""),AD4:AD10),
    MATCH(0,INDEX(AD4:AD10,MAX(ROW(AD4:AD10))-ROW(AD4:AD10)+1),0)-1
)</f>
        <v>0</v>
      </c>
      <c r="C13" s="17" cm="1">
        <f t="array" ref="C13">IF(COUNTIF(AE4:AE10,0)=0,
    LOOKUP(2,1/(AE4:AE10&lt;&gt;""),AE4:AE10),
    MATCH(0,INDEX(AE4:AE10,MAX(ROW(AE4:AE10))-ROW(AE4:AE10)+1),0)-1
)</f>
        <v>0</v>
      </c>
      <c r="D13" s="17" cm="1">
        <f t="array" ref="D13">IF(COUNTIF(AF4:AF10,0)=0,
    LOOKUP(2,1/(AF4:AF10&lt;&gt;""),AF4:AF10),
    MATCH(0,INDEX(AF4:AF10,MAX(ROW(AF4:AF10))-ROW(AF4:AF10)+1),0)-1
)</f>
        <v>0</v>
      </c>
      <c r="E13" s="17" cm="1">
        <f t="array" ref="E13">IF(COUNTIF(AG4:AG10,0)=0,
    LOOKUP(2,1/(AG4:AG10&lt;&gt;""),AG4:AG10),
    MATCH(0,INDEX(AG4:AG10,MAX(ROW(AG4:AG10))-ROW(AG4:AG10)+1),0)-1
)</f>
        <v>0</v>
      </c>
      <c r="F13" s="17" cm="1">
        <f t="array" ref="F13">IF(COUNTIF(AH4:AH10,0)=0,
    LOOKUP(2,1/(AH4:AH10&lt;&gt;""),AH4:AH10),
    MATCH(0,INDEX(AH4:AH10,MAX(ROW(AH4:AH10))-ROW(AH4:AH10)+1),0)-1
)</f>
        <v>0</v>
      </c>
      <c r="G13" s="17" cm="1">
        <f t="array" ref="G13">IF(COUNTIF(AI4:AI10,0)=0,
    LOOKUP(2,1/(AI4:AI10&lt;&gt;""),AI4:AI10),
    MATCH(0,INDEX(AI4:AI10,MAX(ROW(AI4:AI10))-ROW(AI4:AI10)+1),0)-1
)</f>
        <v>0</v>
      </c>
      <c r="H13" s="17" cm="1">
        <f t="array" ref="H13">IF(COUNTIF(AJ4:AJ10,0)=0,
    LOOKUP(2,1/(AJ4:AJ10&lt;&gt;""),AJ4:AJ10),
    MATCH(0,INDEX(AJ4:AJ10,MAX(ROW(AJ4:AJ10))-ROW(AJ4:AJ10)+1),0)-1
)</f>
        <v>0</v>
      </c>
      <c r="I13" s="17" cm="1">
        <f t="array" ref="I13">IF(COUNTIF(AK4:AK10,0)=0,
    LOOKUP(2,1/(AK4:AK10&lt;&gt;""),AK4:AK10),
    MATCH(0,INDEX(AK4:AK10,MAX(ROW(AK4:AK10))-ROW(AK4:AK10)+1),0)-1
)</f>
        <v>0</v>
      </c>
      <c r="J13" s="17" cm="1">
        <f t="array" ref="J13">IF(COUNTIF(AL4:AL10,0)=0,
    LOOKUP(2,1/(AL4:AL10&lt;&gt;""),AL4:AL10),
    MATCH(0,INDEX(AL4:AL10,MAX(ROW(AL4:AL10))-ROW(AL4:AL10)+1),0)-1
)</f>
        <v>0</v>
      </c>
      <c r="K13" s="17" cm="1">
        <f t="array" ref="K13">IF(COUNTIF(AM4:AM10,0)=0,
    LOOKUP(2,1/(AM4:AM10&lt;&gt;""),AM4:AM10),
    MATCH(0,INDEX(AM4:AM10,MAX(ROW(AM4:AM10))-ROW(AM4:AM10)+1),0)-1
)</f>
        <v>0</v>
      </c>
      <c r="L13" s="17" cm="1">
        <f t="array" ref="L13">IF(COUNTIF(AN4:AN10,0)=0,
    LOOKUP(2,1/(AN4:AN10&lt;&gt;""),AN4:AN10),
    MATCH(0,INDEX(AN4:AN10,MAX(ROW(AN4:AN10))-ROW(AN4:AN10)+1),0)-1
)</f>
        <v>0</v>
      </c>
      <c r="M13" s="17" cm="1">
        <f t="array" ref="M13">IF(COUNTIF(AO4:AO10,0)=0,
    LOOKUP(2,1/(AO4:AO10&lt;&gt;""),AO4:AO10),
    MATCH(0,INDEX(AO4:AO10,MAX(ROW(AO4:AO10))-ROW(AO4:AO10)+1),0)-1
)</f>
        <v>0</v>
      </c>
      <c r="N13" s="17" cm="1">
        <f t="array" ref="N13">IF(COUNTIF(AP4:AP10,0)=0,
    LOOKUP(2,1/(AP4:AP10&lt;&gt;""),AP4:AP10),
    MATCH(0,INDEX(AP4:AP10,MAX(ROW(AP4:AP10))-ROW(AP4:AP10)+1),0)-1
)</f>
        <v>0</v>
      </c>
      <c r="O13" s="17" cm="1">
        <f t="array" ref="O13">IF(COUNTIF(AQ4:AQ10,0)=0,
    LOOKUP(2,1/(AQ4:AQ10&lt;&gt;""),AQ4:AQ10),
    MATCH(0,INDEX(AQ4:AQ10,MAX(ROW(AQ4:AQ10))-ROW(AQ4:AQ10)+1),0)-1
)</f>
        <v>0</v>
      </c>
      <c r="P13" s="17" cm="1">
        <f t="array" ref="P13">IF(COUNTIF(AR4:AR10,0)=0,
    LOOKUP(2,1/(AR4:AR10&lt;&gt;""),AR4:AR10),
    MATCH(0,INDEX(AR4:AR10,MAX(ROW(AR4:AR10))-ROW(AR4:AR10)+1),0)-1
)</f>
        <v>0</v>
      </c>
      <c r="Q13" s="17" cm="1">
        <f t="array" ref="Q13">IF(COUNTIF(AS4:AS10,0)=0,
    LOOKUP(2,1/(AS4:AS10&lt;&gt;""),AS4:AS10),
    MATCH(0,INDEX(AS4:AS10,MAX(ROW(AS4:AS10))-ROW(AS4:AS10)+1),0)-1
)</f>
        <v>0</v>
      </c>
      <c r="R13" s="17" cm="1">
        <f t="array" ref="R13">IF(COUNTIF(AT4:AT10,0)=0,
    LOOKUP(2,1/(AT4:AT10&lt;&gt;""),AT4:AT10),
    MATCH(0,INDEX(AT4:AT10,MAX(ROW(AT4:AT10))-ROW(AT4:AT10)+1),0)-1
)</f>
        <v>0</v>
      </c>
      <c r="S13" s="17" cm="1">
        <f t="array" ref="S13">IF(COUNTIF(AU4:AU10,0)=0,
    LOOKUP(2,1/(AU4:AU10&lt;&gt;""),AU4:AU10),
    MATCH(0,INDEX(AU4:AU10,MAX(ROW(AU4:AU10))-ROW(AU4:AU10)+1),0)-1
)</f>
        <v>0</v>
      </c>
      <c r="T13" s="17" cm="1">
        <f t="array" ref="T13">IF(COUNTIF(AV4:AV10,0)=0,
    LOOKUP(2,1/(AV4:AV10&lt;&gt;""),AV4:AV10),
    MATCH(0,INDEX(AV4:AV10,MAX(ROW(AV4:AV10))-ROW(AV4:AV10)+1),0)-1
)</f>
        <v>0</v>
      </c>
      <c r="U13" s="17" cm="1">
        <f t="array" ref="U13">IF(COUNTIF(AW4:AW10,0)=0,
    LOOKUP(2,1/(AW4:AW10&lt;&gt;""),AW4:AW10),
    MATCH(0,INDEX(AW4:AW10,MAX(ROW(AW4:AW10))-ROW(AW4:AW10)+1),0)-1
)</f>
        <v>0</v>
      </c>
      <c r="V13" s="17" cm="1">
        <f t="array" ref="V13">IF(COUNTIF(Y4:Y10,0)=0,
    LOOKUP(2,1/(Y4:Y10&lt;&gt;""),Y4:Y10),
    MATCH(0,INDEX(Y4:Y10,MAX(ROW(Y4:Y10))-ROW(Y4:Y10)+1),0)-1
)</f>
        <v>0</v>
      </c>
      <c r="W13" s="17"/>
      <c r="X13" s="17"/>
      <c r="Y13" s="7"/>
      <c r="Z13" s="18"/>
      <c r="AA13" s="23"/>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row>
    <row r="14" spans="1:73" x14ac:dyDescent="0.35">
      <c r="A14" s="21" t="s">
        <v>99</v>
      </c>
      <c r="B14" s="17">
        <f t="shared" ref="B14:U14" si="13">B12</f>
        <v>2</v>
      </c>
      <c r="C14" s="17">
        <f t="shared" si="13"/>
        <v>0</v>
      </c>
      <c r="D14" s="17">
        <f t="shared" si="13"/>
        <v>5</v>
      </c>
      <c r="E14" s="17">
        <f t="shared" si="13"/>
        <v>9</v>
      </c>
      <c r="F14" s="17">
        <f t="shared" si="13"/>
        <v>4</v>
      </c>
      <c r="G14" s="17">
        <f t="shared" si="13"/>
        <v>0</v>
      </c>
      <c r="H14" s="17">
        <f t="shared" si="13"/>
        <v>0</v>
      </c>
      <c r="I14" s="17">
        <f t="shared" si="13"/>
        <v>3</v>
      </c>
      <c r="J14" s="17">
        <f t="shared" si="13"/>
        <v>0</v>
      </c>
      <c r="K14" s="17">
        <f t="shared" si="13"/>
        <v>0.75</v>
      </c>
      <c r="L14" s="17">
        <f t="shared" si="13"/>
        <v>2</v>
      </c>
      <c r="M14" s="17">
        <f t="shared" si="13"/>
        <v>1</v>
      </c>
      <c r="N14" s="17">
        <f t="shared" si="13"/>
        <v>2.5</v>
      </c>
      <c r="O14" s="17">
        <f t="shared" si="13"/>
        <v>2</v>
      </c>
      <c r="P14" s="17">
        <f t="shared" si="13"/>
        <v>0</v>
      </c>
      <c r="Q14" s="17">
        <f t="shared" si="13"/>
        <v>0</v>
      </c>
      <c r="R14" s="17">
        <f t="shared" si="13"/>
        <v>1</v>
      </c>
      <c r="S14" s="17">
        <f t="shared" si="13"/>
        <v>3</v>
      </c>
      <c r="T14" s="17">
        <f t="shared" si="13"/>
        <v>0</v>
      </c>
      <c r="U14" s="17">
        <f t="shared" si="13"/>
        <v>-1</v>
      </c>
      <c r="V14" s="17">
        <f>V12</f>
        <v>2</v>
      </c>
      <c r="W14" s="17">
        <f>SUM(W11)</f>
        <v>36.25</v>
      </c>
      <c r="X14" s="17"/>
      <c r="Z14" s="18"/>
      <c r="AA14" s="23"/>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row>
    <row r="15" spans="1:73" x14ac:dyDescent="0.35">
      <c r="A15" s="21" t="s">
        <v>112</v>
      </c>
      <c r="B15" s="173">
        <f>COUNTIF(B4:B10, "&gt;0") / 7</f>
        <v>0.14285714285714285</v>
      </c>
      <c r="C15" s="173">
        <f t="shared" ref="C15:O15" si="14">COUNTIF(C4:C10, "&gt;0") / 7</f>
        <v>0</v>
      </c>
      <c r="D15" s="173">
        <f t="shared" si="14"/>
        <v>0.14285714285714285</v>
      </c>
      <c r="E15" s="173">
        <f t="shared" si="14"/>
        <v>0.14285714285714285</v>
      </c>
      <c r="F15" s="173">
        <f t="shared" si="14"/>
        <v>0.14285714285714285</v>
      </c>
      <c r="G15" s="173">
        <f t="shared" si="14"/>
        <v>0</v>
      </c>
      <c r="H15" s="173">
        <f t="shared" si="14"/>
        <v>0</v>
      </c>
      <c r="I15" s="173">
        <f t="shared" si="14"/>
        <v>0.14285714285714285</v>
      </c>
      <c r="J15" s="173">
        <f t="shared" si="14"/>
        <v>0</v>
      </c>
      <c r="K15" s="173">
        <f t="shared" si="14"/>
        <v>0.14285714285714285</v>
      </c>
      <c r="L15" s="173">
        <f t="shared" si="14"/>
        <v>0.14285714285714285</v>
      </c>
      <c r="M15" s="173">
        <f t="shared" si="14"/>
        <v>0.14285714285714285</v>
      </c>
      <c r="N15" s="173">
        <f t="shared" si="14"/>
        <v>0.14285714285714285</v>
      </c>
      <c r="O15" s="173">
        <f t="shared" si="14"/>
        <v>0.14285714285714285</v>
      </c>
      <c r="P15" s="17"/>
      <c r="Q15" s="17"/>
      <c r="R15" s="17"/>
      <c r="S15" s="17"/>
      <c r="T15" s="17"/>
      <c r="U15" s="21" t="s">
        <v>31</v>
      </c>
      <c r="V15" s="17">
        <f>SUMIF(B11:V11,"&lt;0",B11:V11)</f>
        <v>-1</v>
      </c>
      <c r="W15" s="17">
        <f>SUM(C12:S12,V12)</f>
        <v>35.25</v>
      </c>
      <c r="Y15" s="7"/>
      <c r="Z15" s="18"/>
      <c r="AA15" s="23"/>
      <c r="AB15" s="7"/>
      <c r="AC15" s="7"/>
      <c r="AD15" s="7"/>
      <c r="AE15" s="7"/>
      <c r="AF15" s="7"/>
      <c r="AG15" s="7"/>
      <c r="AH15" s="7"/>
      <c r="AI15" s="7"/>
      <c r="AJ15" s="7"/>
      <c r="AK15" s="7"/>
      <c r="AL15" s="7"/>
      <c r="AM15" s="7"/>
      <c r="AN15" s="7"/>
      <c r="AO15" s="7"/>
      <c r="AP15" s="7"/>
      <c r="AQ15" s="7"/>
      <c r="AR15" s="7"/>
      <c r="AS15" s="7"/>
      <c r="AT15" s="7"/>
      <c r="AU15" s="7"/>
      <c r="AV15" s="7"/>
      <c r="AW15" s="7"/>
      <c r="AX15" s="7"/>
      <c r="AY15" s="7" t="s">
        <v>121</v>
      </c>
      <c r="AZ15" s="7"/>
      <c r="BA15" s="7"/>
      <c r="BB15" s="7"/>
      <c r="BC15" s="7"/>
      <c r="BD15" s="7"/>
      <c r="BE15" s="7"/>
      <c r="BF15" s="7"/>
      <c r="BG15" s="7"/>
      <c r="BH15" s="7"/>
      <c r="BI15" s="7"/>
      <c r="BJ15" s="7"/>
      <c r="BK15" s="7"/>
      <c r="BL15" s="7"/>
      <c r="BM15" s="7"/>
      <c r="BN15" s="7"/>
      <c r="BO15" s="7"/>
      <c r="BP15" s="7"/>
      <c r="BQ15" s="7"/>
      <c r="BR15" s="7"/>
      <c r="BS15" s="7"/>
    </row>
    <row r="16" spans="1:73" ht="29" x14ac:dyDescent="0.35">
      <c r="A16" s="7"/>
      <c r="B16" s="7"/>
      <c r="C16" s="7"/>
      <c r="D16" s="7"/>
      <c r="E16" s="7"/>
      <c r="F16" s="7"/>
      <c r="G16" s="7"/>
      <c r="H16" s="7"/>
      <c r="I16" s="7"/>
      <c r="J16" s="7"/>
      <c r="K16" s="7"/>
      <c r="L16" s="7"/>
      <c r="M16" s="7"/>
      <c r="N16" s="7"/>
      <c r="O16" s="7"/>
      <c r="P16" s="7"/>
      <c r="Q16" s="7"/>
      <c r="R16" s="7"/>
      <c r="S16" s="7"/>
      <c r="T16" s="7"/>
      <c r="U16" s="7"/>
      <c r="V16" s="7"/>
      <c r="W16" s="7"/>
      <c r="X16" s="7"/>
      <c r="Y16" s="7"/>
      <c r="Z16" s="11"/>
      <c r="AA16" s="11"/>
      <c r="AB16" s="7"/>
      <c r="AC16" s="7" t="s">
        <v>63</v>
      </c>
      <c r="AD16" s="7"/>
      <c r="AE16" s="7"/>
      <c r="AF16" s="7"/>
      <c r="AG16" s="7"/>
      <c r="AH16" s="7"/>
      <c r="AI16" s="7"/>
      <c r="AJ16" s="7"/>
      <c r="AK16" s="7"/>
      <c r="AL16" s="7"/>
      <c r="AM16" s="7"/>
      <c r="AN16" s="7"/>
      <c r="AO16" s="7"/>
      <c r="AP16" s="7"/>
      <c r="AQ16" s="7"/>
      <c r="AR16" s="7"/>
      <c r="AS16" s="7"/>
      <c r="AT16" s="7"/>
      <c r="AU16" s="7"/>
      <c r="AV16" s="7"/>
      <c r="AW16" s="7"/>
      <c r="AX16" s="7"/>
      <c r="AY16" s="12" t="s">
        <v>1</v>
      </c>
      <c r="AZ16" s="12" t="s">
        <v>2</v>
      </c>
      <c r="BA16" s="12" t="s">
        <v>3</v>
      </c>
      <c r="BB16" s="12" t="s">
        <v>4</v>
      </c>
      <c r="BC16" s="12" t="s">
        <v>5</v>
      </c>
      <c r="BD16" s="12" t="s">
        <v>6</v>
      </c>
      <c r="BE16" s="12" t="s">
        <v>7</v>
      </c>
      <c r="BF16" s="12" t="s">
        <v>8</v>
      </c>
      <c r="BG16" s="12" t="s">
        <v>9</v>
      </c>
      <c r="BH16" s="12" t="s">
        <v>10</v>
      </c>
      <c r="BI16" s="12" t="s">
        <v>11</v>
      </c>
      <c r="BJ16" s="12" t="s">
        <v>12</v>
      </c>
      <c r="BK16" s="12" t="s">
        <v>13</v>
      </c>
      <c r="BL16" s="12" t="s">
        <v>14</v>
      </c>
      <c r="BM16" s="12" t="s">
        <v>15</v>
      </c>
      <c r="BN16" s="12" t="s">
        <v>16</v>
      </c>
      <c r="BO16" s="12" t="s">
        <v>17</v>
      </c>
      <c r="BP16" s="12" t="s">
        <v>18</v>
      </c>
      <c r="BQ16" s="12" t="s">
        <v>19</v>
      </c>
      <c r="BR16" s="12" t="s">
        <v>20</v>
      </c>
      <c r="BS16" s="12" t="s">
        <v>0</v>
      </c>
    </row>
    <row r="17" spans="1:73" x14ac:dyDescent="0.35">
      <c r="A17" s="97" t="s">
        <v>32</v>
      </c>
      <c r="B17" s="27">
        <f>E3+1</f>
        <v>46034</v>
      </c>
      <c r="C17" s="27">
        <f>B17+6</f>
        <v>46040</v>
      </c>
      <c r="D17" s="7"/>
      <c r="E17" s="7"/>
      <c r="F17" s="7"/>
      <c r="G17" s="7"/>
      <c r="H17" s="7"/>
      <c r="I17" s="14" t="s">
        <v>132</v>
      </c>
      <c r="J17" s="14" t="s">
        <v>133</v>
      </c>
      <c r="K17" s="7" t="s">
        <v>134</v>
      </c>
      <c r="L17" s="7"/>
      <c r="M17" s="7"/>
      <c r="N17" s="7"/>
      <c r="O17" s="7"/>
      <c r="P17" s="7"/>
      <c r="Q17" s="14"/>
      <c r="R17" s="7"/>
      <c r="S17" s="7"/>
      <c r="T17" s="7"/>
      <c r="U17" s="7"/>
      <c r="V17" s="7"/>
      <c r="W17" s="7"/>
      <c r="X17" s="7"/>
      <c r="Y17" s="7"/>
      <c r="Z17" s="11"/>
      <c r="AA17" s="11"/>
      <c r="AB17" s="7"/>
      <c r="AC17" s="7" t="s">
        <v>109</v>
      </c>
      <c r="AD17" s="7"/>
      <c r="AE17" s="7"/>
      <c r="AF17" s="7"/>
      <c r="AG17" s="7"/>
      <c r="AH17" s="7"/>
      <c r="AI17" s="7"/>
      <c r="AJ17" s="7"/>
      <c r="AK17" s="7"/>
      <c r="AL17" s="7"/>
      <c r="AM17" s="7"/>
      <c r="AN17" s="7"/>
      <c r="AO17" s="7"/>
      <c r="AP17" s="7"/>
      <c r="AQ17" s="7"/>
      <c r="AR17" s="7"/>
      <c r="AS17" s="7"/>
      <c r="AT17" s="7"/>
      <c r="AU17" s="7"/>
      <c r="AV17" s="7"/>
      <c r="AW17" s="7"/>
      <c r="AX17" s="7"/>
      <c r="AY17" s="10"/>
      <c r="AZ17" s="10"/>
      <c r="BA17" s="10"/>
      <c r="BB17" s="10"/>
      <c r="BC17" s="10"/>
      <c r="BD17" s="10"/>
      <c r="BE17" s="10"/>
      <c r="BF17" s="10"/>
      <c r="BG17" s="10"/>
      <c r="BH17" s="10"/>
      <c r="BI17" s="10"/>
      <c r="BJ17" s="10"/>
      <c r="BK17" s="10"/>
      <c r="BL17" s="10"/>
      <c r="BM17" s="10"/>
      <c r="BN17" s="10"/>
      <c r="BO17" s="10"/>
      <c r="BP17" s="10"/>
      <c r="BQ17" s="10"/>
      <c r="BR17" s="10"/>
      <c r="BS17" s="199">
        <v>0</v>
      </c>
      <c r="BT17">
        <f t="shared" si="6"/>
        <v>0</v>
      </c>
      <c r="BU17">
        <v>0</v>
      </c>
    </row>
    <row r="18" spans="1:73" x14ac:dyDescent="0.35">
      <c r="A18" s="75" t="s">
        <v>22</v>
      </c>
      <c r="B18" s="7"/>
      <c r="C18" s="7"/>
      <c r="D18" s="7"/>
      <c r="E18" s="7"/>
      <c r="F18" s="7"/>
      <c r="G18" s="7"/>
      <c r="H18" s="7"/>
      <c r="I18" s="7"/>
      <c r="J18" s="7"/>
      <c r="K18" s="7"/>
      <c r="L18" s="7"/>
      <c r="M18" s="7"/>
      <c r="N18" s="7"/>
      <c r="O18" s="7"/>
      <c r="P18" s="7"/>
      <c r="Q18" s="14"/>
      <c r="R18" s="7"/>
      <c r="S18" s="7"/>
      <c r="T18" s="7"/>
      <c r="U18" s="7"/>
      <c r="V18" s="7"/>
      <c r="W18" s="7">
        <f>SUM(B18:V18)</f>
        <v>0</v>
      </c>
      <c r="X18" s="7">
        <f t="shared" ref="X18:X24" si="15">SUM(AD18:AW18)*0.1</f>
        <v>0</v>
      </c>
      <c r="Y18" s="7">
        <f t="shared" ref="Y18:Y24" si="16">W18+X18</f>
        <v>0</v>
      </c>
      <c r="Z18" s="30"/>
      <c r="AA18" s="26"/>
      <c r="AB18" s="7">
        <f>W18+AB4</f>
        <v>36.25</v>
      </c>
      <c r="AC18" s="7" t="s">
        <v>22</v>
      </c>
      <c r="AD18" s="7">
        <f t="shared" ref="AD18:AW18" si="17">IF(B18 &gt; 0, IF(AD10&gt; 0, AD10 + 1, 0.1), 0)</f>
        <v>0</v>
      </c>
      <c r="AE18" s="7">
        <f t="shared" si="17"/>
        <v>0</v>
      </c>
      <c r="AF18" s="7">
        <f t="shared" si="17"/>
        <v>0</v>
      </c>
      <c r="AG18" s="7">
        <f t="shared" si="17"/>
        <v>0</v>
      </c>
      <c r="AH18" s="7">
        <f t="shared" si="17"/>
        <v>0</v>
      </c>
      <c r="AI18" s="7">
        <f t="shared" si="17"/>
        <v>0</v>
      </c>
      <c r="AJ18" s="7">
        <f t="shared" si="17"/>
        <v>0</v>
      </c>
      <c r="AK18" s="7">
        <f t="shared" si="17"/>
        <v>0</v>
      </c>
      <c r="AL18" s="7">
        <f t="shared" si="17"/>
        <v>0</v>
      </c>
      <c r="AM18" s="7">
        <f t="shared" si="17"/>
        <v>0</v>
      </c>
      <c r="AN18" s="7">
        <f t="shared" si="17"/>
        <v>0</v>
      </c>
      <c r="AO18" s="7">
        <f t="shared" si="17"/>
        <v>0</v>
      </c>
      <c r="AP18" s="7">
        <f t="shared" si="17"/>
        <v>0</v>
      </c>
      <c r="AQ18" s="7">
        <f t="shared" si="17"/>
        <v>0</v>
      </c>
      <c r="AR18" s="7">
        <f t="shared" si="17"/>
        <v>0</v>
      </c>
      <c r="AS18" s="7">
        <f t="shared" si="17"/>
        <v>0</v>
      </c>
      <c r="AT18" s="7">
        <f t="shared" si="17"/>
        <v>0</v>
      </c>
      <c r="AU18" s="7">
        <f t="shared" si="17"/>
        <v>0</v>
      </c>
      <c r="AV18" s="7">
        <f t="shared" si="17"/>
        <v>0</v>
      </c>
      <c r="AW18" s="7">
        <f t="shared" si="17"/>
        <v>0</v>
      </c>
      <c r="AX18" s="7"/>
      <c r="AY18" s="7">
        <f>SUM($B$18:B18)</f>
        <v>0</v>
      </c>
      <c r="AZ18" s="7">
        <f>SUM($B$18:C18)</f>
        <v>0</v>
      </c>
      <c r="BA18" s="7">
        <f>SUM($B$18:D18)</f>
        <v>0</v>
      </c>
      <c r="BB18" s="7">
        <f>SUM($B$18:E18)</f>
        <v>0</v>
      </c>
      <c r="BC18" s="7">
        <f>SUM($B$18:F18)</f>
        <v>0</v>
      </c>
      <c r="BD18" s="7">
        <f>SUM($B$18:G18)</f>
        <v>0</v>
      </c>
      <c r="BE18" s="7">
        <f>SUM($B$18:H18)</f>
        <v>0</v>
      </c>
      <c r="BF18" s="7">
        <f>SUM($B$18:I18)</f>
        <v>0</v>
      </c>
      <c r="BG18" s="7">
        <f>SUM($B$18:J18)</f>
        <v>0</v>
      </c>
      <c r="BH18" s="7">
        <f>SUM($B$18:K18)</f>
        <v>0</v>
      </c>
      <c r="BI18" s="7">
        <f>SUM($B$18:L18)</f>
        <v>0</v>
      </c>
      <c r="BJ18" s="7">
        <f>SUM($B$18:M18)</f>
        <v>0</v>
      </c>
      <c r="BK18" s="7">
        <f>SUM($B$18:Q18)</f>
        <v>0</v>
      </c>
      <c r="BL18" s="7">
        <f>SUM($B$18:N18)</f>
        <v>0</v>
      </c>
      <c r="BM18" s="7">
        <f>SUM($B$18:O18)</f>
        <v>0</v>
      </c>
      <c r="BN18" s="7">
        <f>SUM($B$18:P18)</f>
        <v>0</v>
      </c>
      <c r="BO18" s="7">
        <f>SUM($B$18:R18)</f>
        <v>0</v>
      </c>
      <c r="BP18" s="7">
        <f>SUM($B$18:S18)</f>
        <v>0</v>
      </c>
      <c r="BQ18" s="7">
        <f>SUM($B$18:T18)</f>
        <v>0</v>
      </c>
      <c r="BR18" s="7">
        <f>SUM($B$18:V18)</f>
        <v>0</v>
      </c>
      <c r="BS18" s="7">
        <f>SUM($BR$18:BR18)</f>
        <v>0</v>
      </c>
      <c r="BT18">
        <f t="shared" si="6"/>
        <v>0</v>
      </c>
      <c r="BU18">
        <f>SUM($BT$18:BT18)</f>
        <v>0</v>
      </c>
    </row>
    <row r="19" spans="1:73" x14ac:dyDescent="0.35">
      <c r="A19" s="86" t="s">
        <v>23</v>
      </c>
      <c r="B19" s="7"/>
      <c r="C19" s="7"/>
      <c r="D19" s="7"/>
      <c r="E19" s="7"/>
      <c r="F19" s="7"/>
      <c r="G19" s="7"/>
      <c r="H19" s="7"/>
      <c r="I19" s="7"/>
      <c r="J19" s="7"/>
      <c r="K19" s="7"/>
      <c r="L19" s="7"/>
      <c r="M19" s="14"/>
      <c r="N19" s="7"/>
      <c r="O19" s="7"/>
      <c r="P19" s="7"/>
      <c r="Q19" s="7"/>
      <c r="R19" s="7"/>
      <c r="S19" s="7"/>
      <c r="T19" s="7"/>
      <c r="U19" s="7"/>
      <c r="V19" s="7"/>
      <c r="W19" s="7">
        <f t="shared" ref="W19:W24" si="18">SUM(B19:U19)</f>
        <v>0</v>
      </c>
      <c r="X19" s="7">
        <f t="shared" si="15"/>
        <v>0</v>
      </c>
      <c r="Y19" s="7">
        <f t="shared" si="16"/>
        <v>0</v>
      </c>
      <c r="Z19" s="30"/>
      <c r="AA19" s="26"/>
      <c r="AB19" s="7">
        <f>AB5+W19</f>
        <v>0</v>
      </c>
      <c r="AC19" s="7" t="s">
        <v>23</v>
      </c>
      <c r="AD19" s="7">
        <f t="shared" ref="AD19:AM24" si="19">IF(B19 &gt; 0, IF(AD18 &gt; 0, AD18 + 1, 0.1), 0)</f>
        <v>0</v>
      </c>
      <c r="AE19" s="7">
        <f t="shared" si="19"/>
        <v>0</v>
      </c>
      <c r="AF19" s="7">
        <f t="shared" si="19"/>
        <v>0</v>
      </c>
      <c r="AG19" s="7">
        <f t="shared" si="19"/>
        <v>0</v>
      </c>
      <c r="AH19" s="7">
        <f t="shared" si="19"/>
        <v>0</v>
      </c>
      <c r="AI19" s="7">
        <f t="shared" si="19"/>
        <v>0</v>
      </c>
      <c r="AJ19" s="7">
        <f t="shared" si="19"/>
        <v>0</v>
      </c>
      <c r="AK19" s="7">
        <f t="shared" si="19"/>
        <v>0</v>
      </c>
      <c r="AL19" s="7">
        <f t="shared" si="19"/>
        <v>0</v>
      </c>
      <c r="AM19" s="7">
        <f t="shared" si="19"/>
        <v>0</v>
      </c>
      <c r="AN19" s="7">
        <f t="shared" ref="AN19:AT24" si="20">IF(L19 &gt; 0, IF(AN18 &gt; 0, AN18 + 1, 0.1), 0)</f>
        <v>0</v>
      </c>
      <c r="AO19" s="7">
        <f t="shared" si="20"/>
        <v>0</v>
      </c>
      <c r="AP19" s="7">
        <f t="shared" si="20"/>
        <v>0</v>
      </c>
      <c r="AQ19" s="7">
        <f t="shared" si="20"/>
        <v>0</v>
      </c>
      <c r="AR19" s="7">
        <f t="shared" si="20"/>
        <v>0</v>
      </c>
      <c r="AS19" s="7">
        <f t="shared" si="20"/>
        <v>0</v>
      </c>
      <c r="AT19" s="7">
        <f t="shared" si="20"/>
        <v>0</v>
      </c>
      <c r="AU19" s="7">
        <f t="shared" ref="AU19:AU24" si="21">IF(S19 &gt; 0, IF(AU11&gt; 0, AU11 + 1, 0.1), 0)</f>
        <v>0</v>
      </c>
      <c r="AV19" s="7">
        <f t="shared" ref="AV19:AW24" si="22">IF(T19 &gt; 0, IF(AV18 &gt; 0, AV18 + 1, 0.1), 0)</f>
        <v>0</v>
      </c>
      <c r="AW19" s="7">
        <f t="shared" si="22"/>
        <v>0</v>
      </c>
      <c r="AX19" s="7"/>
      <c r="AY19" s="7">
        <f>SUM($B$19:B19)</f>
        <v>0</v>
      </c>
      <c r="AZ19" s="7">
        <f>SUM($B$19:C19)</f>
        <v>0</v>
      </c>
      <c r="BA19" s="7">
        <f>SUM($B$19:D19)</f>
        <v>0</v>
      </c>
      <c r="BB19" s="7">
        <f>SUM($B$19:E19)</f>
        <v>0</v>
      </c>
      <c r="BC19" s="7">
        <f>SUM($B$19:F19)</f>
        <v>0</v>
      </c>
      <c r="BD19" s="7">
        <f>SUM($B$19:G19)</f>
        <v>0</v>
      </c>
      <c r="BE19" s="7">
        <f>SUM($B$19:H19)</f>
        <v>0</v>
      </c>
      <c r="BF19" s="7">
        <f>SUM($B$19:I19)</f>
        <v>0</v>
      </c>
      <c r="BG19" s="7">
        <f>SUM($B$19:J19)</f>
        <v>0</v>
      </c>
      <c r="BH19" s="7">
        <f>SUM($B$19:K19)</f>
        <v>0</v>
      </c>
      <c r="BI19" s="7">
        <f>SUM($B$19:L19)</f>
        <v>0</v>
      </c>
      <c r="BJ19" s="7">
        <f>SUM($B$19:M19)</f>
        <v>0</v>
      </c>
      <c r="BK19" s="7">
        <f>SUM($B$19:Q19)</f>
        <v>0</v>
      </c>
      <c r="BL19" s="7">
        <f>SUM($B$19:N19)</f>
        <v>0</v>
      </c>
      <c r="BM19" s="7">
        <f>SUM($B$19:O19)</f>
        <v>0</v>
      </c>
      <c r="BN19" s="7">
        <f>SUM($B$19:P19)</f>
        <v>0</v>
      </c>
      <c r="BO19" s="7">
        <f>SUM($B$19:R19)</f>
        <v>0</v>
      </c>
      <c r="BP19" s="7">
        <f>SUM($B$19:S19)</f>
        <v>0</v>
      </c>
      <c r="BQ19" s="7">
        <f>SUM($B$19:T19)</f>
        <v>0</v>
      </c>
      <c r="BR19" s="7">
        <f>SUM($B$19:V19)</f>
        <v>0</v>
      </c>
      <c r="BS19" s="7">
        <f>SUM($BR$18:BR19)</f>
        <v>0</v>
      </c>
      <c r="BT19">
        <f t="shared" si="6"/>
        <v>0</v>
      </c>
      <c r="BU19">
        <f>SUM($BT$18:BT19)</f>
        <v>0</v>
      </c>
    </row>
    <row r="20" spans="1:73" x14ac:dyDescent="0.35">
      <c r="A20" s="109" t="s">
        <v>24</v>
      </c>
      <c r="B20" s="7"/>
      <c r="C20" s="7"/>
      <c r="D20" s="7"/>
      <c r="E20" s="7"/>
      <c r="F20" s="7"/>
      <c r="G20" s="7"/>
      <c r="H20" s="7"/>
      <c r="I20" s="7"/>
      <c r="J20" s="7"/>
      <c r="K20" s="14"/>
      <c r="L20" s="22"/>
      <c r="M20" s="7"/>
      <c r="N20" s="7"/>
      <c r="O20" s="7"/>
      <c r="P20" s="7"/>
      <c r="Q20" s="7"/>
      <c r="R20" s="7"/>
      <c r="S20" s="7"/>
      <c r="T20" s="7"/>
      <c r="U20" s="7"/>
      <c r="V20" s="7"/>
      <c r="W20" s="7">
        <f t="shared" si="18"/>
        <v>0</v>
      </c>
      <c r="X20" s="7">
        <f t="shared" si="15"/>
        <v>0</v>
      </c>
      <c r="Y20" s="7">
        <f t="shared" si="16"/>
        <v>0</v>
      </c>
      <c r="Z20" s="30"/>
      <c r="AA20" s="26"/>
      <c r="AB20" s="7">
        <f>AB6+W20</f>
        <v>0</v>
      </c>
      <c r="AC20" s="7" t="s">
        <v>24</v>
      </c>
      <c r="AD20" s="7">
        <f t="shared" si="19"/>
        <v>0</v>
      </c>
      <c r="AE20" s="7">
        <f t="shared" si="19"/>
        <v>0</v>
      </c>
      <c r="AF20" s="7">
        <f t="shared" si="19"/>
        <v>0</v>
      </c>
      <c r="AG20" s="7">
        <f t="shared" si="19"/>
        <v>0</v>
      </c>
      <c r="AH20" s="7">
        <f t="shared" si="19"/>
        <v>0</v>
      </c>
      <c r="AI20" s="7">
        <f t="shared" si="19"/>
        <v>0</v>
      </c>
      <c r="AJ20" s="7">
        <f t="shared" si="19"/>
        <v>0</v>
      </c>
      <c r="AK20" s="7">
        <f t="shared" si="19"/>
        <v>0</v>
      </c>
      <c r="AL20" s="7">
        <f t="shared" si="19"/>
        <v>0</v>
      </c>
      <c r="AM20" s="7">
        <f t="shared" si="19"/>
        <v>0</v>
      </c>
      <c r="AN20" s="7">
        <f t="shared" si="20"/>
        <v>0</v>
      </c>
      <c r="AO20" s="7">
        <f t="shared" si="20"/>
        <v>0</v>
      </c>
      <c r="AP20" s="7">
        <f t="shared" si="20"/>
        <v>0</v>
      </c>
      <c r="AQ20" s="7">
        <f t="shared" si="20"/>
        <v>0</v>
      </c>
      <c r="AR20" s="7">
        <f t="shared" si="20"/>
        <v>0</v>
      </c>
      <c r="AS20" s="7">
        <f t="shared" si="20"/>
        <v>0</v>
      </c>
      <c r="AT20" s="7">
        <f t="shared" si="20"/>
        <v>0</v>
      </c>
      <c r="AU20" s="7">
        <f t="shared" si="21"/>
        <v>0</v>
      </c>
      <c r="AV20" s="7">
        <f t="shared" si="22"/>
        <v>0</v>
      </c>
      <c r="AW20" s="7">
        <f t="shared" si="22"/>
        <v>0</v>
      </c>
      <c r="AX20" s="7"/>
      <c r="AY20" s="7">
        <f>SUM($B$20:B20)</f>
        <v>0</v>
      </c>
      <c r="AZ20" s="7">
        <f>SUM($B$20:C20)</f>
        <v>0</v>
      </c>
      <c r="BA20" s="7">
        <f>SUM($B$20:D20)</f>
        <v>0</v>
      </c>
      <c r="BB20" s="7">
        <f>SUM($B$20:E20)</f>
        <v>0</v>
      </c>
      <c r="BC20" s="7">
        <f>SUM($B$20:F20)</f>
        <v>0</v>
      </c>
      <c r="BD20" s="7">
        <f>SUM($B$20:G20)</f>
        <v>0</v>
      </c>
      <c r="BE20" s="7">
        <f>SUM($B$20:H20)</f>
        <v>0</v>
      </c>
      <c r="BF20" s="7">
        <f>SUM($B$20:I20)</f>
        <v>0</v>
      </c>
      <c r="BG20" s="7">
        <f>SUM($B$20:J20)</f>
        <v>0</v>
      </c>
      <c r="BH20" s="7">
        <f>SUM($B$20:K20)</f>
        <v>0</v>
      </c>
      <c r="BI20" s="7">
        <f>SUM($B$20:L20)</f>
        <v>0</v>
      </c>
      <c r="BJ20" s="7">
        <f>SUM($B$20:M20)</f>
        <v>0</v>
      </c>
      <c r="BK20" s="7">
        <f>SUM($B$20:Q20)</f>
        <v>0</v>
      </c>
      <c r="BL20" s="7">
        <f>SUM($B$20:N20)</f>
        <v>0</v>
      </c>
      <c r="BM20" s="7">
        <f>SUM($B$20:O20)</f>
        <v>0</v>
      </c>
      <c r="BN20" s="7">
        <f>SUM($B$20:P20)</f>
        <v>0</v>
      </c>
      <c r="BO20" s="7">
        <f>SUM($B$20:R20)</f>
        <v>0</v>
      </c>
      <c r="BP20" s="7">
        <f>SUM($B$20:S20)</f>
        <v>0</v>
      </c>
      <c r="BQ20" s="7">
        <f>SUM($B$20:T20)</f>
        <v>0</v>
      </c>
      <c r="BR20" s="7">
        <f>SUM($B$20:V20)</f>
        <v>0</v>
      </c>
      <c r="BS20" s="7">
        <f>SUM($BR$18:BR20)</f>
        <v>0</v>
      </c>
      <c r="BT20">
        <f t="shared" si="6"/>
        <v>0</v>
      </c>
      <c r="BU20">
        <f>SUM($BT$18:BT20)</f>
        <v>0</v>
      </c>
    </row>
    <row r="21" spans="1:73" x14ac:dyDescent="0.35">
      <c r="A21" s="120" t="s">
        <v>25</v>
      </c>
      <c r="B21" s="7"/>
      <c r="C21" s="7"/>
      <c r="D21" s="7"/>
      <c r="E21" s="7"/>
      <c r="F21" s="7"/>
      <c r="G21" s="7"/>
      <c r="H21" s="7"/>
      <c r="I21" s="7"/>
      <c r="J21" s="7"/>
      <c r="K21" s="7"/>
      <c r="L21" s="15"/>
      <c r="M21" s="7"/>
      <c r="N21" s="7"/>
      <c r="O21" s="7"/>
      <c r="P21" s="7"/>
      <c r="Q21" s="14"/>
      <c r="R21" s="7"/>
      <c r="S21" s="7"/>
      <c r="T21" s="7"/>
      <c r="U21" s="7"/>
      <c r="V21" s="7"/>
      <c r="W21" s="7">
        <f t="shared" si="18"/>
        <v>0</v>
      </c>
      <c r="X21" s="7">
        <f t="shared" si="15"/>
        <v>0</v>
      </c>
      <c r="Y21" s="7">
        <f t="shared" si="16"/>
        <v>0</v>
      </c>
      <c r="Z21" s="30"/>
      <c r="AA21" s="26"/>
      <c r="AB21" s="7">
        <f>AB7+W21</f>
        <v>0</v>
      </c>
      <c r="AC21" s="7" t="s">
        <v>25</v>
      </c>
      <c r="AD21" s="7">
        <f t="shared" si="19"/>
        <v>0</v>
      </c>
      <c r="AE21" s="7">
        <f t="shared" si="19"/>
        <v>0</v>
      </c>
      <c r="AF21" s="7">
        <f t="shared" si="19"/>
        <v>0</v>
      </c>
      <c r="AG21" s="7">
        <f t="shared" si="19"/>
        <v>0</v>
      </c>
      <c r="AH21" s="7">
        <f t="shared" si="19"/>
        <v>0</v>
      </c>
      <c r="AI21" s="7">
        <f t="shared" si="19"/>
        <v>0</v>
      </c>
      <c r="AJ21" s="7">
        <f t="shared" si="19"/>
        <v>0</v>
      </c>
      <c r="AK21" s="7">
        <f t="shared" si="19"/>
        <v>0</v>
      </c>
      <c r="AL21" s="7">
        <f t="shared" si="19"/>
        <v>0</v>
      </c>
      <c r="AM21" s="7">
        <f t="shared" si="19"/>
        <v>0</v>
      </c>
      <c r="AN21" s="7">
        <f t="shared" si="20"/>
        <v>0</v>
      </c>
      <c r="AO21" s="7">
        <f t="shared" si="20"/>
        <v>0</v>
      </c>
      <c r="AP21" s="7">
        <f t="shared" si="20"/>
        <v>0</v>
      </c>
      <c r="AQ21" s="7">
        <f t="shared" si="20"/>
        <v>0</v>
      </c>
      <c r="AR21" s="7">
        <f t="shared" si="20"/>
        <v>0</v>
      </c>
      <c r="AS21" s="7">
        <f t="shared" si="20"/>
        <v>0</v>
      </c>
      <c r="AT21" s="7">
        <f t="shared" si="20"/>
        <v>0</v>
      </c>
      <c r="AU21" s="7">
        <f t="shared" si="21"/>
        <v>0</v>
      </c>
      <c r="AV21" s="7">
        <f t="shared" si="22"/>
        <v>0</v>
      </c>
      <c r="AW21" s="7">
        <f t="shared" si="22"/>
        <v>0</v>
      </c>
      <c r="AX21" s="7"/>
      <c r="AY21" s="7">
        <f>SUM($B$21:B21)</f>
        <v>0</v>
      </c>
      <c r="AZ21" s="7">
        <f>SUM($B$21:C21)</f>
        <v>0</v>
      </c>
      <c r="BA21" s="7">
        <f>SUM($B$21:D21)</f>
        <v>0</v>
      </c>
      <c r="BB21" s="7">
        <f>SUM($B$21:E21)</f>
        <v>0</v>
      </c>
      <c r="BC21" s="7">
        <f>SUM($B$21:F21)</f>
        <v>0</v>
      </c>
      <c r="BD21" s="7">
        <f>SUM($B$21:G21)</f>
        <v>0</v>
      </c>
      <c r="BE21" s="7">
        <f>SUM($B$21:H21)</f>
        <v>0</v>
      </c>
      <c r="BF21" s="7">
        <f>SUM($B$21:I21)</f>
        <v>0</v>
      </c>
      <c r="BG21" s="7">
        <f>SUM($B$21:J21)</f>
        <v>0</v>
      </c>
      <c r="BH21" s="7">
        <f>SUM($B$21:K21)</f>
        <v>0</v>
      </c>
      <c r="BI21" s="7">
        <f>SUM($B$21:L21)</f>
        <v>0</v>
      </c>
      <c r="BJ21" s="7">
        <f>SUM($B$21:M21)</f>
        <v>0</v>
      </c>
      <c r="BK21" s="7">
        <f>SUM($B$21:Q21)</f>
        <v>0</v>
      </c>
      <c r="BL21" s="7">
        <f>SUM($B$21:N21)</f>
        <v>0</v>
      </c>
      <c r="BM21" s="7">
        <f>SUM($B$21:O21)</f>
        <v>0</v>
      </c>
      <c r="BN21" s="7">
        <f>SUM($B$21:P21)</f>
        <v>0</v>
      </c>
      <c r="BO21" s="7">
        <f>SUM($B$21:R21)</f>
        <v>0</v>
      </c>
      <c r="BP21" s="7">
        <f>SUM($B$21:S21)</f>
        <v>0</v>
      </c>
      <c r="BQ21" s="7">
        <f>SUM($B$21:T21)</f>
        <v>0</v>
      </c>
      <c r="BR21" s="7">
        <f>SUM($B$21:V21)</f>
        <v>0</v>
      </c>
      <c r="BS21" s="7">
        <f>SUM($BR$18:BR21)</f>
        <v>0</v>
      </c>
      <c r="BT21">
        <f t="shared" si="6"/>
        <v>0</v>
      </c>
      <c r="BU21">
        <f>SUM($BT$18:BT21)</f>
        <v>0</v>
      </c>
    </row>
    <row r="22" spans="1:73" ht="17.5" customHeight="1" x14ac:dyDescent="0.35">
      <c r="A22" s="131" t="s">
        <v>26</v>
      </c>
      <c r="B22" s="7"/>
      <c r="C22" s="7"/>
      <c r="D22" s="7"/>
      <c r="E22" s="7"/>
      <c r="F22" s="7"/>
      <c r="G22" s="7"/>
      <c r="H22" s="7"/>
      <c r="I22" s="7"/>
      <c r="J22" s="7"/>
      <c r="K22" s="7"/>
      <c r="L22" s="7"/>
      <c r="M22" s="7"/>
      <c r="N22" s="7"/>
      <c r="O22" s="7"/>
      <c r="P22" s="7"/>
      <c r="Q22" s="7"/>
      <c r="R22" s="7"/>
      <c r="S22" s="7"/>
      <c r="T22" s="7"/>
      <c r="U22" s="7"/>
      <c r="V22" s="7"/>
      <c r="W22" s="7">
        <f t="shared" si="18"/>
        <v>0</v>
      </c>
      <c r="X22" s="7">
        <f t="shared" si="15"/>
        <v>0</v>
      </c>
      <c r="Y22" s="7">
        <f t="shared" si="16"/>
        <v>0</v>
      </c>
      <c r="Z22" s="30"/>
      <c r="AA22" s="26"/>
      <c r="AB22" s="7">
        <f>W22+AB8</f>
        <v>0</v>
      </c>
      <c r="AC22" s="7" t="s">
        <v>26</v>
      </c>
      <c r="AD22" s="7">
        <f t="shared" si="19"/>
        <v>0</v>
      </c>
      <c r="AE22" s="7">
        <f t="shared" si="19"/>
        <v>0</v>
      </c>
      <c r="AF22" s="7">
        <f t="shared" si="19"/>
        <v>0</v>
      </c>
      <c r="AG22" s="7">
        <f t="shared" si="19"/>
        <v>0</v>
      </c>
      <c r="AH22" s="7">
        <f t="shared" si="19"/>
        <v>0</v>
      </c>
      <c r="AI22" s="7">
        <f t="shared" si="19"/>
        <v>0</v>
      </c>
      <c r="AJ22" s="7">
        <f t="shared" si="19"/>
        <v>0</v>
      </c>
      <c r="AK22" s="7">
        <f t="shared" si="19"/>
        <v>0</v>
      </c>
      <c r="AL22" s="7">
        <f t="shared" si="19"/>
        <v>0</v>
      </c>
      <c r="AM22" s="7">
        <f t="shared" si="19"/>
        <v>0</v>
      </c>
      <c r="AN22" s="7">
        <f t="shared" si="20"/>
        <v>0</v>
      </c>
      <c r="AO22" s="7">
        <f t="shared" si="20"/>
        <v>0</v>
      </c>
      <c r="AP22" s="7">
        <f t="shared" si="20"/>
        <v>0</v>
      </c>
      <c r="AQ22" s="7">
        <f t="shared" si="20"/>
        <v>0</v>
      </c>
      <c r="AR22" s="7">
        <f t="shared" si="20"/>
        <v>0</v>
      </c>
      <c r="AS22" s="7">
        <f t="shared" si="20"/>
        <v>0</v>
      </c>
      <c r="AT22" s="7">
        <f t="shared" si="20"/>
        <v>0</v>
      </c>
      <c r="AU22" s="7">
        <f t="shared" si="21"/>
        <v>0</v>
      </c>
      <c r="AV22" s="7">
        <f t="shared" si="22"/>
        <v>0</v>
      </c>
      <c r="AW22" s="7">
        <f t="shared" si="22"/>
        <v>0</v>
      </c>
      <c r="AX22" s="7"/>
      <c r="AY22" s="7">
        <f>SUM($B$22:B22)</f>
        <v>0</v>
      </c>
      <c r="AZ22" s="7">
        <f>SUM($B$22:C22)</f>
        <v>0</v>
      </c>
      <c r="BA22" s="7">
        <f>SUM($B$22:D22)</f>
        <v>0</v>
      </c>
      <c r="BB22" s="7">
        <f>SUM($B$22:E22)</f>
        <v>0</v>
      </c>
      <c r="BC22" s="7">
        <f>SUM($B$22:F22)</f>
        <v>0</v>
      </c>
      <c r="BD22" s="7">
        <f>SUM($B$22:G22)</f>
        <v>0</v>
      </c>
      <c r="BE22" s="7">
        <f>SUM($B$22:H22)</f>
        <v>0</v>
      </c>
      <c r="BF22" s="7">
        <f>SUM($B$22:I22)</f>
        <v>0</v>
      </c>
      <c r="BG22" s="7">
        <f>SUM($B$22:J22)</f>
        <v>0</v>
      </c>
      <c r="BH22" s="7">
        <f>SUM($B$22:K22)</f>
        <v>0</v>
      </c>
      <c r="BI22" s="7">
        <f>SUM($B$22:L22)</f>
        <v>0</v>
      </c>
      <c r="BJ22" s="7">
        <f>SUM($B$22:M22)</f>
        <v>0</v>
      </c>
      <c r="BK22" s="7">
        <f>SUM($B$22:Q22)</f>
        <v>0</v>
      </c>
      <c r="BL22" s="7">
        <f>SUM($B$22:N22)</f>
        <v>0</v>
      </c>
      <c r="BM22" s="7">
        <f>SUM($B$22:O22)</f>
        <v>0</v>
      </c>
      <c r="BN22" s="7">
        <f>SUM($B$22:P22)</f>
        <v>0</v>
      </c>
      <c r="BO22" s="7">
        <f>SUM($B$22:R22)</f>
        <v>0</v>
      </c>
      <c r="BP22" s="7">
        <f>SUM($B$22:S22)</f>
        <v>0</v>
      </c>
      <c r="BQ22" s="7">
        <f>SUM($B$22:T22)</f>
        <v>0</v>
      </c>
      <c r="BR22" s="7">
        <f>SUM($B$22:V22)</f>
        <v>0</v>
      </c>
      <c r="BS22" s="7">
        <f>SUM($BR$18:BR22)</f>
        <v>0</v>
      </c>
      <c r="BT22">
        <f t="shared" si="6"/>
        <v>0</v>
      </c>
      <c r="BU22">
        <f>SUM($BT$18:BT22)</f>
        <v>0</v>
      </c>
    </row>
    <row r="23" spans="1:73" ht="28.9" customHeight="1" x14ac:dyDescent="0.35">
      <c r="A23" s="142" t="s">
        <v>27</v>
      </c>
      <c r="B23" s="7"/>
      <c r="C23" s="7"/>
      <c r="D23" s="7"/>
      <c r="E23" s="7"/>
      <c r="F23" s="7"/>
      <c r="G23" s="7"/>
      <c r="H23" s="7"/>
      <c r="I23" s="7"/>
      <c r="J23" s="7"/>
      <c r="K23" s="7"/>
      <c r="L23" s="7"/>
      <c r="M23" s="7"/>
      <c r="N23" s="7"/>
      <c r="O23" s="7"/>
      <c r="P23" s="7"/>
      <c r="Q23" s="7"/>
      <c r="R23" s="7"/>
      <c r="S23" s="7"/>
      <c r="T23" s="7"/>
      <c r="U23" s="7"/>
      <c r="V23" s="7"/>
      <c r="W23" s="7">
        <f t="shared" si="18"/>
        <v>0</v>
      </c>
      <c r="X23" s="7">
        <f t="shared" si="15"/>
        <v>0</v>
      </c>
      <c r="Y23" s="7">
        <f t="shared" si="16"/>
        <v>0</v>
      </c>
      <c r="Z23" s="30"/>
      <c r="AA23" s="26"/>
      <c r="AB23" s="7">
        <f>AB9+W23</f>
        <v>0</v>
      </c>
      <c r="AC23" s="7" t="s">
        <v>27</v>
      </c>
      <c r="AD23" s="7">
        <f t="shared" si="19"/>
        <v>0</v>
      </c>
      <c r="AE23" s="7">
        <f t="shared" si="19"/>
        <v>0</v>
      </c>
      <c r="AF23" s="7">
        <f t="shared" si="19"/>
        <v>0</v>
      </c>
      <c r="AG23" s="7">
        <f t="shared" si="19"/>
        <v>0</v>
      </c>
      <c r="AH23" s="7">
        <f t="shared" si="19"/>
        <v>0</v>
      </c>
      <c r="AI23" s="7">
        <f t="shared" si="19"/>
        <v>0</v>
      </c>
      <c r="AJ23" s="7">
        <f t="shared" si="19"/>
        <v>0</v>
      </c>
      <c r="AK23" s="7">
        <f t="shared" si="19"/>
        <v>0</v>
      </c>
      <c r="AL23" s="7">
        <f t="shared" si="19"/>
        <v>0</v>
      </c>
      <c r="AM23" s="7">
        <f t="shared" si="19"/>
        <v>0</v>
      </c>
      <c r="AN23" s="7">
        <f t="shared" si="20"/>
        <v>0</v>
      </c>
      <c r="AO23" s="7">
        <f t="shared" si="20"/>
        <v>0</v>
      </c>
      <c r="AP23" s="7">
        <f t="shared" si="20"/>
        <v>0</v>
      </c>
      <c r="AQ23" s="7">
        <f t="shared" si="20"/>
        <v>0</v>
      </c>
      <c r="AR23" s="7">
        <f t="shared" si="20"/>
        <v>0</v>
      </c>
      <c r="AS23" s="7">
        <f t="shared" si="20"/>
        <v>0</v>
      </c>
      <c r="AT23" s="7">
        <f t="shared" si="20"/>
        <v>0</v>
      </c>
      <c r="AU23" s="7">
        <f t="shared" si="21"/>
        <v>0</v>
      </c>
      <c r="AV23" s="7">
        <f t="shared" si="22"/>
        <v>0</v>
      </c>
      <c r="AW23" s="7">
        <f t="shared" si="22"/>
        <v>0</v>
      </c>
      <c r="AX23" s="7"/>
      <c r="AY23" s="7">
        <f>SUM($B$23:B23)</f>
        <v>0</v>
      </c>
      <c r="AZ23" s="7">
        <f>SUM($B$23:C23)</f>
        <v>0</v>
      </c>
      <c r="BA23" s="7">
        <f>SUM($B$23:D23)</f>
        <v>0</v>
      </c>
      <c r="BB23" s="7">
        <f>SUM($B$23:E23)</f>
        <v>0</v>
      </c>
      <c r="BC23" s="7">
        <f>SUM($B$23:F23)</f>
        <v>0</v>
      </c>
      <c r="BD23" s="7">
        <f>SUM($B$23:G23)</f>
        <v>0</v>
      </c>
      <c r="BE23" s="7">
        <f>SUM($B$23:H23)</f>
        <v>0</v>
      </c>
      <c r="BF23" s="7">
        <f>SUM($B$23:I23)</f>
        <v>0</v>
      </c>
      <c r="BG23" s="7">
        <f>SUM($B$23:J23)</f>
        <v>0</v>
      </c>
      <c r="BH23" s="7">
        <f>SUM($B$23:K23)</f>
        <v>0</v>
      </c>
      <c r="BI23" s="7">
        <f>SUM($B$23:L23)</f>
        <v>0</v>
      </c>
      <c r="BJ23" s="7">
        <f>SUM($B$23:M23)</f>
        <v>0</v>
      </c>
      <c r="BK23" s="7">
        <f>SUM($B$23:Q23)</f>
        <v>0</v>
      </c>
      <c r="BL23" s="7">
        <f>SUM($B$23:N23)</f>
        <v>0</v>
      </c>
      <c r="BM23" s="7">
        <f>SUM($B$23:O23)</f>
        <v>0</v>
      </c>
      <c r="BN23" s="7">
        <f>SUM($B$23:P23)</f>
        <v>0</v>
      </c>
      <c r="BO23" s="7">
        <f>SUM($B$23:R23)</f>
        <v>0</v>
      </c>
      <c r="BP23" s="7">
        <f>SUM($B$23:S23)</f>
        <v>0</v>
      </c>
      <c r="BQ23" s="7">
        <f>SUM($B$23:T23)</f>
        <v>0</v>
      </c>
      <c r="BR23" s="7">
        <f>SUM($B$23:V23)</f>
        <v>0</v>
      </c>
      <c r="BS23" s="7">
        <f>SUM($BR$18:BR23)</f>
        <v>0</v>
      </c>
      <c r="BT23">
        <f t="shared" si="6"/>
        <v>0</v>
      </c>
      <c r="BU23">
        <f>SUM($BT$18:BT23)</f>
        <v>0</v>
      </c>
    </row>
    <row r="24" spans="1:73" ht="18.649999999999999" customHeight="1" x14ac:dyDescent="0.35">
      <c r="A24" s="25" t="s">
        <v>28</v>
      </c>
      <c r="B24" s="7"/>
      <c r="C24" s="7"/>
      <c r="D24" s="7"/>
      <c r="E24" s="7"/>
      <c r="F24" s="7"/>
      <c r="G24" s="7"/>
      <c r="H24" s="7"/>
      <c r="I24" s="7"/>
      <c r="J24" s="7"/>
      <c r="K24" s="7"/>
      <c r="L24" s="7"/>
      <c r="M24" s="7"/>
      <c r="N24" s="7"/>
      <c r="O24" s="7"/>
      <c r="P24" s="7"/>
      <c r="Q24" s="7"/>
      <c r="R24" s="7"/>
      <c r="S24" s="7"/>
      <c r="T24" s="7"/>
      <c r="U24" s="7"/>
      <c r="V24" s="7"/>
      <c r="W24" s="7">
        <f t="shared" si="18"/>
        <v>0</v>
      </c>
      <c r="X24" s="7">
        <f t="shared" si="15"/>
        <v>0</v>
      </c>
      <c r="Y24" s="7">
        <f t="shared" si="16"/>
        <v>0</v>
      </c>
      <c r="Z24" s="30"/>
      <c r="AA24" s="26"/>
      <c r="AB24" s="7">
        <f>AB10+W24</f>
        <v>0</v>
      </c>
      <c r="AC24" s="7" t="s">
        <v>28</v>
      </c>
      <c r="AD24" s="7">
        <f t="shared" si="19"/>
        <v>0</v>
      </c>
      <c r="AE24" s="7">
        <f t="shared" si="19"/>
        <v>0</v>
      </c>
      <c r="AF24" s="7">
        <f t="shared" si="19"/>
        <v>0</v>
      </c>
      <c r="AG24" s="7">
        <f t="shared" si="19"/>
        <v>0</v>
      </c>
      <c r="AH24" s="7">
        <f t="shared" si="19"/>
        <v>0</v>
      </c>
      <c r="AI24" s="7">
        <f t="shared" si="19"/>
        <v>0</v>
      </c>
      <c r="AJ24" s="7">
        <f t="shared" si="19"/>
        <v>0</v>
      </c>
      <c r="AK24" s="7">
        <f t="shared" si="19"/>
        <v>0</v>
      </c>
      <c r="AL24" s="7">
        <f t="shared" si="19"/>
        <v>0</v>
      </c>
      <c r="AM24" s="7">
        <f t="shared" si="19"/>
        <v>0</v>
      </c>
      <c r="AN24" s="7">
        <f t="shared" si="20"/>
        <v>0</v>
      </c>
      <c r="AO24" s="7">
        <f t="shared" si="20"/>
        <v>0</v>
      </c>
      <c r="AP24" s="7">
        <f t="shared" si="20"/>
        <v>0</v>
      </c>
      <c r="AQ24" s="7">
        <f t="shared" si="20"/>
        <v>0</v>
      </c>
      <c r="AR24" s="7">
        <f t="shared" si="20"/>
        <v>0</v>
      </c>
      <c r="AS24" s="7">
        <f t="shared" si="20"/>
        <v>0</v>
      </c>
      <c r="AT24" s="7">
        <f t="shared" si="20"/>
        <v>0</v>
      </c>
      <c r="AU24" s="7">
        <f t="shared" si="21"/>
        <v>0</v>
      </c>
      <c r="AV24" s="7">
        <f t="shared" si="22"/>
        <v>0</v>
      </c>
      <c r="AW24" s="7">
        <f t="shared" si="22"/>
        <v>0</v>
      </c>
      <c r="AX24" s="7"/>
      <c r="AY24" s="7">
        <f>SUM($B$24:B24)</f>
        <v>0</v>
      </c>
      <c r="AZ24" s="7">
        <f>SUM($B$24:C24)</f>
        <v>0</v>
      </c>
      <c r="BA24" s="7">
        <f>SUM($B$24:D24)</f>
        <v>0</v>
      </c>
      <c r="BB24" s="7">
        <f>SUM($B$24:E24)</f>
        <v>0</v>
      </c>
      <c r="BC24" s="7">
        <f>SUM($B$24:F24)</f>
        <v>0</v>
      </c>
      <c r="BD24" s="7">
        <f>SUM($B$24:G24)</f>
        <v>0</v>
      </c>
      <c r="BE24" s="7">
        <f>SUM($B$24:H24)</f>
        <v>0</v>
      </c>
      <c r="BF24" s="7">
        <f>SUM($B$24:I24)</f>
        <v>0</v>
      </c>
      <c r="BG24" s="7">
        <f>SUM($B$24:J24)</f>
        <v>0</v>
      </c>
      <c r="BH24" s="7">
        <f>SUM($B$24:K24)</f>
        <v>0</v>
      </c>
      <c r="BI24" s="7">
        <f>SUM($B$24:L24)</f>
        <v>0</v>
      </c>
      <c r="BJ24" s="7">
        <f>SUM($B$24:M24)</f>
        <v>0</v>
      </c>
      <c r="BK24" s="7">
        <f>SUM($B$24:Q24)</f>
        <v>0</v>
      </c>
      <c r="BL24" s="7">
        <f>SUM($B$24:N24)</f>
        <v>0</v>
      </c>
      <c r="BM24" s="7">
        <f>SUM($B$24:O24)</f>
        <v>0</v>
      </c>
      <c r="BN24" s="7">
        <f>SUM($B$24:P24)</f>
        <v>0</v>
      </c>
      <c r="BO24" s="7">
        <f>SUM($B$24:R24)</f>
        <v>0</v>
      </c>
      <c r="BP24" s="7">
        <f>SUM($B$24:S24)</f>
        <v>0</v>
      </c>
      <c r="BQ24" s="7">
        <f>SUM($B$24:T24)</f>
        <v>0</v>
      </c>
      <c r="BR24" s="7">
        <f>SUM($B$24:V24)</f>
        <v>0</v>
      </c>
      <c r="BS24" s="7">
        <f>SUM($BR$18:BR24)</f>
        <v>0</v>
      </c>
      <c r="BT24">
        <f t="shared" si="6"/>
        <v>0</v>
      </c>
      <c r="BU24">
        <f>SUM($BT$18:BT24)</f>
        <v>0</v>
      </c>
    </row>
    <row r="25" spans="1:73" x14ac:dyDescent="0.35">
      <c r="A25" s="25" t="s">
        <v>29</v>
      </c>
      <c r="B25" s="7">
        <f t="shared" ref="B25:J25" si="23">SUM(B18:B24)</f>
        <v>0</v>
      </c>
      <c r="C25" s="7">
        <f t="shared" si="23"/>
        <v>0</v>
      </c>
      <c r="D25" s="7">
        <f t="shared" si="23"/>
        <v>0</v>
      </c>
      <c r="E25" s="7">
        <f t="shared" si="23"/>
        <v>0</v>
      </c>
      <c r="F25" s="7">
        <f t="shared" si="23"/>
        <v>0</v>
      </c>
      <c r="G25" s="7">
        <f t="shared" si="23"/>
        <v>0</v>
      </c>
      <c r="H25" s="7">
        <f t="shared" si="23"/>
        <v>0</v>
      </c>
      <c r="I25" s="7">
        <f t="shared" si="23"/>
        <v>0</v>
      </c>
      <c r="J25" s="7">
        <f t="shared" si="23"/>
        <v>0</v>
      </c>
      <c r="K25" s="7">
        <f>SUM(K18:K24)</f>
        <v>0</v>
      </c>
      <c r="L25" s="7">
        <f t="shared" ref="L25:T25" si="24">SUM(L18:L24)</f>
        <v>0</v>
      </c>
      <c r="M25" s="7">
        <f t="shared" si="24"/>
        <v>0</v>
      </c>
      <c r="N25" s="7">
        <f t="shared" si="24"/>
        <v>0</v>
      </c>
      <c r="O25" s="7">
        <f t="shared" si="24"/>
        <v>0</v>
      </c>
      <c r="P25" s="7">
        <f t="shared" si="24"/>
        <v>0</v>
      </c>
      <c r="Q25" s="7">
        <f>SUM(Q18:Q24)</f>
        <v>0</v>
      </c>
      <c r="R25" s="7">
        <f t="shared" si="24"/>
        <v>0</v>
      </c>
      <c r="S25" s="7">
        <f t="shared" si="24"/>
        <v>0</v>
      </c>
      <c r="T25" s="7">
        <f t="shared" si="24"/>
        <v>0</v>
      </c>
      <c r="U25" s="7">
        <f>SUM(U18:U24)</f>
        <v>0</v>
      </c>
      <c r="V25" s="7">
        <f>SUM(V18:V24)</f>
        <v>0</v>
      </c>
      <c r="W25" s="31">
        <f>SUM(W18:W24)</f>
        <v>0</v>
      </c>
      <c r="X25" s="7"/>
      <c r="Y25" s="7"/>
      <c r="Z25" s="30" t="s">
        <v>173</v>
      </c>
      <c r="AA25" s="26"/>
      <c r="AB25" s="7"/>
      <c r="AC25" s="7"/>
      <c r="AD25" s="7">
        <f>MAX(AD18:AD24)</f>
        <v>0</v>
      </c>
      <c r="AE25" s="7">
        <f t="shared" ref="AE25:AT25" si="25">MAX(AE18:AE24)</f>
        <v>0</v>
      </c>
      <c r="AF25" s="7">
        <f t="shared" si="25"/>
        <v>0</v>
      </c>
      <c r="AG25" s="7">
        <f t="shared" si="25"/>
        <v>0</v>
      </c>
      <c r="AH25" s="7">
        <f t="shared" si="25"/>
        <v>0</v>
      </c>
      <c r="AI25" s="7">
        <f t="shared" si="25"/>
        <v>0</v>
      </c>
      <c r="AJ25" s="7">
        <f t="shared" si="25"/>
        <v>0</v>
      </c>
      <c r="AK25" s="7">
        <f t="shared" si="25"/>
        <v>0</v>
      </c>
      <c r="AL25" s="7">
        <f t="shared" si="25"/>
        <v>0</v>
      </c>
      <c r="AM25" s="7">
        <f t="shared" si="25"/>
        <v>0</v>
      </c>
      <c r="AN25" s="7">
        <f t="shared" si="25"/>
        <v>0</v>
      </c>
      <c r="AO25" s="7">
        <f t="shared" si="25"/>
        <v>0</v>
      </c>
      <c r="AP25" s="7">
        <f t="shared" si="25"/>
        <v>0</v>
      </c>
      <c r="AQ25" s="7">
        <f t="shared" si="25"/>
        <v>0</v>
      </c>
      <c r="AR25" s="7">
        <f t="shared" si="25"/>
        <v>0</v>
      </c>
      <c r="AS25" s="7">
        <f t="shared" si="25"/>
        <v>0</v>
      </c>
      <c r="AT25" s="7">
        <f t="shared" si="25"/>
        <v>0</v>
      </c>
      <c r="AU25" s="7">
        <f>MAX(AU18:AU24)</f>
        <v>0</v>
      </c>
      <c r="AV25" s="7">
        <f t="shared" ref="AV25" si="26">MAX(AV18:AV24)</f>
        <v>0</v>
      </c>
      <c r="AW25" s="7">
        <f t="shared" ref="AW25" si="27">MAX(AW18:AW24)</f>
        <v>0</v>
      </c>
      <c r="AX25" s="7"/>
      <c r="AY25" s="7"/>
      <c r="AZ25" s="7"/>
      <c r="BA25" s="7"/>
      <c r="BB25" s="7"/>
      <c r="BC25" s="7"/>
      <c r="BD25" s="7"/>
      <c r="BE25" s="7"/>
      <c r="BF25" s="7"/>
      <c r="BG25" s="7"/>
      <c r="BH25" s="7"/>
      <c r="BI25" s="7"/>
      <c r="BJ25" s="7"/>
      <c r="BK25" s="7"/>
      <c r="BL25" s="7"/>
      <c r="BM25" s="7"/>
      <c r="BN25" s="7"/>
      <c r="BO25" s="7"/>
      <c r="BP25" s="7"/>
      <c r="BQ25" s="7"/>
      <c r="BR25" s="7"/>
      <c r="BS25" s="7"/>
    </row>
    <row r="26" spans="1:73" ht="14.5" customHeight="1" x14ac:dyDescent="0.35">
      <c r="A26" s="25" t="s">
        <v>33</v>
      </c>
      <c r="B26" s="7">
        <f t="shared" ref="B26:U26" si="28">B25-B11</f>
        <v>-2</v>
      </c>
      <c r="C26" s="7">
        <f t="shared" si="28"/>
        <v>0</v>
      </c>
      <c r="D26" s="7">
        <f t="shared" si="28"/>
        <v>-5</v>
      </c>
      <c r="E26" s="7">
        <f t="shared" si="28"/>
        <v>-9</v>
      </c>
      <c r="F26" s="7">
        <f t="shared" si="28"/>
        <v>-4</v>
      </c>
      <c r="G26" s="7">
        <f t="shared" si="28"/>
        <v>0</v>
      </c>
      <c r="H26" s="7">
        <f t="shared" si="28"/>
        <v>0</v>
      </c>
      <c r="I26" s="7">
        <f t="shared" si="28"/>
        <v>-3</v>
      </c>
      <c r="J26" s="7">
        <f t="shared" si="28"/>
        <v>0</v>
      </c>
      <c r="K26" s="7">
        <f t="shared" si="28"/>
        <v>-0.75</v>
      </c>
      <c r="L26" s="7">
        <f t="shared" si="28"/>
        <v>-2</v>
      </c>
      <c r="M26" s="7">
        <f t="shared" si="28"/>
        <v>-1</v>
      </c>
      <c r="N26" s="7">
        <f t="shared" si="28"/>
        <v>-2.5</v>
      </c>
      <c r="O26" s="7">
        <f t="shared" si="28"/>
        <v>-2</v>
      </c>
      <c r="P26" s="7">
        <f t="shared" si="28"/>
        <v>0</v>
      </c>
      <c r="Q26" s="7">
        <f t="shared" si="28"/>
        <v>0</v>
      </c>
      <c r="R26" s="7">
        <f t="shared" si="28"/>
        <v>-1</v>
      </c>
      <c r="S26" s="7">
        <f t="shared" si="28"/>
        <v>-3</v>
      </c>
      <c r="T26" s="7">
        <f t="shared" si="28"/>
        <v>0</v>
      </c>
      <c r="U26" s="7">
        <f t="shared" si="28"/>
        <v>1</v>
      </c>
      <c r="V26" s="7">
        <f>V25-V11</f>
        <v>-2</v>
      </c>
      <c r="W26" s="7">
        <f>W25-W11</f>
        <v>-36.25</v>
      </c>
      <c r="X26" s="7"/>
      <c r="Y26" s="7"/>
      <c r="Z26" s="30"/>
      <c r="AA26" s="26"/>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row>
    <row r="27" spans="1:73" ht="14.5" customHeight="1" x14ac:dyDescent="0.35">
      <c r="A27" s="25" t="s">
        <v>110</v>
      </c>
      <c r="B27" s="7" cm="1">
        <f t="array" ref="B27">IF(COUNTIF(AD18:AD24,0)=0,
    LOOKUP(2,1/(AD18:AD24&lt;&gt;""),AD18:AD24),
    MATCH(0,INDEX(AD18:AD24,MAX(ROW(AD18:AD24))-ROW(AD18:AD24)+1),0)-1
)</f>
        <v>0</v>
      </c>
      <c r="C27" s="7" cm="1">
        <f t="array" ref="C27">IF(COUNTIF(AE18:AE24,0)=0,
    LOOKUP(2,1/(AE18:AE24&lt;&gt;""),AE18:AE24),
    MATCH(0,INDEX(AE18:AE24,MAX(ROW(AE18:AE24))-ROW(AE18:AE24)+1),0)-1
)</f>
        <v>0</v>
      </c>
      <c r="D27" s="7" cm="1">
        <f t="array" ref="D27">IF(COUNTIF(AF18:AF24,0)=0,
    LOOKUP(2,1/(AF18:AF24&lt;&gt;""),AF18:AF24),
    MATCH(0,INDEX(AF18:AF24,MAX(ROW(AF18:AF24))-ROW(AF18:AF24)+1),0)-1
)</f>
        <v>0</v>
      </c>
      <c r="E27" s="7" cm="1">
        <f t="array" ref="E27">IF(COUNTIF(AG18:AG24,0)=0,
    LOOKUP(2,1/(AG18:AG24&lt;&gt;""),AG18:AG24),
    MATCH(0,INDEX(AG18:AG24,MAX(ROW(AG18:AG24))-ROW(AG18:AG24)+1),0)-1
)</f>
        <v>0</v>
      </c>
      <c r="F27" s="7" cm="1">
        <f t="array" ref="F27">IF(COUNTIF(AH18:AH24,0)=0,
    LOOKUP(2,1/(AH18:AH24&lt;&gt;""),AH18:AH24),
    MATCH(0,INDEX(AH18:AH24,MAX(ROW(AH18:AH24))-ROW(AH18:AH24)+1),0)-1
)</f>
        <v>0</v>
      </c>
      <c r="G27" s="7" cm="1">
        <f t="array" ref="G27">IF(COUNTIF(AI18:AI24,0)=0,
    LOOKUP(2,1/(AI18:AI24&lt;&gt;""),AI18:AI24),
    MATCH(0,INDEX(AI18:AI24,MAX(ROW(AI18:AI24))-ROW(AI18:AI24)+1),0)-1
)</f>
        <v>0</v>
      </c>
      <c r="H27" s="7" cm="1">
        <f t="array" ref="H27">IF(COUNTIF(AJ18:AJ24,0)=0,
    LOOKUP(2,1/(AJ18:AJ24&lt;&gt;""),AJ18:AJ24),
    MATCH(0,INDEX(AJ18:AJ24,MAX(ROW(AJ18:AJ24))-ROW(AJ18:AJ24)+1),0)-1
)</f>
        <v>0</v>
      </c>
      <c r="I27" s="7" cm="1">
        <f t="array" ref="I27">IF(COUNTIF(AK18:AK24,0)=0,
    LOOKUP(2,1/(AK18:AK24&lt;&gt;""),AK18:AK24),
    MATCH(0,INDEX(AK18:AK24,MAX(ROW(AK18:AK24))-ROW(AK18:AK24)+1),0)-1
)</f>
        <v>0</v>
      </c>
      <c r="J27" s="7" cm="1">
        <f t="array" ref="J27">IF(COUNTIF(AL18:AL24,0)=0,
    LOOKUP(2,1/(AL18:AL24&lt;&gt;""),AL18:AL24),
    MATCH(0,INDEX(AL18:AL24,MAX(ROW(AL18:AL24))-ROW(AL18:AL24)+1),0)-1
)</f>
        <v>0</v>
      </c>
      <c r="K27" s="7" cm="1">
        <f t="array" ref="K27">IF(COUNTIF(AM18:AM24,0)=0,
    LOOKUP(2,1/(AM18:AM24&lt;&gt;""),AM18:AM24),
    MATCH(0,INDEX(AM18:AM24,MAX(ROW(AM18:AM24))-ROW(AM18:AM24)+1),0)-1
)</f>
        <v>0</v>
      </c>
      <c r="L27" s="7" cm="1">
        <f t="array" ref="L27">IF(COUNTIF(AN18:AN24,0)=0,
    LOOKUP(2,1/(AN18:AN24&lt;&gt;""),AN18:AN24),
    MATCH(0,INDEX(AN18:AN24,MAX(ROW(AN18:AN24))-ROW(AN18:AN24)+1),0)-1
)</f>
        <v>0</v>
      </c>
      <c r="M27" s="7" cm="1">
        <f t="array" ref="M27">IF(COUNTIF(AO18:AO24,0)=0,
    LOOKUP(2,1/(AO18:AO24&lt;&gt;""),AO18:AO24),
    MATCH(0,INDEX(AO18:AO24,MAX(ROW(AO18:AO24))-ROW(AO18:AO24)+1),0)-1
)</f>
        <v>0</v>
      </c>
      <c r="N27" s="7" cm="1">
        <f t="array" ref="N27">IF(COUNTIF(AP18:AP24,0)=0,
    LOOKUP(2,1/(AP18:AP24&lt;&gt;""),AP18:AP24),
    MATCH(0,INDEX(AP18:AP24,MAX(ROW(AP18:AP24))-ROW(AP18:AP24)+1),0)-1
)</f>
        <v>0</v>
      </c>
      <c r="O27" s="7" cm="1">
        <f t="array" ref="O27">IF(COUNTIF(AQ18:AQ24,0)=0,
    LOOKUP(2,1/(AQ18:AQ24&lt;&gt;""),AQ18:AQ24),
    MATCH(0,INDEX(AQ18:AQ24,MAX(ROW(AQ18:AQ24))-ROW(AQ18:AQ24)+1),0)-1
)</f>
        <v>0</v>
      </c>
      <c r="P27" s="7" cm="1">
        <f t="array" ref="P27">IF(COUNTIF(AR18:AR24,0)=0,
    LOOKUP(2,1/(AR18:AR24&lt;&gt;""),AR18:AR24),
    MATCH(0,INDEX(AR18:AR24,MAX(ROW(AR18:AR24))-ROW(AR18:AR24)+1),0)-1
)</f>
        <v>0</v>
      </c>
      <c r="Q27" s="7" cm="1">
        <f t="array" ref="Q27">IF(COUNTIF(AS18:AS24,0)=0,
    LOOKUP(2,1/(AS18:AS24&lt;&gt;""),AS18:AS24),
    MATCH(0,INDEX(AS18:AS24,MAX(ROW(AS18:AS24))-ROW(AS18:AS24)+1),0)-1
)</f>
        <v>0</v>
      </c>
      <c r="R27" s="7" cm="1">
        <f t="array" ref="R27">IF(COUNTIF(AT18:AT24,0)=0,
    LOOKUP(2,1/(AT18:AT24&lt;&gt;""),AT18:AT24),
    MATCH(0,INDEX(AT18:AT24,MAX(ROW(AT18:AT24))-ROW(AT18:AT24)+1),0)-1
)</f>
        <v>0</v>
      </c>
      <c r="S27" s="7" cm="1">
        <f t="array" ref="S27">IF(COUNTIF(AU18:AU24,0)=0,
    LOOKUP(2,1/(AU18:AU24&lt;&gt;""),AU18:AU24),
    MATCH(0,INDEX(AU18:AU24,MAX(ROW(AU18:AU24))-ROW(AU18:AU24)+1),0)-1
)</f>
        <v>0</v>
      </c>
      <c r="T27" s="7" cm="1">
        <f t="array" ref="T27">IF(COUNTIF(AV18:AV24,0)=0,
    LOOKUP(2,1/(AV18:AV24&lt;&gt;""),AV18:AV24),
    MATCH(0,INDEX(AV18:AV24,MAX(ROW(AV18:AV24))-ROW(AV18:AV24)+1),0)-1
)</f>
        <v>0</v>
      </c>
      <c r="U27" s="7" cm="1">
        <f t="array" ref="U27">IF(COUNTIF(AW18:AW24,0)=0,
    LOOKUP(2,1/(AW18:AW24&lt;&gt;""),AW18:AW24),
    MATCH(0,INDEX(AW18:AW24,MAX(ROW(AW18:AW24))-ROW(AW18:AW24)+1),0)-1
)</f>
        <v>0</v>
      </c>
      <c r="V27" s="7" cm="1">
        <f t="array" ref="V27">IF(COUNTIF(Y18:Y24,0)=0,
    LOOKUP(2,1/(Y18:Y24&lt;&gt;""),Y18:Y24),
    MATCH(0,INDEX(Y18:Y24,MAX(ROW(Y18:Y24))-ROW(Y18:Y24)+1),0)-1
)</f>
        <v>0</v>
      </c>
      <c r="W27" s="7"/>
      <c r="X27" s="7"/>
      <c r="Y27" s="7"/>
      <c r="Z27" s="30"/>
      <c r="AA27" s="26"/>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row>
    <row r="28" spans="1:73" ht="14.5" customHeight="1" x14ac:dyDescent="0.35">
      <c r="A28" s="25" t="s">
        <v>99</v>
      </c>
      <c r="B28" s="7">
        <f>B25+B14</f>
        <v>2</v>
      </c>
      <c r="C28" s="7">
        <f t="shared" ref="C28:T28" si="29">C25+C14</f>
        <v>0</v>
      </c>
      <c r="D28" s="7">
        <f t="shared" si="29"/>
        <v>5</v>
      </c>
      <c r="E28" s="7">
        <f t="shared" si="29"/>
        <v>9</v>
      </c>
      <c r="F28" s="7">
        <f t="shared" si="29"/>
        <v>4</v>
      </c>
      <c r="G28" s="7">
        <f t="shared" si="29"/>
        <v>0</v>
      </c>
      <c r="H28" s="7">
        <f t="shared" si="29"/>
        <v>0</v>
      </c>
      <c r="I28" s="7">
        <f t="shared" si="29"/>
        <v>3</v>
      </c>
      <c r="J28" s="7">
        <f t="shared" si="29"/>
        <v>0</v>
      </c>
      <c r="K28" s="7">
        <f>K25+K14</f>
        <v>0.75</v>
      </c>
      <c r="L28" s="7">
        <f t="shared" si="29"/>
        <v>2</v>
      </c>
      <c r="M28" s="7">
        <f t="shared" si="29"/>
        <v>1</v>
      </c>
      <c r="N28" s="7">
        <f t="shared" si="29"/>
        <v>2.5</v>
      </c>
      <c r="O28" s="7">
        <f t="shared" si="29"/>
        <v>2</v>
      </c>
      <c r="P28" s="7">
        <f t="shared" si="29"/>
        <v>0</v>
      </c>
      <c r="Q28" s="7">
        <f>Q25+Q14</f>
        <v>0</v>
      </c>
      <c r="R28" s="7">
        <f t="shared" si="29"/>
        <v>1</v>
      </c>
      <c r="S28" s="7">
        <f t="shared" si="29"/>
        <v>3</v>
      </c>
      <c r="T28" s="7">
        <f t="shared" si="29"/>
        <v>0</v>
      </c>
      <c r="U28" s="7">
        <f t="shared" ref="U28" si="30">U25+U14</f>
        <v>-1</v>
      </c>
      <c r="V28" s="7">
        <f>V25+V14</f>
        <v>2</v>
      </c>
      <c r="W28" s="7">
        <f>SUM(W14,W25)</f>
        <v>36.25</v>
      </c>
      <c r="X28" s="7"/>
      <c r="Y28" s="7">
        <f>SUM(Y18:Y24)</f>
        <v>0</v>
      </c>
      <c r="Z28" s="30"/>
      <c r="AA28" s="26"/>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row>
    <row r="29" spans="1:73" x14ac:dyDescent="0.35">
      <c r="A29" s="25" t="s">
        <v>112</v>
      </c>
      <c r="B29" s="174">
        <f>(COUNTIF(B4:B10, "&gt;0") + COUNTIF(B18:B24, "&gt;0")) / 14</f>
        <v>7.1428571428571425E-2</v>
      </c>
      <c r="C29" s="174">
        <f t="shared" ref="C29:O29" si="31">(COUNTIF(C4:C10, "&gt;0") + COUNTIF(C18:C24, "&gt;0")) / 14</f>
        <v>0</v>
      </c>
      <c r="D29" s="174">
        <f t="shared" si="31"/>
        <v>7.1428571428571425E-2</v>
      </c>
      <c r="E29" s="174">
        <f t="shared" si="31"/>
        <v>7.1428571428571425E-2</v>
      </c>
      <c r="F29" s="174">
        <f t="shared" si="31"/>
        <v>7.1428571428571425E-2</v>
      </c>
      <c r="G29" s="174">
        <f t="shared" si="31"/>
        <v>0</v>
      </c>
      <c r="H29" s="174">
        <f t="shared" si="31"/>
        <v>0</v>
      </c>
      <c r="I29" s="174">
        <f t="shared" si="31"/>
        <v>7.1428571428571425E-2</v>
      </c>
      <c r="J29" s="174">
        <f t="shared" si="31"/>
        <v>0</v>
      </c>
      <c r="K29" s="174">
        <f t="shared" si="31"/>
        <v>7.1428571428571425E-2</v>
      </c>
      <c r="L29" s="174">
        <f t="shared" si="31"/>
        <v>7.1428571428571425E-2</v>
      </c>
      <c r="M29" s="174">
        <f t="shared" si="31"/>
        <v>7.1428571428571425E-2</v>
      </c>
      <c r="N29" s="174">
        <f t="shared" si="31"/>
        <v>7.1428571428571425E-2</v>
      </c>
      <c r="O29" s="174">
        <f t="shared" si="31"/>
        <v>7.1428571428571425E-2</v>
      </c>
      <c r="P29" s="7"/>
      <c r="Q29" s="7"/>
      <c r="R29" s="7"/>
      <c r="S29" s="7"/>
      <c r="T29" s="7"/>
      <c r="U29" s="25" t="s">
        <v>34</v>
      </c>
      <c r="V29" s="25">
        <f>SUMIF(B25:V25,"&lt;0",B25:V25)</f>
        <v>0</v>
      </c>
      <c r="W29" s="36">
        <f>SUMIF(B25:V25,"&gt;0",B25:V25)</f>
        <v>0</v>
      </c>
      <c r="X29" s="25"/>
      <c r="Y29" s="7"/>
      <c r="Z29" s="30"/>
      <c r="AA29" s="26"/>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row>
    <row r="30" spans="1:73" x14ac:dyDescent="0.35">
      <c r="A30" s="7"/>
      <c r="B30" s="7"/>
      <c r="C30" s="7"/>
      <c r="D30" s="7"/>
      <c r="E30" s="7"/>
      <c r="F30" s="7"/>
      <c r="G30" s="7"/>
      <c r="H30" s="7"/>
      <c r="I30" s="7"/>
      <c r="J30" s="7"/>
      <c r="K30" s="7"/>
      <c r="L30" s="7"/>
      <c r="M30" s="7"/>
      <c r="N30" s="7"/>
      <c r="O30" s="7"/>
      <c r="P30" s="7"/>
      <c r="Q30" s="7"/>
      <c r="R30" s="7"/>
      <c r="S30" s="7"/>
      <c r="T30" s="7"/>
      <c r="U30" s="7"/>
      <c r="V30" s="7"/>
      <c r="W30" s="7"/>
      <c r="X30" s="7"/>
      <c r="Y30" s="7"/>
      <c r="Z30" s="11"/>
      <c r="AA30" s="11"/>
      <c r="AB30" s="7"/>
      <c r="AC30" s="7"/>
      <c r="AD30" s="7"/>
      <c r="AE30" s="7"/>
      <c r="AF30" s="7"/>
      <c r="AG30" s="7"/>
      <c r="AH30" s="7"/>
      <c r="AI30" s="7"/>
      <c r="AJ30" s="7"/>
      <c r="AK30" s="7"/>
      <c r="AL30" s="7"/>
      <c r="AM30" s="7"/>
      <c r="AN30" s="7"/>
      <c r="AO30" s="7"/>
      <c r="AP30" s="7"/>
      <c r="AQ30" s="7"/>
      <c r="AR30" s="7"/>
      <c r="AS30" s="7"/>
      <c r="AT30" s="7"/>
      <c r="AU30" s="7"/>
      <c r="AV30" s="7"/>
      <c r="AW30" s="7"/>
      <c r="AX30" s="7"/>
      <c r="AY30" s="7" t="s">
        <v>122</v>
      </c>
      <c r="AZ30" s="7"/>
      <c r="BA30" s="7"/>
      <c r="BB30" s="7"/>
      <c r="BC30" s="7"/>
      <c r="BD30" s="7"/>
      <c r="BE30" s="7"/>
      <c r="BF30" s="7"/>
      <c r="BG30" s="7"/>
      <c r="BH30" s="7"/>
      <c r="BI30" s="7"/>
      <c r="BJ30" s="7"/>
      <c r="BK30" s="7"/>
      <c r="BL30" s="7"/>
      <c r="BM30" s="7"/>
      <c r="BN30" s="7"/>
      <c r="BO30" s="7"/>
      <c r="BP30" s="7"/>
      <c r="BQ30" s="7"/>
      <c r="BR30" s="7"/>
      <c r="BS30" s="7"/>
    </row>
    <row r="31" spans="1:73" ht="29" x14ac:dyDescent="0.35">
      <c r="A31" s="98" t="s">
        <v>35</v>
      </c>
      <c r="B31" s="34">
        <f>C17+1</f>
        <v>46041</v>
      </c>
      <c r="C31" s="34">
        <f>B31+6</f>
        <v>46047</v>
      </c>
      <c r="D31" s="7"/>
      <c r="E31" s="7"/>
      <c r="F31" s="7"/>
      <c r="G31" s="7" t="s">
        <v>84</v>
      </c>
      <c r="H31" s="7" t="s">
        <v>85</v>
      </c>
      <c r="I31" s="169" t="s">
        <v>86</v>
      </c>
      <c r="J31" s="7" t="s">
        <v>87</v>
      </c>
      <c r="K31" s="7" t="s">
        <v>88</v>
      </c>
      <c r="L31" s="7"/>
      <c r="M31" s="7"/>
      <c r="N31" s="7"/>
      <c r="O31" s="7"/>
      <c r="P31" s="7"/>
      <c r="Q31" s="7"/>
      <c r="R31" s="7"/>
      <c r="S31" s="7"/>
      <c r="T31" s="7"/>
      <c r="U31" s="7"/>
      <c r="V31" s="7"/>
      <c r="W31" s="7"/>
      <c r="X31" s="7"/>
      <c r="Y31" s="7"/>
      <c r="Z31" s="11"/>
      <c r="AA31" s="11"/>
      <c r="AB31" s="7"/>
      <c r="AC31" s="7" t="s">
        <v>64</v>
      </c>
      <c r="AD31" s="7"/>
      <c r="AE31" s="7"/>
      <c r="AF31" s="7"/>
      <c r="AG31" s="7"/>
      <c r="AH31" s="7"/>
      <c r="AI31" s="7"/>
      <c r="AJ31" s="7"/>
      <c r="AK31" s="7"/>
      <c r="AL31" s="7"/>
      <c r="AM31" s="7"/>
      <c r="AN31" s="7"/>
      <c r="AO31" s="7"/>
      <c r="AP31" s="7"/>
      <c r="AQ31" s="7"/>
      <c r="AR31" s="7"/>
      <c r="AS31" s="7"/>
      <c r="AT31" s="7"/>
      <c r="AU31" s="7"/>
      <c r="AV31" s="7"/>
      <c r="AW31" s="7"/>
      <c r="AX31" s="7"/>
      <c r="AY31" s="12" t="s">
        <v>1</v>
      </c>
      <c r="AZ31" s="12" t="s">
        <v>2</v>
      </c>
      <c r="BA31" s="12" t="s">
        <v>3</v>
      </c>
      <c r="BB31" s="12" t="s">
        <v>4</v>
      </c>
      <c r="BC31" s="12" t="s">
        <v>5</v>
      </c>
      <c r="BD31" s="12" t="s">
        <v>6</v>
      </c>
      <c r="BE31" s="12" t="s">
        <v>7</v>
      </c>
      <c r="BF31" s="12" t="s">
        <v>8</v>
      </c>
      <c r="BG31" s="12" t="s">
        <v>9</v>
      </c>
      <c r="BH31" s="12" t="s">
        <v>10</v>
      </c>
      <c r="BI31" s="12" t="s">
        <v>11</v>
      </c>
      <c r="BJ31" s="12" t="s">
        <v>12</v>
      </c>
      <c r="BK31" s="12" t="s">
        <v>13</v>
      </c>
      <c r="BL31" s="12" t="s">
        <v>14</v>
      </c>
      <c r="BM31" s="12" t="s">
        <v>15</v>
      </c>
      <c r="BN31" s="12" t="s">
        <v>16</v>
      </c>
      <c r="BO31" s="12" t="s">
        <v>17</v>
      </c>
      <c r="BP31" s="12" t="s">
        <v>18</v>
      </c>
      <c r="BQ31" s="12" t="s">
        <v>19</v>
      </c>
      <c r="BR31" s="12" t="s">
        <v>20</v>
      </c>
      <c r="BS31" s="12">
        <v>0</v>
      </c>
      <c r="BU31">
        <v>0</v>
      </c>
    </row>
    <row r="32" spans="1:73" x14ac:dyDescent="0.35">
      <c r="A32" s="76" t="s">
        <v>22</v>
      </c>
      <c r="B32" s="7"/>
      <c r="C32" s="7"/>
      <c r="D32" s="7"/>
      <c r="E32" s="7"/>
      <c r="F32" s="7"/>
      <c r="G32" s="7"/>
      <c r="H32" s="7"/>
      <c r="I32" s="7"/>
      <c r="J32" s="7"/>
      <c r="K32" s="7"/>
      <c r="L32" s="7"/>
      <c r="M32" s="7"/>
      <c r="N32" s="7"/>
      <c r="O32" s="7"/>
      <c r="P32" s="7"/>
      <c r="Q32" s="7"/>
      <c r="R32" s="7"/>
      <c r="S32" s="7"/>
      <c r="T32" s="7"/>
      <c r="U32" s="7"/>
      <c r="V32" s="7"/>
      <c r="W32" s="7">
        <f t="shared" ref="W32:W38" si="32">SUM(B32:V32)</f>
        <v>0</v>
      </c>
      <c r="X32" s="7">
        <f t="shared" ref="X32:X38" si="33">SUM(AD32:AW32)*0.1</f>
        <v>0</v>
      </c>
      <c r="Y32" s="7">
        <f t="shared" ref="Y32:Y38" si="34">W32+X32</f>
        <v>0</v>
      </c>
      <c r="Z32" s="37"/>
      <c r="AA32" s="189"/>
      <c r="AB32" s="7">
        <f>W32+AB18</f>
        <v>36.25</v>
      </c>
      <c r="AC32" s="7" t="s">
        <v>22</v>
      </c>
      <c r="AD32" s="7">
        <f t="shared" ref="AD32:AW32" si="35">IF(B32 &gt; 0, IF(AD24&gt; 0, AD24 + 1, 0.1), 0)</f>
        <v>0</v>
      </c>
      <c r="AE32" s="7">
        <f t="shared" si="35"/>
        <v>0</v>
      </c>
      <c r="AF32" s="7">
        <f t="shared" si="35"/>
        <v>0</v>
      </c>
      <c r="AG32" s="7">
        <f t="shared" si="35"/>
        <v>0</v>
      </c>
      <c r="AH32" s="7">
        <f t="shared" si="35"/>
        <v>0</v>
      </c>
      <c r="AI32" s="7">
        <f t="shared" si="35"/>
        <v>0</v>
      </c>
      <c r="AJ32" s="7">
        <f t="shared" si="35"/>
        <v>0</v>
      </c>
      <c r="AK32" s="7">
        <f t="shared" si="35"/>
        <v>0</v>
      </c>
      <c r="AL32" s="7">
        <f t="shared" si="35"/>
        <v>0</v>
      </c>
      <c r="AM32" s="7">
        <f t="shared" si="35"/>
        <v>0</v>
      </c>
      <c r="AN32" s="7">
        <f t="shared" si="35"/>
        <v>0</v>
      </c>
      <c r="AO32" s="7">
        <f t="shared" si="35"/>
        <v>0</v>
      </c>
      <c r="AP32" s="7">
        <f t="shared" si="35"/>
        <v>0</v>
      </c>
      <c r="AQ32" s="7">
        <f t="shared" si="35"/>
        <v>0</v>
      </c>
      <c r="AR32" s="7">
        <f t="shared" si="35"/>
        <v>0</v>
      </c>
      <c r="AS32" s="7">
        <f t="shared" si="35"/>
        <v>0</v>
      </c>
      <c r="AT32" s="7">
        <f t="shared" si="35"/>
        <v>0</v>
      </c>
      <c r="AU32" s="7">
        <f t="shared" si="35"/>
        <v>0</v>
      </c>
      <c r="AV32" s="7">
        <f t="shared" si="35"/>
        <v>0</v>
      </c>
      <c r="AW32" s="7">
        <f t="shared" si="35"/>
        <v>0</v>
      </c>
      <c r="AX32" s="7"/>
      <c r="AY32" s="7">
        <f>SUM($B$32:B32)</f>
        <v>0</v>
      </c>
      <c r="AZ32" s="7">
        <f>SUM($B$32:C32)</f>
        <v>0</v>
      </c>
      <c r="BA32" s="7">
        <f>SUM($B$32:D32)</f>
        <v>0</v>
      </c>
      <c r="BB32" s="7">
        <f>SUM($B$32:E32)</f>
        <v>0</v>
      </c>
      <c r="BC32" s="7">
        <f>SUM($B$32:F32)</f>
        <v>0</v>
      </c>
      <c r="BD32" s="7">
        <f>SUM($B$32:G32)</f>
        <v>0</v>
      </c>
      <c r="BE32" s="7">
        <f>SUM($B$32:H32)</f>
        <v>0</v>
      </c>
      <c r="BF32" s="7">
        <f>SUM($B$32:I32)</f>
        <v>0</v>
      </c>
      <c r="BG32" s="7">
        <f>SUM($B$32:J32)</f>
        <v>0</v>
      </c>
      <c r="BH32" s="7">
        <f>SUM($B$32:K32)</f>
        <v>0</v>
      </c>
      <c r="BI32" s="7">
        <f>SUM($B$32:L32)</f>
        <v>0</v>
      </c>
      <c r="BJ32" s="7">
        <f>SUM($B$32:M32)</f>
        <v>0</v>
      </c>
      <c r="BK32" s="7">
        <f>SUM($B$32:Q32)</f>
        <v>0</v>
      </c>
      <c r="BL32" s="7">
        <f>SUM($B$32:N32)</f>
        <v>0</v>
      </c>
      <c r="BM32" s="7">
        <f>SUM($B$32:O32)</f>
        <v>0</v>
      </c>
      <c r="BN32" s="7">
        <f>SUM($B$32:P32)</f>
        <v>0</v>
      </c>
      <c r="BO32" s="7">
        <f>SUM($B$32:R32)</f>
        <v>0</v>
      </c>
      <c r="BP32" s="7">
        <f>SUM($B$32:S32)</f>
        <v>0</v>
      </c>
      <c r="BQ32" s="7">
        <f>SUM($B$32:T32)</f>
        <v>0</v>
      </c>
      <c r="BR32" s="7">
        <f>SUM($B$32:V32)</f>
        <v>0</v>
      </c>
      <c r="BS32" s="7">
        <f>SUM($BR$32:BR32)</f>
        <v>0</v>
      </c>
      <c r="BT32">
        <f t="shared" si="6"/>
        <v>0</v>
      </c>
      <c r="BU32">
        <f>SUM($BT$32:BT32)</f>
        <v>0</v>
      </c>
    </row>
    <row r="33" spans="1:73" x14ac:dyDescent="0.35">
      <c r="A33" s="87" t="s">
        <v>23</v>
      </c>
      <c r="B33" s="7"/>
      <c r="C33" s="7"/>
      <c r="D33" s="7"/>
      <c r="E33" s="7"/>
      <c r="F33" s="7"/>
      <c r="G33" s="7"/>
      <c r="H33" s="7"/>
      <c r="I33" s="7"/>
      <c r="J33" s="7"/>
      <c r="K33" s="7"/>
      <c r="L33" s="7"/>
      <c r="M33" s="7"/>
      <c r="N33" s="7"/>
      <c r="O33" s="7"/>
      <c r="P33" s="7"/>
      <c r="Q33" s="7"/>
      <c r="R33" s="7"/>
      <c r="S33" s="7"/>
      <c r="T33" s="7"/>
      <c r="U33" s="7"/>
      <c r="V33" s="7"/>
      <c r="W33" s="7">
        <f t="shared" si="32"/>
        <v>0</v>
      </c>
      <c r="X33" s="7">
        <f t="shared" si="33"/>
        <v>0</v>
      </c>
      <c r="Y33" s="7">
        <f t="shared" si="34"/>
        <v>0</v>
      </c>
      <c r="Z33" s="38"/>
      <c r="AA33" s="32"/>
      <c r="AB33" s="7">
        <f t="shared" ref="AB33:AB38" si="36">AB19+W33</f>
        <v>0</v>
      </c>
      <c r="AC33" s="7" t="s">
        <v>23</v>
      </c>
      <c r="AD33" s="7">
        <f t="shared" ref="AD33:AM38" si="37">IF(B33 &gt; 0, IF(AD32 &gt; 0, AD32 + 1, 0.1), 0)</f>
        <v>0</v>
      </c>
      <c r="AE33" s="7">
        <f t="shared" si="37"/>
        <v>0</v>
      </c>
      <c r="AF33" s="7">
        <f t="shared" si="37"/>
        <v>0</v>
      </c>
      <c r="AG33" s="7">
        <f t="shared" si="37"/>
        <v>0</v>
      </c>
      <c r="AH33" s="7">
        <f t="shared" si="37"/>
        <v>0</v>
      </c>
      <c r="AI33" s="7">
        <f t="shared" si="37"/>
        <v>0</v>
      </c>
      <c r="AJ33" s="7">
        <f t="shared" si="37"/>
        <v>0</v>
      </c>
      <c r="AK33" s="7">
        <f t="shared" si="37"/>
        <v>0</v>
      </c>
      <c r="AL33" s="7">
        <f t="shared" si="37"/>
        <v>0</v>
      </c>
      <c r="AM33" s="7">
        <f t="shared" si="37"/>
        <v>0</v>
      </c>
      <c r="AN33" s="7">
        <f t="shared" ref="AN33:AT38" si="38">IF(L33 &gt; 0, IF(AN32 &gt; 0, AN32 + 1, 0.1), 0)</f>
        <v>0</v>
      </c>
      <c r="AO33" s="7">
        <f t="shared" si="38"/>
        <v>0</v>
      </c>
      <c r="AP33" s="7">
        <f t="shared" si="38"/>
        <v>0</v>
      </c>
      <c r="AQ33" s="7">
        <f t="shared" si="38"/>
        <v>0</v>
      </c>
      <c r="AR33" s="7">
        <f t="shared" si="38"/>
        <v>0</v>
      </c>
      <c r="AS33" s="7">
        <f t="shared" si="38"/>
        <v>0</v>
      </c>
      <c r="AT33" s="7">
        <f t="shared" si="38"/>
        <v>0</v>
      </c>
      <c r="AU33" s="7">
        <f t="shared" ref="AU33:AU38" si="39">IF(S33 &gt; 0, IF(AU25&gt; 0, AU25 + 1, 0.1), 0)</f>
        <v>0</v>
      </c>
      <c r="AV33" s="7">
        <f t="shared" ref="AV33:AW38" si="40">IF(T33 &gt; 0, IF(AV32 &gt; 0, AV32 + 1, 0.1), 0)</f>
        <v>0</v>
      </c>
      <c r="AW33" s="7">
        <f t="shared" si="40"/>
        <v>0</v>
      </c>
      <c r="AX33" s="7"/>
      <c r="AY33" s="7">
        <f>SUM($B$33:B33)</f>
        <v>0</v>
      </c>
      <c r="AZ33" s="7">
        <f>SUM($B$33:C33)</f>
        <v>0</v>
      </c>
      <c r="BA33" s="7">
        <f>SUM($B$33:D33)</f>
        <v>0</v>
      </c>
      <c r="BB33" s="7">
        <f>SUM($B$33:E33)</f>
        <v>0</v>
      </c>
      <c r="BC33" s="7">
        <f>SUM($B$33:F33)</f>
        <v>0</v>
      </c>
      <c r="BD33" s="7">
        <f>SUM($B$33:G33)</f>
        <v>0</v>
      </c>
      <c r="BE33" s="7">
        <f>SUM($B$33:H33)</f>
        <v>0</v>
      </c>
      <c r="BF33" s="7">
        <f>SUM($B$33:I33)</f>
        <v>0</v>
      </c>
      <c r="BG33" s="7">
        <f>SUM($B$33:J33)</f>
        <v>0</v>
      </c>
      <c r="BH33" s="7">
        <f>SUM($B$33:K33)</f>
        <v>0</v>
      </c>
      <c r="BI33" s="7">
        <f>SUM($B$33:L33)</f>
        <v>0</v>
      </c>
      <c r="BJ33" s="7">
        <f>SUM($B$33:M33)</f>
        <v>0</v>
      </c>
      <c r="BK33" s="7">
        <f>SUM($B$33:Q33)</f>
        <v>0</v>
      </c>
      <c r="BL33" s="7">
        <f>SUM($B$33:N33)</f>
        <v>0</v>
      </c>
      <c r="BM33" s="7">
        <f>SUM($B$33:O33)</f>
        <v>0</v>
      </c>
      <c r="BN33" s="7">
        <f>SUM($B$33:P33)</f>
        <v>0</v>
      </c>
      <c r="BO33" s="7">
        <f>SUM($B$33:R33)</f>
        <v>0</v>
      </c>
      <c r="BP33" s="7">
        <f>SUM($B$33:S33)</f>
        <v>0</v>
      </c>
      <c r="BQ33" s="7">
        <f>SUM($B$33:T33)</f>
        <v>0</v>
      </c>
      <c r="BR33" s="7">
        <f>SUM($B$33:V33)</f>
        <v>0</v>
      </c>
      <c r="BS33" s="7">
        <f>SUM($BR$32:BR33)</f>
        <v>0</v>
      </c>
      <c r="BT33">
        <f t="shared" si="6"/>
        <v>0</v>
      </c>
      <c r="BU33">
        <f>SUM($BT$32:BT33)</f>
        <v>0</v>
      </c>
    </row>
    <row r="34" spans="1:73" x14ac:dyDescent="0.35">
      <c r="A34" s="110" t="s">
        <v>24</v>
      </c>
      <c r="B34" s="7"/>
      <c r="C34" s="7"/>
      <c r="D34" s="7"/>
      <c r="E34" s="7"/>
      <c r="F34" s="7"/>
      <c r="G34" s="7"/>
      <c r="H34" s="7"/>
      <c r="I34" s="7"/>
      <c r="J34" s="7"/>
      <c r="K34" s="7"/>
      <c r="L34" s="7"/>
      <c r="M34" s="7"/>
      <c r="N34" s="7"/>
      <c r="O34" s="7"/>
      <c r="P34" s="7"/>
      <c r="Q34" s="7"/>
      <c r="R34" s="7"/>
      <c r="S34" s="7"/>
      <c r="T34" s="7"/>
      <c r="U34" s="7"/>
      <c r="V34" s="7"/>
      <c r="W34" s="7">
        <f t="shared" si="32"/>
        <v>0</v>
      </c>
      <c r="X34" s="7">
        <f t="shared" si="33"/>
        <v>0</v>
      </c>
      <c r="Y34" s="7">
        <f t="shared" si="34"/>
        <v>0</v>
      </c>
      <c r="Z34" s="38"/>
      <c r="AA34" s="32"/>
      <c r="AB34" s="7">
        <f t="shared" si="36"/>
        <v>0</v>
      </c>
      <c r="AC34" s="7" t="s">
        <v>24</v>
      </c>
      <c r="AD34" s="7">
        <f t="shared" si="37"/>
        <v>0</v>
      </c>
      <c r="AE34" s="7">
        <f t="shared" si="37"/>
        <v>0</v>
      </c>
      <c r="AF34" s="7">
        <f t="shared" si="37"/>
        <v>0</v>
      </c>
      <c r="AG34" s="7">
        <f t="shared" si="37"/>
        <v>0</v>
      </c>
      <c r="AH34" s="7">
        <f t="shared" si="37"/>
        <v>0</v>
      </c>
      <c r="AI34" s="7">
        <f t="shared" si="37"/>
        <v>0</v>
      </c>
      <c r="AJ34" s="7">
        <f t="shared" si="37"/>
        <v>0</v>
      </c>
      <c r="AK34" s="7">
        <f t="shared" si="37"/>
        <v>0</v>
      </c>
      <c r="AL34" s="7">
        <f t="shared" si="37"/>
        <v>0</v>
      </c>
      <c r="AM34" s="7">
        <f t="shared" si="37"/>
        <v>0</v>
      </c>
      <c r="AN34" s="7">
        <f t="shared" si="38"/>
        <v>0</v>
      </c>
      <c r="AO34" s="7">
        <f t="shared" si="38"/>
        <v>0</v>
      </c>
      <c r="AP34" s="7">
        <f t="shared" si="38"/>
        <v>0</v>
      </c>
      <c r="AQ34" s="7">
        <f t="shared" si="38"/>
        <v>0</v>
      </c>
      <c r="AR34" s="7">
        <f t="shared" si="38"/>
        <v>0</v>
      </c>
      <c r="AS34" s="7">
        <f t="shared" si="38"/>
        <v>0</v>
      </c>
      <c r="AT34" s="7">
        <f t="shared" si="38"/>
        <v>0</v>
      </c>
      <c r="AU34" s="7">
        <f t="shared" si="39"/>
        <v>0</v>
      </c>
      <c r="AV34" s="7">
        <f t="shared" si="40"/>
        <v>0</v>
      </c>
      <c r="AW34" s="7">
        <f t="shared" si="40"/>
        <v>0</v>
      </c>
      <c r="AX34" s="7"/>
      <c r="AY34" s="7">
        <f>SUM($B$34:B34)</f>
        <v>0</v>
      </c>
      <c r="AZ34" s="7">
        <f>SUM($B$34:C34)</f>
        <v>0</v>
      </c>
      <c r="BA34" s="7">
        <f>SUM($B$34:D34)</f>
        <v>0</v>
      </c>
      <c r="BB34" s="7">
        <f>SUM($B$34:E34)</f>
        <v>0</v>
      </c>
      <c r="BC34" s="7">
        <f>SUM($B$34:F34)</f>
        <v>0</v>
      </c>
      <c r="BD34" s="7">
        <f>SUM($B$34:G34)</f>
        <v>0</v>
      </c>
      <c r="BE34" s="7">
        <f>SUM($B$34:H34)</f>
        <v>0</v>
      </c>
      <c r="BF34" s="7">
        <f>SUM($B$34:I34)</f>
        <v>0</v>
      </c>
      <c r="BG34" s="7">
        <f>SUM($B$34:J34)</f>
        <v>0</v>
      </c>
      <c r="BH34" s="7">
        <f>SUM($B$34:K34)</f>
        <v>0</v>
      </c>
      <c r="BI34" s="7">
        <f>SUM($B$34:L34)</f>
        <v>0</v>
      </c>
      <c r="BJ34" s="7">
        <f>SUM($B$34:M34)</f>
        <v>0</v>
      </c>
      <c r="BK34" s="7">
        <f>SUM($B$34:Q34)</f>
        <v>0</v>
      </c>
      <c r="BL34" s="7">
        <f>SUM($B$34:N34)</f>
        <v>0</v>
      </c>
      <c r="BM34" s="7">
        <f>SUM($B$34:O34)</f>
        <v>0</v>
      </c>
      <c r="BN34" s="7">
        <f>SUM($B$34:P34)</f>
        <v>0</v>
      </c>
      <c r="BO34" s="7">
        <f>SUM($B$34:R34)</f>
        <v>0</v>
      </c>
      <c r="BP34" s="7">
        <f>SUM($B$34:S34)</f>
        <v>0</v>
      </c>
      <c r="BQ34" s="7">
        <f>SUM($B$34:T34)</f>
        <v>0</v>
      </c>
      <c r="BR34" s="7">
        <f>SUM($B$34:V34)</f>
        <v>0</v>
      </c>
      <c r="BS34" s="7">
        <f>SUM($BR$32:BR34)</f>
        <v>0</v>
      </c>
      <c r="BT34">
        <f t="shared" si="6"/>
        <v>0</v>
      </c>
      <c r="BU34">
        <f>SUM($BT$32:BT34)</f>
        <v>0</v>
      </c>
    </row>
    <row r="35" spans="1:73" x14ac:dyDescent="0.35">
      <c r="A35" s="121" t="s">
        <v>25</v>
      </c>
      <c r="B35" s="7"/>
      <c r="C35" s="7"/>
      <c r="D35" s="7"/>
      <c r="E35" s="7"/>
      <c r="F35" s="7"/>
      <c r="G35" s="7"/>
      <c r="H35" s="7"/>
      <c r="I35" s="7"/>
      <c r="J35" s="7"/>
      <c r="K35" s="7"/>
      <c r="L35" s="7"/>
      <c r="M35" s="7"/>
      <c r="N35" s="7"/>
      <c r="O35" s="7"/>
      <c r="P35" s="7"/>
      <c r="Q35" s="7"/>
      <c r="R35" s="7"/>
      <c r="S35" s="7"/>
      <c r="T35" s="7"/>
      <c r="U35" s="7"/>
      <c r="V35" s="7"/>
      <c r="W35" s="7">
        <f t="shared" si="32"/>
        <v>0</v>
      </c>
      <c r="X35" s="7">
        <f t="shared" si="33"/>
        <v>0</v>
      </c>
      <c r="Y35" s="7">
        <f t="shared" si="34"/>
        <v>0</v>
      </c>
      <c r="Z35" s="38"/>
      <c r="AA35" s="32"/>
      <c r="AB35" s="7">
        <f t="shared" si="36"/>
        <v>0</v>
      </c>
      <c r="AC35" s="7" t="s">
        <v>25</v>
      </c>
      <c r="AD35" s="7">
        <f t="shared" si="37"/>
        <v>0</v>
      </c>
      <c r="AE35" s="7">
        <f t="shared" si="37"/>
        <v>0</v>
      </c>
      <c r="AF35" s="7">
        <f t="shared" si="37"/>
        <v>0</v>
      </c>
      <c r="AG35" s="7">
        <f t="shared" si="37"/>
        <v>0</v>
      </c>
      <c r="AH35" s="7">
        <f t="shared" si="37"/>
        <v>0</v>
      </c>
      <c r="AI35" s="7">
        <f t="shared" si="37"/>
        <v>0</v>
      </c>
      <c r="AJ35" s="7">
        <f t="shared" si="37"/>
        <v>0</v>
      </c>
      <c r="AK35" s="7">
        <f t="shared" si="37"/>
        <v>0</v>
      </c>
      <c r="AL35" s="7">
        <f t="shared" si="37"/>
        <v>0</v>
      </c>
      <c r="AM35" s="7">
        <f t="shared" si="37"/>
        <v>0</v>
      </c>
      <c r="AN35" s="7">
        <f t="shared" si="38"/>
        <v>0</v>
      </c>
      <c r="AO35" s="7">
        <f t="shared" si="38"/>
        <v>0</v>
      </c>
      <c r="AP35" s="7">
        <f t="shared" si="38"/>
        <v>0</v>
      </c>
      <c r="AQ35" s="7">
        <f t="shared" si="38"/>
        <v>0</v>
      </c>
      <c r="AR35" s="7">
        <f t="shared" si="38"/>
        <v>0</v>
      </c>
      <c r="AS35" s="7">
        <f t="shared" si="38"/>
        <v>0</v>
      </c>
      <c r="AT35" s="7">
        <f t="shared" si="38"/>
        <v>0</v>
      </c>
      <c r="AU35" s="7">
        <f t="shared" si="39"/>
        <v>0</v>
      </c>
      <c r="AV35" s="7">
        <f t="shared" si="40"/>
        <v>0</v>
      </c>
      <c r="AW35" s="7">
        <f t="shared" si="40"/>
        <v>0</v>
      </c>
      <c r="AX35" s="7"/>
      <c r="AY35" s="7">
        <f>SUM($B$35:B35)</f>
        <v>0</v>
      </c>
      <c r="AZ35" s="7">
        <f>SUM($B$35:C35)</f>
        <v>0</v>
      </c>
      <c r="BA35" s="7">
        <f>SUM($B$35:D35)</f>
        <v>0</v>
      </c>
      <c r="BB35" s="7">
        <f>SUM($B$35:E35)</f>
        <v>0</v>
      </c>
      <c r="BC35" s="7">
        <f>SUM($B$35:F35)</f>
        <v>0</v>
      </c>
      <c r="BD35" s="7">
        <f>SUM($B$35:G35)</f>
        <v>0</v>
      </c>
      <c r="BE35" s="7">
        <f>SUM($B$35:H35)</f>
        <v>0</v>
      </c>
      <c r="BF35" s="7">
        <f>SUM($B$35:I35)</f>
        <v>0</v>
      </c>
      <c r="BG35" s="7">
        <f>SUM($B$35:J35)</f>
        <v>0</v>
      </c>
      <c r="BH35" s="7">
        <f>SUM($B$35:K35)</f>
        <v>0</v>
      </c>
      <c r="BI35" s="7">
        <f>SUM($B$35:L35)</f>
        <v>0</v>
      </c>
      <c r="BJ35" s="7">
        <f>SUM($B$35:M35)</f>
        <v>0</v>
      </c>
      <c r="BK35" s="7">
        <f>SUM($B$35:Q35)</f>
        <v>0</v>
      </c>
      <c r="BL35" s="7">
        <f>SUM($B$35:N35)</f>
        <v>0</v>
      </c>
      <c r="BM35" s="7">
        <f>SUM($B$35:O35)</f>
        <v>0</v>
      </c>
      <c r="BN35" s="7">
        <f>SUM($B$35:P35)</f>
        <v>0</v>
      </c>
      <c r="BO35" s="7">
        <f>SUM($B$35:R35)</f>
        <v>0</v>
      </c>
      <c r="BP35" s="7">
        <f>SUM($B$35:S35)</f>
        <v>0</v>
      </c>
      <c r="BQ35" s="7">
        <f>SUM($B$35:T35)</f>
        <v>0</v>
      </c>
      <c r="BR35" s="7">
        <f>SUM($B$35:V35)</f>
        <v>0</v>
      </c>
      <c r="BS35" s="7">
        <f>SUM($BR$32:BR35)</f>
        <v>0</v>
      </c>
      <c r="BT35">
        <f t="shared" si="6"/>
        <v>0</v>
      </c>
      <c r="BU35">
        <f>SUM($BT$32:BT35)</f>
        <v>0</v>
      </c>
    </row>
    <row r="36" spans="1:73" x14ac:dyDescent="0.35">
      <c r="A36" s="132" t="s">
        <v>26</v>
      </c>
      <c r="B36" s="7"/>
      <c r="C36" s="7"/>
      <c r="D36" s="7"/>
      <c r="E36" s="7"/>
      <c r="F36" s="7"/>
      <c r="G36" s="7"/>
      <c r="H36" s="7"/>
      <c r="I36" s="7"/>
      <c r="J36" s="7"/>
      <c r="K36" s="7"/>
      <c r="L36" s="7"/>
      <c r="M36" s="7"/>
      <c r="N36" s="7"/>
      <c r="O36" s="7"/>
      <c r="P36" s="7"/>
      <c r="Q36" s="7"/>
      <c r="R36" s="7"/>
      <c r="S36" s="7"/>
      <c r="T36" s="7"/>
      <c r="U36" s="7"/>
      <c r="V36" s="7"/>
      <c r="W36" s="7">
        <f t="shared" si="32"/>
        <v>0</v>
      </c>
      <c r="X36" s="7">
        <f t="shared" si="33"/>
        <v>0</v>
      </c>
      <c r="Y36" s="7">
        <f t="shared" si="34"/>
        <v>0</v>
      </c>
      <c r="Z36" s="38"/>
      <c r="AA36" s="32"/>
      <c r="AB36" s="7">
        <f t="shared" si="36"/>
        <v>0</v>
      </c>
      <c r="AC36" s="7" t="s">
        <v>26</v>
      </c>
      <c r="AD36" s="7">
        <f t="shared" si="37"/>
        <v>0</v>
      </c>
      <c r="AE36" s="7">
        <f t="shared" si="37"/>
        <v>0</v>
      </c>
      <c r="AF36" s="7">
        <f t="shared" si="37"/>
        <v>0</v>
      </c>
      <c r="AG36" s="7">
        <f t="shared" si="37"/>
        <v>0</v>
      </c>
      <c r="AH36" s="7">
        <f t="shared" si="37"/>
        <v>0</v>
      </c>
      <c r="AI36" s="7">
        <f t="shared" si="37"/>
        <v>0</v>
      </c>
      <c r="AJ36" s="7">
        <f t="shared" si="37"/>
        <v>0</v>
      </c>
      <c r="AK36" s="7">
        <f t="shared" si="37"/>
        <v>0</v>
      </c>
      <c r="AL36" s="7">
        <f t="shared" si="37"/>
        <v>0</v>
      </c>
      <c r="AM36" s="7">
        <f t="shared" si="37"/>
        <v>0</v>
      </c>
      <c r="AN36" s="7">
        <f t="shared" si="38"/>
        <v>0</v>
      </c>
      <c r="AO36" s="7">
        <f t="shared" si="38"/>
        <v>0</v>
      </c>
      <c r="AP36" s="7">
        <f t="shared" si="38"/>
        <v>0</v>
      </c>
      <c r="AQ36" s="7">
        <f t="shared" si="38"/>
        <v>0</v>
      </c>
      <c r="AR36" s="7">
        <f t="shared" si="38"/>
        <v>0</v>
      </c>
      <c r="AS36" s="7">
        <f t="shared" si="38"/>
        <v>0</v>
      </c>
      <c r="AT36" s="7">
        <f t="shared" si="38"/>
        <v>0</v>
      </c>
      <c r="AU36" s="7">
        <f t="shared" si="39"/>
        <v>0</v>
      </c>
      <c r="AV36" s="7">
        <f t="shared" si="40"/>
        <v>0</v>
      </c>
      <c r="AW36" s="7">
        <f t="shared" si="40"/>
        <v>0</v>
      </c>
      <c r="AX36" s="7"/>
      <c r="AY36" s="7">
        <f>SUM($B$36:B36)</f>
        <v>0</v>
      </c>
      <c r="AZ36" s="7">
        <f>SUM($B$36:C36)</f>
        <v>0</v>
      </c>
      <c r="BA36" s="7">
        <f>SUM($B$36:D36)</f>
        <v>0</v>
      </c>
      <c r="BB36" s="7">
        <f>SUM($B$36:E36)</f>
        <v>0</v>
      </c>
      <c r="BC36" s="7">
        <f>SUM($B$36:F36)</f>
        <v>0</v>
      </c>
      <c r="BD36" s="7">
        <f>SUM($B$36:G36)</f>
        <v>0</v>
      </c>
      <c r="BE36" s="7">
        <f>SUM($B$36:H36)</f>
        <v>0</v>
      </c>
      <c r="BF36" s="7">
        <f>SUM($B$36:I36)</f>
        <v>0</v>
      </c>
      <c r="BG36" s="7">
        <f>SUM($B$36:J36)</f>
        <v>0</v>
      </c>
      <c r="BH36" s="7">
        <f>SUM($B$36:K36)</f>
        <v>0</v>
      </c>
      <c r="BI36" s="7">
        <f>SUM($B$36:L36)</f>
        <v>0</v>
      </c>
      <c r="BJ36" s="7">
        <f>SUM($B$36:M36)</f>
        <v>0</v>
      </c>
      <c r="BK36" s="7">
        <f>SUM($B$36:Q36)</f>
        <v>0</v>
      </c>
      <c r="BL36" s="7">
        <f>SUM($B$36:N36)</f>
        <v>0</v>
      </c>
      <c r="BM36" s="7">
        <f>SUM($B$36:O36)</f>
        <v>0</v>
      </c>
      <c r="BN36" s="7">
        <f>SUM($B$36:P36)</f>
        <v>0</v>
      </c>
      <c r="BO36" s="7">
        <f>SUM($B$36:R36)</f>
        <v>0</v>
      </c>
      <c r="BP36" s="7">
        <f>SUM($B$36:S36)</f>
        <v>0</v>
      </c>
      <c r="BQ36" s="7">
        <f>SUM($B$36:T36)</f>
        <v>0</v>
      </c>
      <c r="BR36" s="7">
        <f>SUM($B$36:V36)</f>
        <v>0</v>
      </c>
      <c r="BS36" s="7">
        <f>SUM($BR$32:BR36)</f>
        <v>0</v>
      </c>
      <c r="BT36">
        <f t="shared" si="6"/>
        <v>0</v>
      </c>
      <c r="BU36">
        <f>SUM($BT$32:BT36)</f>
        <v>0</v>
      </c>
    </row>
    <row r="37" spans="1:73" x14ac:dyDescent="0.35">
      <c r="A37" s="143" t="s">
        <v>27</v>
      </c>
      <c r="B37" s="7"/>
      <c r="C37" s="7"/>
      <c r="D37" s="7"/>
      <c r="E37" s="7"/>
      <c r="F37" s="7"/>
      <c r="G37" s="7"/>
      <c r="H37" s="7"/>
      <c r="I37" s="7"/>
      <c r="J37" s="7"/>
      <c r="K37" s="7"/>
      <c r="L37" s="7"/>
      <c r="M37" s="7"/>
      <c r="N37" s="7"/>
      <c r="O37" s="7"/>
      <c r="P37" s="7"/>
      <c r="Q37" s="7"/>
      <c r="R37" s="7"/>
      <c r="S37" s="7"/>
      <c r="T37" s="7"/>
      <c r="U37" s="7"/>
      <c r="V37" s="7"/>
      <c r="W37" s="7">
        <f t="shared" si="32"/>
        <v>0</v>
      </c>
      <c r="X37" s="7">
        <f t="shared" si="33"/>
        <v>0</v>
      </c>
      <c r="Y37" s="7">
        <f t="shared" si="34"/>
        <v>0</v>
      </c>
      <c r="Z37" s="38"/>
      <c r="AA37" s="32"/>
      <c r="AB37" s="7">
        <f t="shared" si="36"/>
        <v>0</v>
      </c>
      <c r="AC37" s="7" t="s">
        <v>27</v>
      </c>
      <c r="AD37" s="7">
        <f t="shared" si="37"/>
        <v>0</v>
      </c>
      <c r="AE37" s="7">
        <f t="shared" si="37"/>
        <v>0</v>
      </c>
      <c r="AF37" s="7">
        <f t="shared" si="37"/>
        <v>0</v>
      </c>
      <c r="AG37" s="7">
        <f t="shared" si="37"/>
        <v>0</v>
      </c>
      <c r="AH37" s="7">
        <f t="shared" si="37"/>
        <v>0</v>
      </c>
      <c r="AI37" s="7">
        <f t="shared" si="37"/>
        <v>0</v>
      </c>
      <c r="AJ37" s="7">
        <f t="shared" si="37"/>
        <v>0</v>
      </c>
      <c r="AK37" s="7">
        <f t="shared" si="37"/>
        <v>0</v>
      </c>
      <c r="AL37" s="7">
        <f t="shared" si="37"/>
        <v>0</v>
      </c>
      <c r="AM37" s="7">
        <f t="shared" si="37"/>
        <v>0</v>
      </c>
      <c r="AN37" s="7">
        <f t="shared" si="38"/>
        <v>0</v>
      </c>
      <c r="AO37" s="7">
        <f t="shared" si="38"/>
        <v>0</v>
      </c>
      <c r="AP37" s="7">
        <f t="shared" si="38"/>
        <v>0</v>
      </c>
      <c r="AQ37" s="7">
        <f t="shared" si="38"/>
        <v>0</v>
      </c>
      <c r="AR37" s="7">
        <f t="shared" si="38"/>
        <v>0</v>
      </c>
      <c r="AS37" s="7">
        <f t="shared" si="38"/>
        <v>0</v>
      </c>
      <c r="AT37" s="7">
        <f t="shared" si="38"/>
        <v>0</v>
      </c>
      <c r="AU37" s="7">
        <f t="shared" si="39"/>
        <v>0</v>
      </c>
      <c r="AV37" s="7">
        <f t="shared" si="40"/>
        <v>0</v>
      </c>
      <c r="AW37" s="7">
        <f t="shared" si="40"/>
        <v>0</v>
      </c>
      <c r="AX37" s="7"/>
      <c r="AY37" s="7">
        <f>SUM($B$37:B37)</f>
        <v>0</v>
      </c>
      <c r="AZ37" s="7">
        <f>SUM($B$37:C37)</f>
        <v>0</v>
      </c>
      <c r="BA37" s="7">
        <f>SUM($B$37:D37)</f>
        <v>0</v>
      </c>
      <c r="BB37" s="7">
        <f>SUM($B$37:E37)</f>
        <v>0</v>
      </c>
      <c r="BC37" s="7">
        <f>SUM($B$37:F37)</f>
        <v>0</v>
      </c>
      <c r="BD37" s="7">
        <f>SUM($B$37:G37)</f>
        <v>0</v>
      </c>
      <c r="BE37" s="7">
        <f>SUM($B$37:H37)</f>
        <v>0</v>
      </c>
      <c r="BF37" s="7">
        <f>SUM($B$37:I37)</f>
        <v>0</v>
      </c>
      <c r="BG37" s="7">
        <f>SUM($B$37:J37)</f>
        <v>0</v>
      </c>
      <c r="BH37" s="7">
        <f>SUM($B$37:K37)</f>
        <v>0</v>
      </c>
      <c r="BI37" s="7">
        <f>SUM($B$37:L37)</f>
        <v>0</v>
      </c>
      <c r="BJ37" s="7">
        <f>SUM($B$37:M37)</f>
        <v>0</v>
      </c>
      <c r="BK37" s="7">
        <f>SUM($B$37:Q37)</f>
        <v>0</v>
      </c>
      <c r="BL37" s="7">
        <f>SUM($B$37:N37)</f>
        <v>0</v>
      </c>
      <c r="BM37" s="7">
        <f>SUM($B$37:O37)</f>
        <v>0</v>
      </c>
      <c r="BN37" s="7">
        <f>SUM($B$37:P37)</f>
        <v>0</v>
      </c>
      <c r="BO37" s="7">
        <f>SUM($B$37:R37)</f>
        <v>0</v>
      </c>
      <c r="BP37" s="7">
        <f>SUM($B$37:S37)</f>
        <v>0</v>
      </c>
      <c r="BQ37" s="7">
        <f>SUM($B$37:T37)</f>
        <v>0</v>
      </c>
      <c r="BR37" s="7">
        <f>SUM($B$37:V37)</f>
        <v>0</v>
      </c>
      <c r="BS37" s="7">
        <f>SUM($BR$32:BR37)</f>
        <v>0</v>
      </c>
      <c r="BT37">
        <f t="shared" si="6"/>
        <v>0</v>
      </c>
      <c r="BU37">
        <f>SUM($BT$32:BT37)</f>
        <v>0</v>
      </c>
    </row>
    <row r="38" spans="1:73" ht="14.5" customHeight="1" x14ac:dyDescent="0.35">
      <c r="A38" s="153" t="s">
        <v>28</v>
      </c>
      <c r="B38" s="7"/>
      <c r="C38" s="7"/>
      <c r="D38" s="7"/>
      <c r="E38" s="7"/>
      <c r="F38" s="7"/>
      <c r="G38" s="7"/>
      <c r="H38" s="7"/>
      <c r="I38" s="7"/>
      <c r="J38" s="7"/>
      <c r="K38" s="7"/>
      <c r="L38" s="7"/>
      <c r="M38" s="7"/>
      <c r="N38" s="7"/>
      <c r="O38" s="7"/>
      <c r="P38" s="7"/>
      <c r="Q38" s="7"/>
      <c r="R38" s="7"/>
      <c r="S38" s="7"/>
      <c r="T38" s="7"/>
      <c r="U38" s="7"/>
      <c r="V38" s="7"/>
      <c r="W38" s="7">
        <f t="shared" si="32"/>
        <v>0</v>
      </c>
      <c r="X38" s="7">
        <f t="shared" si="33"/>
        <v>0</v>
      </c>
      <c r="Y38" s="7">
        <f t="shared" si="34"/>
        <v>0</v>
      </c>
      <c r="Z38" s="38"/>
      <c r="AA38" s="32"/>
      <c r="AB38" s="7">
        <f t="shared" si="36"/>
        <v>0</v>
      </c>
      <c r="AC38" s="7" t="s">
        <v>28</v>
      </c>
      <c r="AD38" s="7">
        <f t="shared" si="37"/>
        <v>0</v>
      </c>
      <c r="AE38" s="7">
        <f t="shared" si="37"/>
        <v>0</v>
      </c>
      <c r="AF38" s="7">
        <f t="shared" si="37"/>
        <v>0</v>
      </c>
      <c r="AG38" s="7">
        <f t="shared" si="37"/>
        <v>0</v>
      </c>
      <c r="AH38" s="7">
        <f t="shared" si="37"/>
        <v>0</v>
      </c>
      <c r="AI38" s="7">
        <f t="shared" si="37"/>
        <v>0</v>
      </c>
      <c r="AJ38" s="7">
        <f t="shared" si="37"/>
        <v>0</v>
      </c>
      <c r="AK38" s="7">
        <f t="shared" si="37"/>
        <v>0</v>
      </c>
      <c r="AL38" s="7">
        <f t="shared" si="37"/>
        <v>0</v>
      </c>
      <c r="AM38" s="7">
        <f t="shared" si="37"/>
        <v>0</v>
      </c>
      <c r="AN38" s="7">
        <f t="shared" si="38"/>
        <v>0</v>
      </c>
      <c r="AO38" s="7">
        <f t="shared" si="38"/>
        <v>0</v>
      </c>
      <c r="AP38" s="7">
        <f t="shared" si="38"/>
        <v>0</v>
      </c>
      <c r="AQ38" s="7">
        <f t="shared" si="38"/>
        <v>0</v>
      </c>
      <c r="AR38" s="7">
        <f t="shared" si="38"/>
        <v>0</v>
      </c>
      <c r="AS38" s="7">
        <f t="shared" si="38"/>
        <v>0</v>
      </c>
      <c r="AT38" s="7">
        <f t="shared" si="38"/>
        <v>0</v>
      </c>
      <c r="AU38" s="7">
        <f t="shared" si="39"/>
        <v>0</v>
      </c>
      <c r="AV38" s="7">
        <f t="shared" si="40"/>
        <v>0</v>
      </c>
      <c r="AW38" s="7">
        <f t="shared" si="40"/>
        <v>0</v>
      </c>
      <c r="AX38" s="7"/>
      <c r="AY38" s="7">
        <f>SUM($B$38:B38)</f>
        <v>0</v>
      </c>
      <c r="AZ38" s="7">
        <f>SUM($B$38:C38)</f>
        <v>0</v>
      </c>
      <c r="BA38" s="7">
        <f>SUM($B$38:D38)</f>
        <v>0</v>
      </c>
      <c r="BB38" s="7">
        <f>SUM($B$38:E38)</f>
        <v>0</v>
      </c>
      <c r="BC38" s="7">
        <f>SUM($B$38:F38)</f>
        <v>0</v>
      </c>
      <c r="BD38" s="7">
        <f>SUM($B$38:G38)</f>
        <v>0</v>
      </c>
      <c r="BE38" s="7">
        <f>SUM($B$38:H38)</f>
        <v>0</v>
      </c>
      <c r="BF38" s="7">
        <f>SUM($B$38:I38)</f>
        <v>0</v>
      </c>
      <c r="BG38" s="7">
        <f>SUM($B$38:J38)</f>
        <v>0</v>
      </c>
      <c r="BH38" s="7">
        <f>SUM($B$38:K38)</f>
        <v>0</v>
      </c>
      <c r="BI38" s="7">
        <f>SUM($B$38:L38)</f>
        <v>0</v>
      </c>
      <c r="BJ38" s="7">
        <f>SUM($B$38:M38)</f>
        <v>0</v>
      </c>
      <c r="BK38" s="7">
        <f>SUM($B$38:Q38)</f>
        <v>0</v>
      </c>
      <c r="BL38" s="7">
        <f>SUM($B$38:N38)</f>
        <v>0</v>
      </c>
      <c r="BM38" s="7">
        <f>SUM($B$38:O38)</f>
        <v>0</v>
      </c>
      <c r="BN38" s="7">
        <f>SUM($B$38:P38)</f>
        <v>0</v>
      </c>
      <c r="BO38" s="7">
        <f>SUM($B$38:R38)</f>
        <v>0</v>
      </c>
      <c r="BP38" s="7">
        <f>SUM($B$38:S38)</f>
        <v>0</v>
      </c>
      <c r="BQ38" s="7">
        <f>SUM($B$38:T38)</f>
        <v>0</v>
      </c>
      <c r="BR38" s="7">
        <f>SUM($B$38:V38)</f>
        <v>0</v>
      </c>
      <c r="BS38" s="7">
        <f>SUM($BR$32:BR38)</f>
        <v>0</v>
      </c>
      <c r="BT38">
        <f t="shared" si="6"/>
        <v>0</v>
      </c>
      <c r="BU38">
        <f>SUM($BT$32:BT38)</f>
        <v>0</v>
      </c>
    </row>
    <row r="39" spans="1:73" x14ac:dyDescent="0.35">
      <c r="A39" s="33" t="s">
        <v>29</v>
      </c>
      <c r="B39" s="7">
        <f t="shared" ref="B39:T39" si="41">SUM(B32:B38)</f>
        <v>0</v>
      </c>
      <c r="C39" s="7">
        <f t="shared" si="41"/>
        <v>0</v>
      </c>
      <c r="D39" s="7">
        <f t="shared" si="41"/>
        <v>0</v>
      </c>
      <c r="E39" s="7">
        <f t="shared" si="41"/>
        <v>0</v>
      </c>
      <c r="F39" s="7">
        <f t="shared" si="41"/>
        <v>0</v>
      </c>
      <c r="G39" s="7">
        <f t="shared" si="41"/>
        <v>0</v>
      </c>
      <c r="H39" s="7">
        <f t="shared" si="41"/>
        <v>0</v>
      </c>
      <c r="I39" s="7">
        <f t="shared" si="41"/>
        <v>0</v>
      </c>
      <c r="J39" s="7">
        <f t="shared" si="41"/>
        <v>0</v>
      </c>
      <c r="K39" s="7">
        <f>SUM(K32:K38)</f>
        <v>0</v>
      </c>
      <c r="L39" s="7">
        <f t="shared" si="41"/>
        <v>0</v>
      </c>
      <c r="M39" s="7">
        <f t="shared" si="41"/>
        <v>0</v>
      </c>
      <c r="N39" s="7">
        <f t="shared" si="41"/>
        <v>0</v>
      </c>
      <c r="O39" s="7">
        <f t="shared" si="41"/>
        <v>0</v>
      </c>
      <c r="P39" s="7">
        <f t="shared" si="41"/>
        <v>0</v>
      </c>
      <c r="Q39" s="7">
        <f>SUM(Q32:Q38)</f>
        <v>0</v>
      </c>
      <c r="R39" s="7">
        <f t="shared" si="41"/>
        <v>0</v>
      </c>
      <c r="S39" s="7">
        <f t="shared" si="41"/>
        <v>0</v>
      </c>
      <c r="T39" s="7">
        <f t="shared" si="41"/>
        <v>0</v>
      </c>
      <c r="U39" s="7">
        <f t="shared" ref="U39" si="42">SUM(U32:U38)</f>
        <v>0</v>
      </c>
      <c r="V39" s="7">
        <f>SUM(V32:V38)</f>
        <v>0</v>
      </c>
      <c r="W39" s="31">
        <f>SUM(W32:W38)</f>
        <v>0</v>
      </c>
      <c r="X39" s="7"/>
      <c r="Y39" s="7"/>
      <c r="Z39" s="38" t="s">
        <v>173</v>
      </c>
      <c r="AA39" s="32"/>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row>
    <row r="40" spans="1:73" x14ac:dyDescent="0.35">
      <c r="A40" s="33" t="s">
        <v>30</v>
      </c>
      <c r="B40" s="7">
        <f t="shared" ref="B40:T40" si="43">B39-B25</f>
        <v>0</v>
      </c>
      <c r="C40" s="7">
        <f t="shared" si="43"/>
        <v>0</v>
      </c>
      <c r="D40" s="7">
        <f t="shared" si="43"/>
        <v>0</v>
      </c>
      <c r="E40" s="7">
        <f t="shared" si="43"/>
        <v>0</v>
      </c>
      <c r="F40" s="7">
        <f t="shared" si="43"/>
        <v>0</v>
      </c>
      <c r="G40" s="7">
        <f t="shared" si="43"/>
        <v>0</v>
      </c>
      <c r="H40" s="7">
        <f t="shared" si="43"/>
        <v>0</v>
      </c>
      <c r="I40" s="7">
        <f t="shared" si="43"/>
        <v>0</v>
      </c>
      <c r="J40" s="7">
        <f t="shared" si="43"/>
        <v>0</v>
      </c>
      <c r="K40" s="7">
        <f>K39-K25</f>
        <v>0</v>
      </c>
      <c r="L40" s="7">
        <f t="shared" si="43"/>
        <v>0</v>
      </c>
      <c r="M40" s="7">
        <f t="shared" si="43"/>
        <v>0</v>
      </c>
      <c r="N40" s="7">
        <f t="shared" si="43"/>
        <v>0</v>
      </c>
      <c r="O40" s="7">
        <f t="shared" si="43"/>
        <v>0</v>
      </c>
      <c r="P40" s="7">
        <f t="shared" si="43"/>
        <v>0</v>
      </c>
      <c r="Q40" s="7">
        <f>Q39-Q25</f>
        <v>0</v>
      </c>
      <c r="R40" s="7">
        <f t="shared" si="43"/>
        <v>0</v>
      </c>
      <c r="S40" s="7">
        <f t="shared" si="43"/>
        <v>0</v>
      </c>
      <c r="T40" s="7">
        <f t="shared" si="43"/>
        <v>0</v>
      </c>
      <c r="U40" s="7">
        <f t="shared" ref="U40" si="44">U39-U25</f>
        <v>0</v>
      </c>
      <c r="V40" s="7">
        <f>V39-V25</f>
        <v>0</v>
      </c>
      <c r="W40" s="7">
        <f>SUM(B40:V40)</f>
        <v>0</v>
      </c>
      <c r="X40" s="7"/>
      <c r="Y40" s="7"/>
      <c r="Z40" s="38"/>
      <c r="AA40" s="32"/>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row>
    <row r="41" spans="1:73" x14ac:dyDescent="0.35">
      <c r="A41" s="33" t="s">
        <v>110</v>
      </c>
      <c r="B41" s="7" cm="1">
        <f t="array" ref="B41">IF(COUNTIF(AD32:AD38,0)=0,
    LOOKUP(2,1/(AD32:AD38&lt;&gt;""),AD32:AD38),
    MATCH(0,INDEX(AD32:AD38,MAX(ROW(AD32:AD38))-ROW(AD32:AD38)+1),0)-1
)</f>
        <v>0</v>
      </c>
      <c r="C41" s="7" cm="1">
        <f t="array" ref="C41">IF(COUNTIF(AE32:AE38,0)=0,
    LOOKUP(2,1/(AE32:AE38&lt;&gt;""),AE32:AE38),
    MATCH(0,INDEX(AE32:AE38,MAX(ROW(AE32:AE38))-ROW(AE32:AE38)+1),0)-1
)</f>
        <v>0</v>
      </c>
      <c r="D41" s="7" cm="1">
        <f t="array" ref="D41">IF(COUNTIF(AF32:AF38,0)=0,
    LOOKUP(2,1/(AF32:AF38&lt;&gt;""),AF32:AF38),
    MATCH(0,INDEX(AF32:AF38,MAX(ROW(AF32:AF38))-ROW(AF32:AF38)+1),0)-1
)</f>
        <v>0</v>
      </c>
      <c r="E41" s="7" cm="1">
        <f t="array" ref="E41">IF(COUNTIF(AG32:AG38,0)=0,
    LOOKUP(2,1/(AG32:AG38&lt;&gt;""),AG32:AG38),
    MATCH(0,INDEX(AG32:AG38,MAX(ROW(AG32:AG38))-ROW(AG32:AG38)+1),0)-1
)</f>
        <v>0</v>
      </c>
      <c r="F41" s="7" cm="1">
        <f t="array" ref="F41">IF(COUNTIF(AH32:AH38,0)=0,
    LOOKUP(2,1/(AH32:AH38&lt;&gt;""),AH32:AH38),
    MATCH(0,INDEX(AH32:AH38,MAX(ROW(AH32:AH38))-ROW(AH32:AH38)+1),0)-1
)</f>
        <v>0</v>
      </c>
      <c r="G41" s="7" cm="1">
        <f t="array" ref="G41">IF(COUNTIF(AI32:AI38,0)=0,
    LOOKUP(2,1/(AI32:AI38&lt;&gt;""),AI32:AI38),
    MATCH(0,INDEX(AI32:AI38,MAX(ROW(AI32:AI38))-ROW(AI32:AI38)+1),0)-1
)</f>
        <v>0</v>
      </c>
      <c r="H41" s="7" cm="1">
        <f t="array" ref="H41">IF(COUNTIF(AJ32:AJ38,0)=0,
    LOOKUP(2,1/(AJ32:AJ38&lt;&gt;""),AJ32:AJ38),
    MATCH(0,INDEX(AJ32:AJ38,MAX(ROW(AJ32:AJ38))-ROW(AJ32:AJ38)+1),0)-1
)</f>
        <v>0</v>
      </c>
      <c r="I41" s="7" cm="1">
        <f t="array" ref="I41">IF(COUNTIF(AK32:AK38,0)=0,
    LOOKUP(2,1/(AK32:AK38&lt;&gt;""),AK32:AK38),
    MATCH(0,INDEX(AK32:AK38,MAX(ROW(AK32:AK38))-ROW(AK32:AK38)+1),0)-1
)</f>
        <v>0</v>
      </c>
      <c r="J41" s="7" cm="1">
        <f t="array" ref="J41">IF(COUNTIF(AL32:AL38,0)=0,
    LOOKUP(2,1/(AL32:AL38&lt;&gt;""),AL32:AL38),
    MATCH(0,INDEX(AL32:AL38,MAX(ROW(AL32:AL38))-ROW(AL32:AL38)+1),0)-1
)</f>
        <v>0</v>
      </c>
      <c r="K41" s="7" cm="1">
        <f t="array" ref="K41">IF(COUNTIF(AM32:AM38,0)=0,
    LOOKUP(2,1/(AM32:AM38&lt;&gt;""),AM32:AM38),
    MATCH(0,INDEX(AM32:AM38,MAX(ROW(AM32:AM38))-ROW(AM32:AM38)+1),0)-1
)</f>
        <v>0</v>
      </c>
      <c r="L41" s="7" cm="1">
        <f t="array" ref="L41">IF(COUNTIF(AN32:AN38,0)=0,
    LOOKUP(2,1/(AN32:AN38&lt;&gt;""),AN32:AN38),
    MATCH(0,INDEX(AN32:AN38,MAX(ROW(AN32:AN38))-ROW(AN32:AN38)+1),0)-1
)</f>
        <v>0</v>
      </c>
      <c r="M41" s="7" cm="1">
        <f t="array" ref="M41">IF(COUNTIF(AO32:AO38,0)=0,
    LOOKUP(2,1/(AO32:AO38&lt;&gt;""),AO32:AO38),
    MATCH(0,INDEX(AO32:AO38,MAX(ROW(AO32:AO38))-ROW(AO32:AO38)+1),0)-1
)</f>
        <v>0</v>
      </c>
      <c r="N41" s="7" cm="1">
        <f t="array" ref="N41">IF(COUNTIF(AP32:AP38,0)=0,
    LOOKUP(2,1/(AP32:AP38&lt;&gt;""),AP32:AP38),
    MATCH(0,INDEX(AP32:AP38,MAX(ROW(AP32:AP38))-ROW(AP32:AP38)+1),0)-1
)</f>
        <v>0</v>
      </c>
      <c r="O41" s="7" cm="1">
        <f t="array" ref="O41">IF(COUNTIF(AQ32:AQ38,0)=0,
    LOOKUP(2,1/(AQ32:AQ38&lt;&gt;""),AQ32:AQ38),
    MATCH(0,INDEX(AQ32:AQ38,MAX(ROW(AQ32:AQ38))-ROW(AQ32:AQ38)+1),0)-1
)</f>
        <v>0</v>
      </c>
      <c r="P41" s="7" cm="1">
        <f t="array" ref="P41">IF(COUNTIF(AR32:AR38,0)=0,
    LOOKUP(2,1/(AR32:AR38&lt;&gt;""),AR32:AR38),
    MATCH(0,INDEX(AR32:AR38,MAX(ROW(AR32:AR38))-ROW(AR32:AR38)+1),0)-1
)</f>
        <v>0</v>
      </c>
      <c r="Q41" s="7" cm="1">
        <f t="array" ref="Q41">IF(COUNTIF(AS32:AS38,0)=0,
    LOOKUP(2,1/(AS32:AS38&lt;&gt;""),AS32:AS38),
    MATCH(0,INDEX(AS32:AS38,MAX(ROW(AS32:AS38))-ROW(AS32:AS38)+1),0)-1
)</f>
        <v>0</v>
      </c>
      <c r="R41" s="7" cm="1">
        <f t="array" ref="R41">IF(COUNTIF(AT32:AT38,0)=0,
    LOOKUP(2,1/(AT32:AT38&lt;&gt;""),AT32:AT38),
    MATCH(0,INDEX(AT32:AT38,MAX(ROW(AT32:AT38))-ROW(AT32:AT38)+1),0)-1
)</f>
        <v>0</v>
      </c>
      <c r="S41" s="7" cm="1">
        <f t="array" ref="S41">IF(COUNTIF(AU32:AU38,0)=0,
    LOOKUP(2,1/(AU32:AU38&lt;&gt;""),AU32:AU38),
    MATCH(0,INDEX(AU32:AU38,MAX(ROW(AU32:AU38))-ROW(AU32:AU38)+1),0)-1
)</f>
        <v>0</v>
      </c>
      <c r="T41" s="7" cm="1">
        <f t="array" ref="T41">IF(COUNTIF(AV32:AV38,0)=0,
    LOOKUP(2,1/(AV32:AV38&lt;&gt;""),AV32:AV38),
    MATCH(0,INDEX(AV32:AV38,MAX(ROW(AV32:AV38))-ROW(AV32:AV38)+1),0)-1
)</f>
        <v>0</v>
      </c>
      <c r="U41" s="7" cm="1">
        <f t="array" ref="U41">IF(COUNTIF(AW32:AW38,0)=0,
    LOOKUP(2,1/(AW32:AW38&lt;&gt;""),AW32:AW38),
    MATCH(0,INDEX(AW32:AW38,MAX(ROW(AW32:AW38))-ROW(AW32:AW38)+1),0)-1
)</f>
        <v>0</v>
      </c>
      <c r="V41" s="7" cm="1">
        <f t="array" ref="V41">IF(COUNTIF(Y32:Y38,0)=0,
    LOOKUP(2,1/(Y32:Y38&lt;&gt;""),Y32:Y38),
    MATCH(0,INDEX(Y32:Y38,MAX(ROW(Y32:Y38))-ROW(Y32:Y38)+1),0)-1
)</f>
        <v>0</v>
      </c>
      <c r="W41" s="7"/>
      <c r="X41" s="7"/>
      <c r="Y41" s="7"/>
      <c r="Z41" s="38"/>
      <c r="AA41" s="32"/>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row>
    <row r="42" spans="1:73" x14ac:dyDescent="0.35">
      <c r="A42" s="33" t="s">
        <v>99</v>
      </c>
      <c r="B42" s="7">
        <f>B39+B28</f>
        <v>2</v>
      </c>
      <c r="C42" s="7">
        <f t="shared" ref="C42:T42" si="45">C39+C28</f>
        <v>0</v>
      </c>
      <c r="D42" s="7">
        <f t="shared" si="45"/>
        <v>5</v>
      </c>
      <c r="E42" s="7">
        <f t="shared" si="45"/>
        <v>9</v>
      </c>
      <c r="F42" s="7">
        <f t="shared" si="45"/>
        <v>4</v>
      </c>
      <c r="G42" s="7">
        <f t="shared" si="45"/>
        <v>0</v>
      </c>
      <c r="H42" s="7">
        <f t="shared" si="45"/>
        <v>0</v>
      </c>
      <c r="I42" s="7">
        <f t="shared" si="45"/>
        <v>3</v>
      </c>
      <c r="J42" s="7">
        <f t="shared" si="45"/>
        <v>0</v>
      </c>
      <c r="K42" s="7">
        <f>K39+K28</f>
        <v>0.75</v>
      </c>
      <c r="L42" s="7">
        <f t="shared" si="45"/>
        <v>2</v>
      </c>
      <c r="M42" s="7">
        <f t="shared" si="45"/>
        <v>1</v>
      </c>
      <c r="N42" s="7">
        <f t="shared" si="45"/>
        <v>2.5</v>
      </c>
      <c r="O42" s="7">
        <f t="shared" si="45"/>
        <v>2</v>
      </c>
      <c r="P42" s="7">
        <f t="shared" si="45"/>
        <v>0</v>
      </c>
      <c r="Q42" s="7">
        <f>Q39+Q28</f>
        <v>0</v>
      </c>
      <c r="R42" s="7">
        <f t="shared" si="45"/>
        <v>1</v>
      </c>
      <c r="S42" s="7">
        <f t="shared" si="45"/>
        <v>3</v>
      </c>
      <c r="T42" s="7">
        <f t="shared" si="45"/>
        <v>0</v>
      </c>
      <c r="U42" s="7">
        <f t="shared" ref="U42" si="46">U39+U28</f>
        <v>-1</v>
      </c>
      <c r="V42" s="7">
        <f>V39+V28</f>
        <v>2</v>
      </c>
      <c r="W42" s="7">
        <f>SUM(W28,W39)</f>
        <v>36.25</v>
      </c>
      <c r="X42" s="7"/>
      <c r="Y42" s="7">
        <f>SUM(Y32:Y38)</f>
        <v>0</v>
      </c>
      <c r="Z42" s="38"/>
      <c r="AA42" s="32"/>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row>
    <row r="43" spans="1:73" x14ac:dyDescent="0.35">
      <c r="A43" s="33" t="s">
        <v>112</v>
      </c>
      <c r="B43" s="174">
        <f>(COUNTIF(B4:B10, "&gt;0")+COUNTIF(B18:B24, "&gt;0") + COUNTIF(B32:B38, "&gt;0")) / 21</f>
        <v>4.7619047619047616E-2</v>
      </c>
      <c r="C43" s="174">
        <f t="shared" ref="C43:O43" si="47">(COUNTIF(C4:C10, "&gt;0")+COUNTIF(C18:C24, "&gt;0") + COUNTIF(C32:C38, "&gt;0")) / 21</f>
        <v>0</v>
      </c>
      <c r="D43" s="174">
        <f t="shared" si="47"/>
        <v>4.7619047619047616E-2</v>
      </c>
      <c r="E43" s="174">
        <f t="shared" si="47"/>
        <v>4.7619047619047616E-2</v>
      </c>
      <c r="F43" s="174">
        <f t="shared" si="47"/>
        <v>4.7619047619047616E-2</v>
      </c>
      <c r="G43" s="174">
        <f t="shared" si="47"/>
        <v>0</v>
      </c>
      <c r="H43" s="174">
        <f t="shared" si="47"/>
        <v>0</v>
      </c>
      <c r="I43" s="174">
        <f t="shared" si="47"/>
        <v>4.7619047619047616E-2</v>
      </c>
      <c r="J43" s="174">
        <f t="shared" si="47"/>
        <v>0</v>
      </c>
      <c r="K43" s="174">
        <f t="shared" si="47"/>
        <v>4.7619047619047616E-2</v>
      </c>
      <c r="L43" s="174">
        <f t="shared" si="47"/>
        <v>4.7619047619047616E-2</v>
      </c>
      <c r="M43" s="174">
        <f t="shared" si="47"/>
        <v>4.7619047619047616E-2</v>
      </c>
      <c r="N43" s="174">
        <f t="shared" si="47"/>
        <v>4.7619047619047616E-2</v>
      </c>
      <c r="O43" s="174">
        <f t="shared" si="47"/>
        <v>4.7619047619047616E-2</v>
      </c>
      <c r="P43" s="7"/>
      <c r="Q43" s="7"/>
      <c r="R43" s="7"/>
      <c r="S43" s="7"/>
      <c r="T43" s="7"/>
      <c r="U43" s="33" t="s">
        <v>31</v>
      </c>
      <c r="V43" s="7">
        <f>SUMIF(B39:V39,"&lt;0",B39:V39)</f>
        <v>0</v>
      </c>
      <c r="W43" s="7">
        <f>SUMIF(B39:V39,"&gt;0",B39:V39)</f>
        <v>0</v>
      </c>
      <c r="Y43" s="7"/>
      <c r="Z43" s="38"/>
      <c r="AA43" s="32"/>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row>
    <row r="44" spans="1:73" x14ac:dyDescent="0.35">
      <c r="A44" s="7"/>
      <c r="B44" s="7"/>
      <c r="C44" s="7"/>
      <c r="D44" s="7"/>
      <c r="E44" s="7"/>
      <c r="F44" s="7"/>
      <c r="G44" s="7"/>
      <c r="H44" s="7"/>
      <c r="I44" s="7"/>
      <c r="J44" s="7"/>
      <c r="K44" s="7"/>
      <c r="L44" s="7"/>
      <c r="M44" s="7"/>
      <c r="N44" s="7"/>
      <c r="O44" s="7"/>
      <c r="P44" s="7"/>
      <c r="Q44" s="7"/>
      <c r="R44" s="7"/>
      <c r="S44" s="7"/>
      <c r="T44" s="7"/>
      <c r="U44" s="7"/>
      <c r="V44" s="7"/>
      <c r="W44" s="7"/>
      <c r="X44" s="7"/>
      <c r="Y44" s="7"/>
      <c r="Z44" s="11"/>
      <c r="AA44" s="11"/>
      <c r="AB44" s="7"/>
      <c r="AC44" s="7"/>
      <c r="AD44" s="7"/>
      <c r="AE44" s="7"/>
      <c r="AF44" s="7"/>
      <c r="AG44" s="7"/>
      <c r="AH44" s="7"/>
      <c r="AI44" s="7"/>
      <c r="AJ44" s="7"/>
      <c r="AK44" s="7"/>
      <c r="AL44" s="7"/>
      <c r="AM44" s="7"/>
      <c r="AN44" s="7"/>
      <c r="AO44" s="7"/>
      <c r="AP44" s="7"/>
      <c r="AQ44" s="7"/>
      <c r="AR44" s="7"/>
      <c r="AS44" s="7"/>
      <c r="AT44" s="7"/>
      <c r="AU44" s="7"/>
      <c r="AV44" s="7"/>
      <c r="AW44" s="7"/>
      <c r="AX44" s="7"/>
      <c r="AY44" s="7" t="s">
        <v>123</v>
      </c>
      <c r="AZ44" s="7"/>
      <c r="BA44" s="7"/>
      <c r="BB44" s="7"/>
      <c r="BC44" s="7"/>
      <c r="BD44" s="7"/>
      <c r="BE44" s="7"/>
      <c r="BF44" s="7"/>
      <c r="BG44" s="7"/>
      <c r="BH44" s="7"/>
      <c r="BI44" s="7"/>
      <c r="BJ44" s="7"/>
      <c r="BK44" s="7"/>
      <c r="BL44" s="7"/>
      <c r="BM44" s="7"/>
      <c r="BN44" s="7"/>
      <c r="BO44" s="7"/>
      <c r="BP44" s="7"/>
      <c r="BQ44" s="7"/>
      <c r="BR44" s="7"/>
      <c r="BS44" s="7"/>
    </row>
    <row r="45" spans="1:73" ht="29" x14ac:dyDescent="0.35">
      <c r="A45" s="99" t="s">
        <v>36</v>
      </c>
      <c r="B45" s="40">
        <f>C31+1</f>
        <v>46048</v>
      </c>
      <c r="C45" s="40">
        <f>B45+6</f>
        <v>46054</v>
      </c>
      <c r="D45" s="7"/>
      <c r="E45" s="7"/>
      <c r="F45" s="7"/>
      <c r="G45" s="7"/>
      <c r="H45" s="7"/>
      <c r="I45" s="7" t="s">
        <v>82</v>
      </c>
      <c r="J45" s="7" t="s">
        <v>83</v>
      </c>
      <c r="K45" s="7"/>
      <c r="L45" s="7"/>
      <c r="M45" s="7"/>
      <c r="N45" s="7"/>
      <c r="O45" s="7"/>
      <c r="P45" s="7"/>
      <c r="Q45" s="7"/>
      <c r="R45" s="7"/>
      <c r="S45" s="7"/>
      <c r="T45" s="7"/>
      <c r="U45" s="7"/>
      <c r="V45" s="7"/>
      <c r="W45" s="7"/>
      <c r="X45" s="7"/>
      <c r="Y45" s="7"/>
      <c r="Z45" s="11"/>
      <c r="AA45" s="11"/>
      <c r="AB45" s="7"/>
      <c r="AC45" s="7" t="s">
        <v>65</v>
      </c>
      <c r="AD45" s="7"/>
      <c r="AE45" s="7"/>
      <c r="AF45" s="7"/>
      <c r="AG45" s="7"/>
      <c r="AH45" s="7"/>
      <c r="AI45" s="7"/>
      <c r="AJ45" s="7"/>
      <c r="AK45" s="7"/>
      <c r="AL45" s="7"/>
      <c r="AM45" s="7"/>
      <c r="AN45" s="7"/>
      <c r="AO45" s="7"/>
      <c r="AP45" s="7"/>
      <c r="AQ45" s="7"/>
      <c r="AR45" s="7"/>
      <c r="AS45" s="7"/>
      <c r="AT45" s="7"/>
      <c r="AU45" s="7"/>
      <c r="AV45" s="7"/>
      <c r="AW45" s="7"/>
      <c r="AX45" s="7"/>
      <c r="AY45" s="12" t="s">
        <v>1</v>
      </c>
      <c r="AZ45" s="12" t="s">
        <v>2</v>
      </c>
      <c r="BA45" s="12" t="s">
        <v>3</v>
      </c>
      <c r="BB45" s="12" t="s">
        <v>4</v>
      </c>
      <c r="BC45" s="12" t="s">
        <v>5</v>
      </c>
      <c r="BD45" s="12" t="s">
        <v>6</v>
      </c>
      <c r="BE45" s="12" t="s">
        <v>7</v>
      </c>
      <c r="BF45" s="12" t="s">
        <v>8</v>
      </c>
      <c r="BG45" s="12" t="s">
        <v>9</v>
      </c>
      <c r="BH45" s="12" t="s">
        <v>10</v>
      </c>
      <c r="BI45" s="12" t="s">
        <v>11</v>
      </c>
      <c r="BJ45" s="12" t="s">
        <v>12</v>
      </c>
      <c r="BK45" s="12" t="s">
        <v>13</v>
      </c>
      <c r="BL45" s="12" t="s">
        <v>14</v>
      </c>
      <c r="BM45" s="12" t="s">
        <v>15</v>
      </c>
      <c r="BN45" s="12" t="s">
        <v>16</v>
      </c>
      <c r="BO45" s="12" t="s">
        <v>17</v>
      </c>
      <c r="BP45" s="12" t="s">
        <v>18</v>
      </c>
      <c r="BQ45" s="12" t="s">
        <v>19</v>
      </c>
      <c r="BR45" s="12" t="s">
        <v>20</v>
      </c>
      <c r="BS45" s="12">
        <v>0</v>
      </c>
      <c r="BU45">
        <v>0</v>
      </c>
    </row>
    <row r="46" spans="1:73" x14ac:dyDescent="0.35">
      <c r="A46" s="77" t="s">
        <v>22</v>
      </c>
      <c r="B46" s="7"/>
      <c r="C46" s="7"/>
      <c r="D46" s="7"/>
      <c r="E46" s="7"/>
      <c r="F46" s="7"/>
      <c r="G46" s="7"/>
      <c r="H46" s="7"/>
      <c r="I46" s="7"/>
      <c r="J46" s="7"/>
      <c r="K46" s="7"/>
      <c r="L46" s="7"/>
      <c r="M46" s="7"/>
      <c r="N46" s="7"/>
      <c r="O46" s="7"/>
      <c r="P46" s="7"/>
      <c r="Q46" s="7"/>
      <c r="R46" s="7"/>
      <c r="S46" s="7"/>
      <c r="T46" s="7"/>
      <c r="U46" s="7"/>
      <c r="V46" s="7"/>
      <c r="W46" s="7">
        <f t="shared" ref="W46:W52" si="48">SUM(B46:V46)</f>
        <v>0</v>
      </c>
      <c r="X46" s="7">
        <f t="shared" ref="X46:X52" si="49">SUM(AD46:AW46)*0.1</f>
        <v>0</v>
      </c>
      <c r="Y46" s="7">
        <f t="shared" ref="Y46:Y52" si="50">W46+X46</f>
        <v>0</v>
      </c>
      <c r="Z46" s="39"/>
      <c r="AA46" s="190"/>
      <c r="AB46" s="7">
        <f>W46+AB32</f>
        <v>36.25</v>
      </c>
      <c r="AC46" s="7" t="s">
        <v>22</v>
      </c>
      <c r="AD46" s="7">
        <f t="shared" ref="AD46:AW46" si="51">IF(B46 &gt; 0, IF(AD38&gt; 0, AD38 + 1, 0.1), 0)</f>
        <v>0</v>
      </c>
      <c r="AE46" s="7">
        <f t="shared" si="51"/>
        <v>0</v>
      </c>
      <c r="AF46" s="7">
        <f t="shared" si="51"/>
        <v>0</v>
      </c>
      <c r="AG46" s="7">
        <f t="shared" si="51"/>
        <v>0</v>
      </c>
      <c r="AH46" s="7">
        <f t="shared" si="51"/>
        <v>0</v>
      </c>
      <c r="AI46" s="7">
        <f t="shared" si="51"/>
        <v>0</v>
      </c>
      <c r="AJ46" s="7">
        <f t="shared" si="51"/>
        <v>0</v>
      </c>
      <c r="AK46" s="7">
        <f t="shared" si="51"/>
        <v>0</v>
      </c>
      <c r="AL46" s="7">
        <f t="shared" si="51"/>
        <v>0</v>
      </c>
      <c r="AM46" s="7">
        <f t="shared" si="51"/>
        <v>0</v>
      </c>
      <c r="AN46" s="7">
        <f t="shared" si="51"/>
        <v>0</v>
      </c>
      <c r="AO46" s="7">
        <f t="shared" si="51"/>
        <v>0</v>
      </c>
      <c r="AP46" s="7">
        <f t="shared" si="51"/>
        <v>0</v>
      </c>
      <c r="AQ46" s="7">
        <f t="shared" si="51"/>
        <v>0</v>
      </c>
      <c r="AR46" s="7">
        <f t="shared" si="51"/>
        <v>0</v>
      </c>
      <c r="AS46" s="7">
        <f t="shared" si="51"/>
        <v>0</v>
      </c>
      <c r="AT46" s="7">
        <f t="shared" si="51"/>
        <v>0</v>
      </c>
      <c r="AU46" s="7">
        <f t="shared" si="51"/>
        <v>0</v>
      </c>
      <c r="AV46" s="7">
        <f t="shared" si="51"/>
        <v>0</v>
      </c>
      <c r="AW46" s="7">
        <f t="shared" si="51"/>
        <v>0</v>
      </c>
      <c r="AX46" s="7"/>
      <c r="AY46" s="7">
        <f>SUM($B$46:B46)</f>
        <v>0</v>
      </c>
      <c r="AZ46" s="7">
        <f>SUM($B$46:C46)</f>
        <v>0</v>
      </c>
      <c r="BA46" s="7">
        <f>SUM($B$46:D46)</f>
        <v>0</v>
      </c>
      <c r="BB46" s="7">
        <f>SUM($B$46:E46)</f>
        <v>0</v>
      </c>
      <c r="BC46" s="7">
        <f>SUM($B$46:F46)</f>
        <v>0</v>
      </c>
      <c r="BD46" s="7">
        <f>SUM($B$46:G46)</f>
        <v>0</v>
      </c>
      <c r="BE46" s="7">
        <f>SUM($B$46:H46)</f>
        <v>0</v>
      </c>
      <c r="BF46" s="7">
        <f>SUM($B$46:I46)</f>
        <v>0</v>
      </c>
      <c r="BG46" s="7">
        <f>SUM($B$46:J46)</f>
        <v>0</v>
      </c>
      <c r="BH46" s="7">
        <f>SUM($B$46:K46)</f>
        <v>0</v>
      </c>
      <c r="BI46" s="7">
        <f>SUM($B$46:L46)</f>
        <v>0</v>
      </c>
      <c r="BJ46" s="7">
        <f>SUM($B$46:M46)</f>
        <v>0</v>
      </c>
      <c r="BK46" s="7">
        <f>SUM($B$46:Q46)</f>
        <v>0</v>
      </c>
      <c r="BL46" s="7">
        <f>SUM($B$46:N46)</f>
        <v>0</v>
      </c>
      <c r="BM46" s="7">
        <f>SUM($B$46:O46)</f>
        <v>0</v>
      </c>
      <c r="BN46" s="7">
        <f>SUM($B$46:P46)</f>
        <v>0</v>
      </c>
      <c r="BO46" s="7">
        <f>SUM($B$46:R46)</f>
        <v>0</v>
      </c>
      <c r="BP46" s="7">
        <f>SUM($B$46:S46)</f>
        <v>0</v>
      </c>
      <c r="BQ46" s="7">
        <f>SUM($B$46:T46)</f>
        <v>0</v>
      </c>
      <c r="BR46" s="7">
        <f>SUM($B$46:V46)</f>
        <v>0</v>
      </c>
      <c r="BS46" s="7">
        <f>SUM($BR$46:BR46)</f>
        <v>0</v>
      </c>
      <c r="BT46">
        <f t="shared" si="6"/>
        <v>0</v>
      </c>
      <c r="BU46">
        <f>SUM($BT$46:BT46)</f>
        <v>0</v>
      </c>
    </row>
    <row r="47" spans="1:73" x14ac:dyDescent="0.35">
      <c r="A47" s="88" t="s">
        <v>23</v>
      </c>
      <c r="B47" s="7"/>
      <c r="C47" s="7"/>
      <c r="D47" s="7"/>
      <c r="E47" s="7"/>
      <c r="F47" s="7"/>
      <c r="G47" s="7"/>
      <c r="H47" s="7"/>
      <c r="I47" s="7"/>
      <c r="J47" s="7"/>
      <c r="K47" s="7"/>
      <c r="L47" s="7"/>
      <c r="M47" s="7"/>
      <c r="N47" s="7"/>
      <c r="O47" s="7"/>
      <c r="P47" s="7"/>
      <c r="Q47" s="7"/>
      <c r="R47" s="7"/>
      <c r="S47" s="7"/>
      <c r="T47" s="7"/>
      <c r="U47" s="7"/>
      <c r="V47" s="7"/>
      <c r="W47" s="7">
        <f t="shared" si="48"/>
        <v>0</v>
      </c>
      <c r="X47" s="7">
        <f t="shared" si="49"/>
        <v>0</v>
      </c>
      <c r="Y47" s="7">
        <f t="shared" si="50"/>
        <v>0</v>
      </c>
      <c r="Z47" s="39"/>
      <c r="AA47" s="190"/>
      <c r="AB47" s="7">
        <f t="shared" ref="AB47:AB52" si="52">AB33+W47</f>
        <v>0</v>
      </c>
      <c r="AC47" s="7" t="s">
        <v>23</v>
      </c>
      <c r="AD47" s="7">
        <f t="shared" ref="AD47:AM52" si="53">IF(B47 &gt; 0, IF(AD46 &gt; 0, AD46 + 1, 0.1), 0)</f>
        <v>0</v>
      </c>
      <c r="AE47" s="7">
        <f t="shared" si="53"/>
        <v>0</v>
      </c>
      <c r="AF47" s="7">
        <f t="shared" si="53"/>
        <v>0</v>
      </c>
      <c r="AG47" s="7">
        <f t="shared" si="53"/>
        <v>0</v>
      </c>
      <c r="AH47" s="7">
        <f t="shared" si="53"/>
        <v>0</v>
      </c>
      <c r="AI47" s="7">
        <f t="shared" si="53"/>
        <v>0</v>
      </c>
      <c r="AJ47" s="7">
        <f t="shared" si="53"/>
        <v>0</v>
      </c>
      <c r="AK47" s="7">
        <f t="shared" si="53"/>
        <v>0</v>
      </c>
      <c r="AL47" s="7">
        <f t="shared" si="53"/>
        <v>0</v>
      </c>
      <c r="AM47" s="7">
        <f t="shared" si="53"/>
        <v>0</v>
      </c>
      <c r="AN47" s="7">
        <f t="shared" ref="AN47:AT52" si="54">IF(L47 &gt; 0, IF(AN46 &gt; 0, AN46 + 1, 0.1), 0)</f>
        <v>0</v>
      </c>
      <c r="AO47" s="7">
        <f t="shared" si="54"/>
        <v>0</v>
      </c>
      <c r="AP47" s="7">
        <f t="shared" si="54"/>
        <v>0</v>
      </c>
      <c r="AQ47" s="7">
        <f t="shared" si="54"/>
        <v>0</v>
      </c>
      <c r="AR47" s="7">
        <f t="shared" si="54"/>
        <v>0</v>
      </c>
      <c r="AS47" s="7">
        <f t="shared" si="54"/>
        <v>0</v>
      </c>
      <c r="AT47" s="7">
        <f t="shared" si="54"/>
        <v>0</v>
      </c>
      <c r="AU47" s="7">
        <f t="shared" ref="AU47:AU52" si="55">IF(S47 &gt; 0, IF(AU39&gt; 0, AU39 + 1, 0.1), 0)</f>
        <v>0</v>
      </c>
      <c r="AV47" s="7">
        <f t="shared" ref="AV47:AW52" si="56">IF(T47 &gt; 0, IF(AV46 &gt; 0, AV46 + 1, 0.1), 0)</f>
        <v>0</v>
      </c>
      <c r="AW47" s="7">
        <f t="shared" si="56"/>
        <v>0</v>
      </c>
      <c r="AX47" s="7"/>
      <c r="AY47" s="7">
        <f>SUM($B$47:B47)</f>
        <v>0</v>
      </c>
      <c r="AZ47" s="7">
        <f>SUM($B$47:C47)</f>
        <v>0</v>
      </c>
      <c r="BA47" s="7">
        <f>SUM($B$47:D47)</f>
        <v>0</v>
      </c>
      <c r="BB47" s="7">
        <f>SUM($B$47:E47)</f>
        <v>0</v>
      </c>
      <c r="BC47" s="7">
        <f>SUM($B$47:F47)</f>
        <v>0</v>
      </c>
      <c r="BD47" s="7">
        <f>SUM($B$47:G47)</f>
        <v>0</v>
      </c>
      <c r="BE47" s="7">
        <f>SUM($B$47:H47)</f>
        <v>0</v>
      </c>
      <c r="BF47" s="7">
        <f>SUM($B$47:I47)</f>
        <v>0</v>
      </c>
      <c r="BG47" s="7">
        <f>SUM($B$47:J47)</f>
        <v>0</v>
      </c>
      <c r="BH47" s="7">
        <f>SUM($B$47:K47)</f>
        <v>0</v>
      </c>
      <c r="BI47" s="7">
        <f>SUM($B$47:L47)</f>
        <v>0</v>
      </c>
      <c r="BJ47" s="7">
        <f>SUM($B$47:M47)</f>
        <v>0</v>
      </c>
      <c r="BK47" s="7">
        <f>SUM($B$47:Q47)</f>
        <v>0</v>
      </c>
      <c r="BL47" s="7">
        <f>SUM($B$47:N47)</f>
        <v>0</v>
      </c>
      <c r="BM47" s="7">
        <f>SUM($B$47:O47)</f>
        <v>0</v>
      </c>
      <c r="BN47" s="7">
        <f>SUM($B$47:P47)</f>
        <v>0</v>
      </c>
      <c r="BO47" s="7">
        <f>SUM($B$47:R47)</f>
        <v>0</v>
      </c>
      <c r="BP47" s="7">
        <f>SUM($B$47:S47)</f>
        <v>0</v>
      </c>
      <c r="BQ47" s="7">
        <f>SUM($B$47:T47)</f>
        <v>0</v>
      </c>
      <c r="BR47" s="7">
        <f>SUM($B$47:V47)</f>
        <v>0</v>
      </c>
      <c r="BS47" s="7">
        <f>SUM($BR$46:BR47)</f>
        <v>0</v>
      </c>
      <c r="BT47">
        <f t="shared" si="6"/>
        <v>0</v>
      </c>
      <c r="BU47">
        <f>SUM($BT$46:BT47)</f>
        <v>0</v>
      </c>
    </row>
    <row r="48" spans="1:73" x14ac:dyDescent="0.35">
      <c r="A48" s="111" t="s">
        <v>24</v>
      </c>
      <c r="B48" s="7"/>
      <c r="C48" s="7"/>
      <c r="D48" s="7"/>
      <c r="E48" s="7"/>
      <c r="F48" s="7"/>
      <c r="G48" s="7"/>
      <c r="H48" s="7"/>
      <c r="I48" s="7"/>
      <c r="J48" s="7"/>
      <c r="K48" s="7"/>
      <c r="L48" s="7"/>
      <c r="M48" s="7"/>
      <c r="N48" s="7"/>
      <c r="O48" s="7"/>
      <c r="P48" s="7"/>
      <c r="Q48" s="7"/>
      <c r="R48" s="7"/>
      <c r="S48" s="7"/>
      <c r="T48" s="7"/>
      <c r="U48" s="7"/>
      <c r="V48" s="7"/>
      <c r="W48" s="7">
        <f t="shared" si="48"/>
        <v>0</v>
      </c>
      <c r="X48" s="7">
        <f t="shared" si="49"/>
        <v>0</v>
      </c>
      <c r="Y48" s="7">
        <f t="shared" si="50"/>
        <v>0</v>
      </c>
      <c r="Z48" s="39"/>
      <c r="AA48" s="190"/>
      <c r="AB48" s="7">
        <f t="shared" si="52"/>
        <v>0</v>
      </c>
      <c r="AC48" s="7" t="s">
        <v>24</v>
      </c>
      <c r="AD48" s="7">
        <f t="shared" si="53"/>
        <v>0</v>
      </c>
      <c r="AE48" s="7">
        <f t="shared" si="53"/>
        <v>0</v>
      </c>
      <c r="AF48" s="7">
        <f t="shared" si="53"/>
        <v>0</v>
      </c>
      <c r="AG48" s="7">
        <f t="shared" si="53"/>
        <v>0</v>
      </c>
      <c r="AH48" s="7">
        <f t="shared" si="53"/>
        <v>0</v>
      </c>
      <c r="AI48" s="7">
        <f t="shared" si="53"/>
        <v>0</v>
      </c>
      <c r="AJ48" s="7">
        <f t="shared" si="53"/>
        <v>0</v>
      </c>
      <c r="AK48" s="7">
        <f t="shared" si="53"/>
        <v>0</v>
      </c>
      <c r="AL48" s="7">
        <f t="shared" si="53"/>
        <v>0</v>
      </c>
      <c r="AM48" s="7">
        <f t="shared" si="53"/>
        <v>0</v>
      </c>
      <c r="AN48" s="7">
        <f t="shared" si="54"/>
        <v>0</v>
      </c>
      <c r="AO48" s="7">
        <f t="shared" si="54"/>
        <v>0</v>
      </c>
      <c r="AP48" s="7">
        <f t="shared" si="54"/>
        <v>0</v>
      </c>
      <c r="AQ48" s="7">
        <f t="shared" si="54"/>
        <v>0</v>
      </c>
      <c r="AR48" s="7">
        <f t="shared" si="54"/>
        <v>0</v>
      </c>
      <c r="AS48" s="7">
        <f t="shared" si="54"/>
        <v>0</v>
      </c>
      <c r="AT48" s="7">
        <f t="shared" si="54"/>
        <v>0</v>
      </c>
      <c r="AU48" s="7">
        <f t="shared" si="55"/>
        <v>0</v>
      </c>
      <c r="AV48" s="7">
        <f t="shared" si="56"/>
        <v>0</v>
      </c>
      <c r="AW48" s="7">
        <f t="shared" si="56"/>
        <v>0</v>
      </c>
      <c r="AX48" s="7"/>
      <c r="AY48" s="7">
        <f>SUM($B$48:B48)</f>
        <v>0</v>
      </c>
      <c r="AZ48" s="7">
        <f>SUM($B$48:C48)</f>
        <v>0</v>
      </c>
      <c r="BA48" s="7">
        <f>SUM($B$48:D48)</f>
        <v>0</v>
      </c>
      <c r="BB48" s="7">
        <f>SUM($B$48:E48)</f>
        <v>0</v>
      </c>
      <c r="BC48" s="7">
        <f>SUM($B$48:F48)</f>
        <v>0</v>
      </c>
      <c r="BD48" s="7">
        <f>SUM($B$48:G48)</f>
        <v>0</v>
      </c>
      <c r="BE48" s="7">
        <f>SUM($B$48:H48)</f>
        <v>0</v>
      </c>
      <c r="BF48" s="7">
        <f>SUM($B$48:I48)</f>
        <v>0</v>
      </c>
      <c r="BG48" s="7">
        <f>SUM($B$48:J48)</f>
        <v>0</v>
      </c>
      <c r="BH48" s="7">
        <f>SUM($B$48:K48)</f>
        <v>0</v>
      </c>
      <c r="BI48" s="7">
        <f>SUM($B$48:L48)</f>
        <v>0</v>
      </c>
      <c r="BJ48" s="7">
        <f>SUM($B$48:M48)</f>
        <v>0</v>
      </c>
      <c r="BK48" s="7">
        <f>SUM($B$48:Q48)</f>
        <v>0</v>
      </c>
      <c r="BL48" s="7">
        <f>SUM($B$48:N48)</f>
        <v>0</v>
      </c>
      <c r="BM48" s="7">
        <f>SUM($B$48:O48)</f>
        <v>0</v>
      </c>
      <c r="BN48" s="7">
        <f>SUM($B$48:P48)</f>
        <v>0</v>
      </c>
      <c r="BO48" s="7">
        <f>SUM($B$48:R48)</f>
        <v>0</v>
      </c>
      <c r="BP48" s="7">
        <f>SUM($B$48:S48)</f>
        <v>0</v>
      </c>
      <c r="BQ48" s="7">
        <f>SUM($B$48:T48)</f>
        <v>0</v>
      </c>
      <c r="BR48" s="7">
        <f>SUM($B$48:V48)</f>
        <v>0</v>
      </c>
      <c r="BS48" s="7">
        <f>SUM($BR$46:BR48)</f>
        <v>0</v>
      </c>
      <c r="BT48">
        <f t="shared" si="6"/>
        <v>0</v>
      </c>
      <c r="BU48">
        <f>SUM($BT$46:BT48)</f>
        <v>0</v>
      </c>
    </row>
    <row r="49" spans="1:73" x14ac:dyDescent="0.35">
      <c r="A49" s="122" t="s">
        <v>25</v>
      </c>
      <c r="B49" s="7"/>
      <c r="C49" s="7"/>
      <c r="D49" s="7"/>
      <c r="E49" s="7"/>
      <c r="F49" s="7"/>
      <c r="G49" s="7"/>
      <c r="H49" s="7"/>
      <c r="I49" s="7"/>
      <c r="J49" s="7"/>
      <c r="K49" s="7"/>
      <c r="L49" s="7"/>
      <c r="M49" s="7"/>
      <c r="N49" s="7"/>
      <c r="O49" s="7"/>
      <c r="P49" s="7"/>
      <c r="Q49" s="7"/>
      <c r="R49" s="7"/>
      <c r="S49" s="7"/>
      <c r="T49" s="7"/>
      <c r="U49" s="7"/>
      <c r="V49" s="7"/>
      <c r="W49" s="7">
        <f t="shared" si="48"/>
        <v>0</v>
      </c>
      <c r="X49" s="7">
        <f t="shared" si="49"/>
        <v>0</v>
      </c>
      <c r="Y49" s="7">
        <f t="shared" si="50"/>
        <v>0</v>
      </c>
      <c r="Z49" s="39"/>
      <c r="AA49" s="190"/>
      <c r="AB49" s="7">
        <f t="shared" si="52"/>
        <v>0</v>
      </c>
      <c r="AC49" s="7" t="s">
        <v>25</v>
      </c>
      <c r="AD49" s="7">
        <f t="shared" si="53"/>
        <v>0</v>
      </c>
      <c r="AE49" s="7">
        <f t="shared" si="53"/>
        <v>0</v>
      </c>
      <c r="AF49" s="7">
        <f t="shared" si="53"/>
        <v>0</v>
      </c>
      <c r="AG49" s="7">
        <f t="shared" si="53"/>
        <v>0</v>
      </c>
      <c r="AH49" s="7">
        <f t="shared" si="53"/>
        <v>0</v>
      </c>
      <c r="AI49" s="7">
        <f t="shared" si="53"/>
        <v>0</v>
      </c>
      <c r="AJ49" s="7">
        <f t="shared" si="53"/>
        <v>0</v>
      </c>
      <c r="AK49" s="7">
        <f t="shared" si="53"/>
        <v>0</v>
      </c>
      <c r="AL49" s="7">
        <f t="shared" si="53"/>
        <v>0</v>
      </c>
      <c r="AM49" s="7">
        <f t="shared" si="53"/>
        <v>0</v>
      </c>
      <c r="AN49" s="7">
        <f t="shared" si="54"/>
        <v>0</v>
      </c>
      <c r="AO49" s="7">
        <f t="shared" si="54"/>
        <v>0</v>
      </c>
      <c r="AP49" s="7">
        <f t="shared" si="54"/>
        <v>0</v>
      </c>
      <c r="AQ49" s="7">
        <f t="shared" si="54"/>
        <v>0</v>
      </c>
      <c r="AR49" s="7">
        <f t="shared" si="54"/>
        <v>0</v>
      </c>
      <c r="AS49" s="7">
        <f t="shared" si="54"/>
        <v>0</v>
      </c>
      <c r="AT49" s="7">
        <f t="shared" si="54"/>
        <v>0</v>
      </c>
      <c r="AU49" s="7">
        <f t="shared" si="55"/>
        <v>0</v>
      </c>
      <c r="AV49" s="7">
        <f t="shared" si="56"/>
        <v>0</v>
      </c>
      <c r="AW49" s="7">
        <f t="shared" si="56"/>
        <v>0</v>
      </c>
      <c r="AX49" s="7"/>
      <c r="AY49" s="7">
        <f>SUM($B$49:B49)</f>
        <v>0</v>
      </c>
      <c r="AZ49" s="7">
        <f>SUM($B$49:C49)</f>
        <v>0</v>
      </c>
      <c r="BA49" s="7">
        <f>SUM($B$49:D49)</f>
        <v>0</v>
      </c>
      <c r="BB49" s="7">
        <f>SUM($B$49:E49)</f>
        <v>0</v>
      </c>
      <c r="BC49" s="7">
        <f>SUM($B$49:F49)</f>
        <v>0</v>
      </c>
      <c r="BD49" s="7">
        <f>SUM($B$49:G49)</f>
        <v>0</v>
      </c>
      <c r="BE49" s="7">
        <f>SUM($B$49:H49)</f>
        <v>0</v>
      </c>
      <c r="BF49" s="7">
        <f>SUM($B$49:I49)</f>
        <v>0</v>
      </c>
      <c r="BG49" s="7">
        <f>SUM($B$49:J49)</f>
        <v>0</v>
      </c>
      <c r="BH49" s="7">
        <f>SUM($B$49:K49)</f>
        <v>0</v>
      </c>
      <c r="BI49" s="7">
        <f>SUM($B$49:L49)</f>
        <v>0</v>
      </c>
      <c r="BJ49" s="7">
        <f>SUM($B$49:M49)</f>
        <v>0</v>
      </c>
      <c r="BK49" s="7">
        <f>SUM($B$49:Q49)</f>
        <v>0</v>
      </c>
      <c r="BL49" s="7">
        <f>SUM($B$49:N49)</f>
        <v>0</v>
      </c>
      <c r="BM49" s="7">
        <f>SUM($B$49:O49)</f>
        <v>0</v>
      </c>
      <c r="BN49" s="7">
        <f>SUM($B$49:P49)</f>
        <v>0</v>
      </c>
      <c r="BO49" s="7">
        <f>SUM($B$49:R49)</f>
        <v>0</v>
      </c>
      <c r="BP49" s="7">
        <f>SUM($B$49:S49)</f>
        <v>0</v>
      </c>
      <c r="BQ49" s="7">
        <f>SUM($B$49:T49)</f>
        <v>0</v>
      </c>
      <c r="BR49" s="7">
        <f>SUM($B$49:V49)</f>
        <v>0</v>
      </c>
      <c r="BS49" s="7">
        <f>SUM($BR$46:BR49)</f>
        <v>0</v>
      </c>
      <c r="BT49">
        <f t="shared" si="6"/>
        <v>0</v>
      </c>
      <c r="BU49">
        <f>SUM($BT$46:BT49)</f>
        <v>0</v>
      </c>
    </row>
    <row r="50" spans="1:73" x14ac:dyDescent="0.35">
      <c r="A50" s="133" t="s">
        <v>26</v>
      </c>
      <c r="B50" s="7"/>
      <c r="C50" s="7"/>
      <c r="D50" s="7"/>
      <c r="E50" s="7"/>
      <c r="F50" s="7"/>
      <c r="G50" s="7"/>
      <c r="H50" s="7"/>
      <c r="I50" s="7"/>
      <c r="J50" s="7"/>
      <c r="K50" s="7"/>
      <c r="L50" s="7"/>
      <c r="M50" s="7"/>
      <c r="N50" s="7"/>
      <c r="O50" s="7"/>
      <c r="P50" s="7"/>
      <c r="Q50" s="7"/>
      <c r="R50" s="7"/>
      <c r="S50" s="7"/>
      <c r="T50" s="7"/>
      <c r="U50" s="7"/>
      <c r="V50" s="7"/>
      <c r="W50" s="7">
        <f t="shared" si="48"/>
        <v>0</v>
      </c>
      <c r="X50" s="7">
        <f t="shared" si="49"/>
        <v>0</v>
      </c>
      <c r="Y50" s="7">
        <f t="shared" si="50"/>
        <v>0</v>
      </c>
      <c r="Z50" s="39"/>
      <c r="AA50" s="190"/>
      <c r="AB50" s="7">
        <f t="shared" si="52"/>
        <v>0</v>
      </c>
      <c r="AC50" s="7" t="s">
        <v>26</v>
      </c>
      <c r="AD50" s="7">
        <f t="shared" si="53"/>
        <v>0</v>
      </c>
      <c r="AE50" s="7">
        <f t="shared" si="53"/>
        <v>0</v>
      </c>
      <c r="AF50" s="7">
        <f t="shared" si="53"/>
        <v>0</v>
      </c>
      <c r="AG50" s="7">
        <f t="shared" si="53"/>
        <v>0</v>
      </c>
      <c r="AH50" s="7">
        <f t="shared" si="53"/>
        <v>0</v>
      </c>
      <c r="AI50" s="7">
        <f t="shared" si="53"/>
        <v>0</v>
      </c>
      <c r="AJ50" s="7">
        <f t="shared" si="53"/>
        <v>0</v>
      </c>
      <c r="AK50" s="7">
        <f t="shared" si="53"/>
        <v>0</v>
      </c>
      <c r="AL50" s="7">
        <f t="shared" si="53"/>
        <v>0</v>
      </c>
      <c r="AM50" s="7">
        <f t="shared" si="53"/>
        <v>0</v>
      </c>
      <c r="AN50" s="7">
        <f t="shared" si="54"/>
        <v>0</v>
      </c>
      <c r="AO50" s="7">
        <f t="shared" si="54"/>
        <v>0</v>
      </c>
      <c r="AP50" s="7">
        <f t="shared" si="54"/>
        <v>0</v>
      </c>
      <c r="AQ50" s="7">
        <f t="shared" si="54"/>
        <v>0</v>
      </c>
      <c r="AR50" s="7">
        <f t="shared" si="54"/>
        <v>0</v>
      </c>
      <c r="AS50" s="7">
        <f t="shared" si="54"/>
        <v>0</v>
      </c>
      <c r="AT50" s="7">
        <f t="shared" si="54"/>
        <v>0</v>
      </c>
      <c r="AU50" s="7">
        <f t="shared" si="55"/>
        <v>0</v>
      </c>
      <c r="AV50" s="7">
        <f t="shared" si="56"/>
        <v>0</v>
      </c>
      <c r="AW50" s="7">
        <f t="shared" si="56"/>
        <v>0</v>
      </c>
      <c r="AX50" s="7"/>
      <c r="AY50" s="7">
        <f>SUM($B$50:B50)</f>
        <v>0</v>
      </c>
      <c r="AZ50" s="7">
        <f>SUM($B$50:C50)</f>
        <v>0</v>
      </c>
      <c r="BA50" s="7">
        <f>SUM($B$50:D50)</f>
        <v>0</v>
      </c>
      <c r="BB50" s="7">
        <f>SUM($B$50:E50)</f>
        <v>0</v>
      </c>
      <c r="BC50" s="7">
        <f>SUM($B$50:F50)</f>
        <v>0</v>
      </c>
      <c r="BD50" s="7">
        <f>SUM($B$50:G50)</f>
        <v>0</v>
      </c>
      <c r="BE50" s="7">
        <f>SUM($B$50:H50)</f>
        <v>0</v>
      </c>
      <c r="BF50" s="7">
        <f>SUM($B$50:I50)</f>
        <v>0</v>
      </c>
      <c r="BG50" s="7">
        <f>SUM($B$50:J50)</f>
        <v>0</v>
      </c>
      <c r="BH50" s="7">
        <f>SUM($B$50:K50)</f>
        <v>0</v>
      </c>
      <c r="BI50" s="7">
        <f>SUM($B$50:L50)</f>
        <v>0</v>
      </c>
      <c r="BJ50" s="7">
        <f>SUM($B$50:M50)</f>
        <v>0</v>
      </c>
      <c r="BK50" s="7">
        <f>SUM($B$50:Q50)</f>
        <v>0</v>
      </c>
      <c r="BL50" s="7">
        <f>SUM($B$50:N50)</f>
        <v>0</v>
      </c>
      <c r="BM50" s="7">
        <f>SUM($B$50:O50)</f>
        <v>0</v>
      </c>
      <c r="BN50" s="7">
        <f>SUM($B$50:P50)</f>
        <v>0</v>
      </c>
      <c r="BO50" s="7">
        <f>SUM($B$50:R50)</f>
        <v>0</v>
      </c>
      <c r="BP50" s="7">
        <f>SUM($B$50:S50)</f>
        <v>0</v>
      </c>
      <c r="BQ50" s="7">
        <f>SUM($B$50:T50)</f>
        <v>0</v>
      </c>
      <c r="BR50" s="7">
        <f>SUM($B$50:V50)</f>
        <v>0</v>
      </c>
      <c r="BS50" s="7">
        <f>SUM($BR$46:BR50)</f>
        <v>0</v>
      </c>
      <c r="BT50">
        <f t="shared" si="6"/>
        <v>0</v>
      </c>
      <c r="BU50">
        <f>SUM($BT$46:BT50)</f>
        <v>0</v>
      </c>
    </row>
    <row r="51" spans="1:73" x14ac:dyDescent="0.35">
      <c r="A51" s="144" t="s">
        <v>27</v>
      </c>
      <c r="B51" s="7"/>
      <c r="C51" s="7"/>
      <c r="D51" s="7"/>
      <c r="E51" s="7"/>
      <c r="F51" s="7"/>
      <c r="G51" s="7"/>
      <c r="H51" s="7"/>
      <c r="I51" s="7"/>
      <c r="J51" s="7"/>
      <c r="K51" s="7"/>
      <c r="L51" s="7"/>
      <c r="M51" s="7"/>
      <c r="N51" s="7"/>
      <c r="O51" s="7"/>
      <c r="P51" s="7"/>
      <c r="Q51" s="7"/>
      <c r="R51" s="7"/>
      <c r="S51" s="7"/>
      <c r="T51" s="7"/>
      <c r="U51" s="7"/>
      <c r="V51" s="7"/>
      <c r="W51" s="7">
        <f t="shared" si="48"/>
        <v>0</v>
      </c>
      <c r="X51" s="7">
        <f t="shared" si="49"/>
        <v>0</v>
      </c>
      <c r="Y51" s="7">
        <f t="shared" si="50"/>
        <v>0</v>
      </c>
      <c r="Z51" s="39"/>
      <c r="AA51" s="190"/>
      <c r="AB51" s="7">
        <f t="shared" si="52"/>
        <v>0</v>
      </c>
      <c r="AC51" s="7" t="s">
        <v>27</v>
      </c>
      <c r="AD51" s="7">
        <f t="shared" si="53"/>
        <v>0</v>
      </c>
      <c r="AE51" s="7">
        <f t="shared" si="53"/>
        <v>0</v>
      </c>
      <c r="AF51" s="7">
        <f t="shared" si="53"/>
        <v>0</v>
      </c>
      <c r="AG51" s="7">
        <f t="shared" si="53"/>
        <v>0</v>
      </c>
      <c r="AH51" s="7">
        <f t="shared" si="53"/>
        <v>0</v>
      </c>
      <c r="AI51" s="7">
        <f t="shared" si="53"/>
        <v>0</v>
      </c>
      <c r="AJ51" s="7">
        <f t="shared" si="53"/>
        <v>0</v>
      </c>
      <c r="AK51" s="7">
        <f t="shared" si="53"/>
        <v>0</v>
      </c>
      <c r="AL51" s="7">
        <f t="shared" si="53"/>
        <v>0</v>
      </c>
      <c r="AM51" s="7">
        <f t="shared" si="53"/>
        <v>0</v>
      </c>
      <c r="AN51" s="7">
        <f t="shared" si="54"/>
        <v>0</v>
      </c>
      <c r="AO51" s="7">
        <f t="shared" si="54"/>
        <v>0</v>
      </c>
      <c r="AP51" s="7">
        <f t="shared" si="54"/>
        <v>0</v>
      </c>
      <c r="AQ51" s="7">
        <f t="shared" si="54"/>
        <v>0</v>
      </c>
      <c r="AR51" s="7">
        <f t="shared" si="54"/>
        <v>0</v>
      </c>
      <c r="AS51" s="7">
        <f t="shared" si="54"/>
        <v>0</v>
      </c>
      <c r="AT51" s="7">
        <f t="shared" si="54"/>
        <v>0</v>
      </c>
      <c r="AU51" s="7">
        <f t="shared" si="55"/>
        <v>0</v>
      </c>
      <c r="AV51" s="7">
        <f t="shared" si="56"/>
        <v>0</v>
      </c>
      <c r="AW51" s="7">
        <f t="shared" si="56"/>
        <v>0</v>
      </c>
      <c r="AX51" s="7"/>
      <c r="AY51" s="7">
        <f>SUM($B$51:B51)</f>
        <v>0</v>
      </c>
      <c r="AZ51" s="7">
        <f>SUM($B$51:C51)</f>
        <v>0</v>
      </c>
      <c r="BA51" s="7">
        <f>SUM($B$51:D51)</f>
        <v>0</v>
      </c>
      <c r="BB51" s="7">
        <f>SUM($B$51:E51)</f>
        <v>0</v>
      </c>
      <c r="BC51" s="7">
        <f>SUM($B$51:F51)</f>
        <v>0</v>
      </c>
      <c r="BD51" s="7">
        <f>SUM($B$51:G51)</f>
        <v>0</v>
      </c>
      <c r="BE51" s="7">
        <f>SUM($B$51:H51)</f>
        <v>0</v>
      </c>
      <c r="BF51" s="7">
        <f>SUM($B$51:I51)</f>
        <v>0</v>
      </c>
      <c r="BG51" s="7">
        <f>SUM($B$51:J51)</f>
        <v>0</v>
      </c>
      <c r="BH51" s="7">
        <f>SUM($B$51:K51)</f>
        <v>0</v>
      </c>
      <c r="BI51" s="7">
        <f>SUM($B$51:L51)</f>
        <v>0</v>
      </c>
      <c r="BJ51" s="7">
        <f>SUM($B$51:M51)</f>
        <v>0</v>
      </c>
      <c r="BK51" s="7">
        <f>SUM($B$51:Q51)</f>
        <v>0</v>
      </c>
      <c r="BL51" s="7">
        <f>SUM($B$51:N51)</f>
        <v>0</v>
      </c>
      <c r="BM51" s="7">
        <f>SUM($B$51:O51)</f>
        <v>0</v>
      </c>
      <c r="BN51" s="7">
        <f>SUM($B$51:P51)</f>
        <v>0</v>
      </c>
      <c r="BO51" s="7">
        <f>SUM($B$51:R51)</f>
        <v>0</v>
      </c>
      <c r="BP51" s="7">
        <f>SUM($B$51:S51)</f>
        <v>0</v>
      </c>
      <c r="BQ51" s="7">
        <f>SUM($B$51:T51)</f>
        <v>0</v>
      </c>
      <c r="BR51" s="7">
        <f>SUM($B$51:V51)</f>
        <v>0</v>
      </c>
      <c r="BS51" s="7">
        <f>SUM($BR$46:BR51)</f>
        <v>0</v>
      </c>
      <c r="BT51">
        <f t="shared" si="6"/>
        <v>0</v>
      </c>
      <c r="BU51">
        <f>SUM($BT$46:BT51)</f>
        <v>0</v>
      </c>
    </row>
    <row r="52" spans="1:73" x14ac:dyDescent="0.35">
      <c r="A52" s="154" t="s">
        <v>28</v>
      </c>
      <c r="B52" s="7"/>
      <c r="C52" s="7"/>
      <c r="D52" s="7"/>
      <c r="E52" s="7"/>
      <c r="F52" s="7"/>
      <c r="G52" s="7"/>
      <c r="H52" s="7"/>
      <c r="I52" s="7"/>
      <c r="J52" s="7"/>
      <c r="K52" s="7"/>
      <c r="L52" s="7"/>
      <c r="M52" s="7"/>
      <c r="N52" s="7"/>
      <c r="O52" s="7"/>
      <c r="P52" s="7"/>
      <c r="Q52" s="7"/>
      <c r="R52" s="7"/>
      <c r="S52" s="7"/>
      <c r="T52" s="7"/>
      <c r="U52" s="7"/>
      <c r="V52" s="7"/>
      <c r="W52" s="7">
        <f t="shared" si="48"/>
        <v>0</v>
      </c>
      <c r="X52" s="7">
        <f t="shared" si="49"/>
        <v>0</v>
      </c>
      <c r="Y52" s="7">
        <f t="shared" si="50"/>
        <v>0</v>
      </c>
      <c r="Z52" s="39"/>
      <c r="AA52" s="190"/>
      <c r="AB52" s="7">
        <f t="shared" si="52"/>
        <v>0</v>
      </c>
      <c r="AC52" s="7" t="s">
        <v>28</v>
      </c>
      <c r="AD52" s="7">
        <f t="shared" si="53"/>
        <v>0</v>
      </c>
      <c r="AE52" s="7">
        <f t="shared" si="53"/>
        <v>0</v>
      </c>
      <c r="AF52" s="7">
        <f t="shared" si="53"/>
        <v>0</v>
      </c>
      <c r="AG52" s="7">
        <f t="shared" si="53"/>
        <v>0</v>
      </c>
      <c r="AH52" s="7">
        <f t="shared" si="53"/>
        <v>0</v>
      </c>
      <c r="AI52" s="7">
        <f t="shared" si="53"/>
        <v>0</v>
      </c>
      <c r="AJ52" s="7">
        <f t="shared" si="53"/>
        <v>0</v>
      </c>
      <c r="AK52" s="7">
        <f t="shared" si="53"/>
        <v>0</v>
      </c>
      <c r="AL52" s="7">
        <f t="shared" si="53"/>
        <v>0</v>
      </c>
      <c r="AM52" s="7">
        <f t="shared" si="53"/>
        <v>0</v>
      </c>
      <c r="AN52" s="7">
        <f t="shared" si="54"/>
        <v>0</v>
      </c>
      <c r="AO52" s="7">
        <f t="shared" si="54"/>
        <v>0</v>
      </c>
      <c r="AP52" s="7">
        <f t="shared" si="54"/>
        <v>0</v>
      </c>
      <c r="AQ52" s="7">
        <f t="shared" si="54"/>
        <v>0</v>
      </c>
      <c r="AR52" s="7">
        <f t="shared" si="54"/>
        <v>0</v>
      </c>
      <c r="AS52" s="7">
        <f t="shared" si="54"/>
        <v>0</v>
      </c>
      <c r="AT52" s="7">
        <f t="shared" si="54"/>
        <v>0</v>
      </c>
      <c r="AU52" s="7">
        <f t="shared" si="55"/>
        <v>0</v>
      </c>
      <c r="AV52" s="7">
        <f t="shared" si="56"/>
        <v>0</v>
      </c>
      <c r="AW52" s="7">
        <f t="shared" si="56"/>
        <v>0</v>
      </c>
      <c r="AX52" s="7"/>
      <c r="AY52" s="7">
        <f>SUM($B$52:B52)</f>
        <v>0</v>
      </c>
      <c r="AZ52" s="7">
        <f>SUM($B$52:C52)</f>
        <v>0</v>
      </c>
      <c r="BA52" s="7">
        <f>SUM($B$52:D52)</f>
        <v>0</v>
      </c>
      <c r="BB52" s="7">
        <f>SUM($B$52:E52)</f>
        <v>0</v>
      </c>
      <c r="BC52" s="7">
        <f>SUM($B$52:F52)</f>
        <v>0</v>
      </c>
      <c r="BD52" s="7">
        <f>SUM($B$52:G52)</f>
        <v>0</v>
      </c>
      <c r="BE52" s="7">
        <f>SUM($B$52:H52)</f>
        <v>0</v>
      </c>
      <c r="BF52" s="7">
        <f>SUM($B$52:I52)</f>
        <v>0</v>
      </c>
      <c r="BG52" s="7">
        <f>SUM($B$52:J52)</f>
        <v>0</v>
      </c>
      <c r="BH52" s="7">
        <f>SUM($B$52:K52)</f>
        <v>0</v>
      </c>
      <c r="BI52" s="7">
        <f>SUM($B$52:L52)</f>
        <v>0</v>
      </c>
      <c r="BJ52" s="7">
        <f>SUM($B$52:M52)</f>
        <v>0</v>
      </c>
      <c r="BK52" s="7">
        <f>SUM($B$52:Q52)</f>
        <v>0</v>
      </c>
      <c r="BL52" s="7">
        <f>SUM($B$52:N52)</f>
        <v>0</v>
      </c>
      <c r="BM52" s="7">
        <f>SUM($B$52:O52)</f>
        <v>0</v>
      </c>
      <c r="BN52" s="7">
        <f>SUM($B$52:P52)</f>
        <v>0</v>
      </c>
      <c r="BO52" s="7">
        <f>SUM($B$52:R52)</f>
        <v>0</v>
      </c>
      <c r="BP52" s="7">
        <f>SUM($B$52:S52)</f>
        <v>0</v>
      </c>
      <c r="BQ52" s="7">
        <f>SUM($B$52:T52)</f>
        <v>0</v>
      </c>
      <c r="BR52" s="7">
        <f>SUM($B$52:V52)</f>
        <v>0</v>
      </c>
      <c r="BS52" s="7">
        <f>SUM($BR$46:BR52)</f>
        <v>0</v>
      </c>
      <c r="BT52">
        <f t="shared" si="6"/>
        <v>0</v>
      </c>
      <c r="BU52">
        <f>SUM($BT$46:BT52)</f>
        <v>0</v>
      </c>
    </row>
    <row r="53" spans="1:73" ht="15" customHeight="1" x14ac:dyDescent="0.35">
      <c r="A53" s="35" t="s">
        <v>29</v>
      </c>
      <c r="B53" s="7">
        <f t="shared" ref="B53:T53" si="57">SUM(B46:B52)</f>
        <v>0</v>
      </c>
      <c r="C53" s="7">
        <f t="shared" si="57"/>
        <v>0</v>
      </c>
      <c r="D53" s="7">
        <f t="shared" si="57"/>
        <v>0</v>
      </c>
      <c r="E53" s="7">
        <f t="shared" si="57"/>
        <v>0</v>
      </c>
      <c r="F53" s="7">
        <f t="shared" si="57"/>
        <v>0</v>
      </c>
      <c r="G53" s="7">
        <f t="shared" si="57"/>
        <v>0</v>
      </c>
      <c r="H53" s="7">
        <f t="shared" si="57"/>
        <v>0</v>
      </c>
      <c r="I53" s="7">
        <f t="shared" si="57"/>
        <v>0</v>
      </c>
      <c r="J53" s="7">
        <f t="shared" si="57"/>
        <v>0</v>
      </c>
      <c r="K53" s="7">
        <f>SUM(K46:K52)</f>
        <v>0</v>
      </c>
      <c r="L53" s="7">
        <f t="shared" si="57"/>
        <v>0</v>
      </c>
      <c r="M53" s="7">
        <f t="shared" si="57"/>
        <v>0</v>
      </c>
      <c r="N53" s="7">
        <f t="shared" si="57"/>
        <v>0</v>
      </c>
      <c r="O53" s="7">
        <f t="shared" si="57"/>
        <v>0</v>
      </c>
      <c r="P53" s="7">
        <f t="shared" si="57"/>
        <v>0</v>
      </c>
      <c r="Q53" s="7">
        <f>SUM(Q46:Q52)</f>
        <v>0</v>
      </c>
      <c r="R53" s="7">
        <f t="shared" si="57"/>
        <v>0</v>
      </c>
      <c r="S53" s="7">
        <f t="shared" si="57"/>
        <v>0</v>
      </c>
      <c r="T53" s="7">
        <f t="shared" si="57"/>
        <v>0</v>
      </c>
      <c r="U53" s="7">
        <f t="shared" ref="U53" si="58">SUM(U46:U52)</f>
        <v>0</v>
      </c>
      <c r="V53" s="7">
        <f>SUM(V46:V52)</f>
        <v>0</v>
      </c>
      <c r="W53" s="31">
        <f>SUM(W46:W52)</f>
        <v>0</v>
      </c>
      <c r="X53" s="7"/>
      <c r="Y53" s="7"/>
      <c r="Z53" s="39" t="s">
        <v>173</v>
      </c>
      <c r="AA53" s="190"/>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row>
    <row r="54" spans="1:73" ht="14.5" customHeight="1" x14ac:dyDescent="0.35">
      <c r="A54" s="35" t="s">
        <v>33</v>
      </c>
      <c r="B54" s="7">
        <f t="shared" ref="B54:T54" si="59">B53-B39</f>
        <v>0</v>
      </c>
      <c r="C54" s="7">
        <f t="shared" si="59"/>
        <v>0</v>
      </c>
      <c r="D54" s="7">
        <f t="shared" si="59"/>
        <v>0</v>
      </c>
      <c r="E54" s="7">
        <f t="shared" si="59"/>
        <v>0</v>
      </c>
      <c r="F54" s="7">
        <f t="shared" si="59"/>
        <v>0</v>
      </c>
      <c r="G54" s="7">
        <f t="shared" si="59"/>
        <v>0</v>
      </c>
      <c r="H54" s="7">
        <f t="shared" si="59"/>
        <v>0</v>
      </c>
      <c r="I54" s="7">
        <f t="shared" si="59"/>
        <v>0</v>
      </c>
      <c r="J54" s="7">
        <f t="shared" si="59"/>
        <v>0</v>
      </c>
      <c r="K54" s="7">
        <f>K53-K39</f>
        <v>0</v>
      </c>
      <c r="L54" s="7">
        <f t="shared" si="59"/>
        <v>0</v>
      </c>
      <c r="M54" s="7">
        <f t="shared" si="59"/>
        <v>0</v>
      </c>
      <c r="N54" s="7">
        <f t="shared" si="59"/>
        <v>0</v>
      </c>
      <c r="O54" s="7">
        <f t="shared" si="59"/>
        <v>0</v>
      </c>
      <c r="P54" s="7">
        <f t="shared" si="59"/>
        <v>0</v>
      </c>
      <c r="Q54" s="7">
        <f>Q53-Q39</f>
        <v>0</v>
      </c>
      <c r="R54" s="7">
        <f t="shared" si="59"/>
        <v>0</v>
      </c>
      <c r="S54" s="7">
        <f t="shared" si="59"/>
        <v>0</v>
      </c>
      <c r="T54" s="7">
        <f t="shared" si="59"/>
        <v>0</v>
      </c>
      <c r="U54" s="7">
        <f t="shared" ref="U54" si="60">U53-U39</f>
        <v>0</v>
      </c>
      <c r="V54" s="7">
        <f>V53-V39</f>
        <v>0</v>
      </c>
      <c r="W54" s="7">
        <f>SUM(B54:V54)</f>
        <v>0</v>
      </c>
      <c r="X54" s="7"/>
      <c r="Y54" s="7"/>
      <c r="Z54" s="39"/>
      <c r="AA54" s="190"/>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row>
    <row r="55" spans="1:73" ht="14.5" customHeight="1" x14ac:dyDescent="0.35">
      <c r="A55" s="35" t="s">
        <v>110</v>
      </c>
      <c r="B55" s="7" cm="1">
        <f t="array" ref="B55">IF(COUNTIF(AD46:AD52,0)=0,
    LOOKUP(2,1/(AD46:AD52&lt;&gt;""),AD46:AD52),
    MATCH(0,INDEX(AD46:AD52,MAX(ROW(AD46:AD52))-ROW(AD46:AD52)+1),0)-1
)</f>
        <v>0</v>
      </c>
      <c r="C55" s="7" cm="1">
        <f t="array" ref="C55">IF(COUNTIF(AE46:AE52,0)=0,
    LOOKUP(2,1/(AE46:AE52&lt;&gt;""),AE46:AE52),
    MATCH(0,INDEX(AE46:AE52,MAX(ROW(AE46:AE52))-ROW(AE46:AE52)+1),0)-1
)</f>
        <v>0</v>
      </c>
      <c r="D55" s="7" cm="1">
        <f t="array" ref="D55">IF(COUNTIF(AF46:AF52,0)=0,
    LOOKUP(2,1/(AF46:AF52&lt;&gt;""),AF46:AF52),
    MATCH(0,INDEX(AF46:AF52,MAX(ROW(AF46:AF52))-ROW(AF46:AF52)+1),0)-1
)</f>
        <v>0</v>
      </c>
      <c r="E55" s="7" cm="1">
        <f t="array" ref="E55">IF(COUNTIF(AG46:AG52,0)=0,
    LOOKUP(2,1/(AG46:AG52&lt;&gt;""),AG46:AG52),
    MATCH(0,INDEX(AG46:AG52,MAX(ROW(AG46:AG52))-ROW(AG46:AG52)+1),0)-1
)</f>
        <v>0</v>
      </c>
      <c r="F55" s="7" cm="1">
        <f t="array" ref="F55">IF(COUNTIF(AH46:AH52,0)=0,
    LOOKUP(2,1/(AH46:AH52&lt;&gt;""),AH46:AH52),
    MATCH(0,INDEX(AH46:AH52,MAX(ROW(AH46:AH52))-ROW(AH46:AH52)+1),0)-1
)</f>
        <v>0</v>
      </c>
      <c r="G55" s="7" cm="1">
        <f t="array" ref="G55">IF(COUNTIF(AI46:AI52,0)=0,
    LOOKUP(2,1/(AI46:AI52&lt;&gt;""),AI46:AI52),
    MATCH(0,INDEX(AI46:AI52,MAX(ROW(AI46:AI52))-ROW(AI46:AI52)+1),0)-1
)</f>
        <v>0</v>
      </c>
      <c r="H55" s="7" cm="1">
        <f t="array" ref="H55">IF(COUNTIF(AJ46:AJ52,0)=0,
    LOOKUP(2,1/(AJ46:AJ52&lt;&gt;""),AJ46:AJ52),
    MATCH(0,INDEX(AJ46:AJ52,MAX(ROW(AJ46:AJ52))-ROW(AJ46:AJ52)+1),0)-1
)</f>
        <v>0</v>
      </c>
      <c r="I55" s="7" cm="1">
        <f t="array" ref="I55">IF(COUNTIF(AK46:AK52,0)=0,
    LOOKUP(2,1/(AK46:AK52&lt;&gt;""),AK46:AK52),
    MATCH(0,INDEX(AK46:AK52,MAX(ROW(AK46:AK52))-ROW(AK46:AK52)+1),0)-1
)</f>
        <v>0</v>
      </c>
      <c r="J55" s="7" cm="1">
        <f t="array" ref="J55">IF(COUNTIF(AL46:AL52,0)=0,
    LOOKUP(2,1/(AL46:AL52&lt;&gt;""),AL46:AL52),
    MATCH(0,INDEX(AL46:AL52,MAX(ROW(AL46:AL52))-ROW(AL46:AL52)+1),0)-1
)</f>
        <v>0</v>
      </c>
      <c r="K55" s="7" cm="1">
        <f t="array" ref="K55">IF(COUNTIF(AM46:AM52,0)=0,
    LOOKUP(2,1/(AM46:AM52&lt;&gt;""),AM46:AM52),
    MATCH(0,INDEX(AM46:AM52,MAX(ROW(AM46:AM52))-ROW(AM46:AM52)+1),0)-1
)</f>
        <v>0</v>
      </c>
      <c r="L55" s="7" cm="1">
        <f t="array" ref="L55">IF(COUNTIF(AN46:AN52,0)=0,
    LOOKUP(2,1/(AN46:AN52&lt;&gt;""),AN46:AN52),
    MATCH(0,INDEX(AN46:AN52,MAX(ROW(AN46:AN52))-ROW(AN46:AN52)+1),0)-1
)</f>
        <v>0</v>
      </c>
      <c r="M55" s="7" cm="1">
        <f t="array" ref="M55">IF(COUNTIF(AO46:AO52,0)=0,
    LOOKUP(2,1/(AO46:AO52&lt;&gt;""),AO46:AO52),
    MATCH(0,INDEX(AO46:AO52,MAX(ROW(AO46:AO52))-ROW(AO46:AO52)+1),0)-1
)</f>
        <v>0</v>
      </c>
      <c r="N55" s="7" cm="1">
        <f t="array" ref="N55">IF(COUNTIF(AP46:AP52,0)=0,
    LOOKUP(2,1/(AP46:AP52&lt;&gt;""),AP46:AP52),
    MATCH(0,INDEX(AP46:AP52,MAX(ROW(AP46:AP52))-ROW(AP46:AP52)+1),0)-1
)</f>
        <v>0</v>
      </c>
      <c r="O55" s="7" cm="1">
        <f t="array" ref="O55">IF(COUNTIF(AQ46:AQ52,0)=0,
    LOOKUP(2,1/(AQ46:AQ52&lt;&gt;""),AQ46:AQ52),
    MATCH(0,INDEX(AQ46:AQ52,MAX(ROW(AQ46:AQ52))-ROW(AQ46:AQ52)+1),0)-1
)</f>
        <v>0</v>
      </c>
      <c r="P55" s="7" cm="1">
        <f t="array" ref="P55">IF(COUNTIF(AR46:AR52,0)=0,
    LOOKUP(2,1/(AR46:AR52&lt;&gt;""),AR46:AR52),
    MATCH(0,INDEX(AR46:AR52,MAX(ROW(AR46:AR52))-ROW(AR46:AR52)+1),0)-1
)</f>
        <v>0</v>
      </c>
      <c r="Q55" s="7" cm="1">
        <f t="array" ref="Q55">IF(COUNTIF(AS46:AS52,0)=0,
    LOOKUP(2,1/(AS46:AS52&lt;&gt;""),AS46:AS52),
    MATCH(0,INDEX(AS46:AS52,MAX(ROW(AS46:AS52))-ROW(AS46:AS52)+1),0)-1
)</f>
        <v>0</v>
      </c>
      <c r="R55" s="7" cm="1">
        <f t="array" ref="R55">IF(COUNTIF(AT46:AT52,0)=0,
    LOOKUP(2,1/(AT46:AT52&lt;&gt;""),AT46:AT52),
    MATCH(0,INDEX(AT46:AT52,MAX(ROW(AT46:AT52))-ROW(AT46:AT52)+1),0)-1
)</f>
        <v>0</v>
      </c>
      <c r="S55" s="7" cm="1">
        <f t="array" ref="S55">IF(COUNTIF(AU46:AU52,0)=0,
    LOOKUP(2,1/(AU46:AU52&lt;&gt;""),AU46:AU52),
    MATCH(0,INDEX(AU46:AU52,MAX(ROW(AU46:AU52))-ROW(AU46:AU52)+1),0)-1
)</f>
        <v>0</v>
      </c>
      <c r="T55" s="7" cm="1">
        <f t="array" ref="T55">IF(COUNTIF(AV46:AV52,0)=0,
    LOOKUP(2,1/(AV46:AV52&lt;&gt;""),AV46:AV52),
    MATCH(0,INDEX(AV46:AV52,MAX(ROW(AV46:AV52))-ROW(AV46:AV52)+1),0)-1
)</f>
        <v>0</v>
      </c>
      <c r="U55" s="7" cm="1">
        <f t="array" ref="U55">IF(COUNTIF(AW46:AW52,0)=0,
    LOOKUP(2,1/(AW46:AW52&lt;&gt;""),AW46:AW52),
    MATCH(0,INDEX(AW46:AW52,MAX(ROW(AW46:AW52))-ROW(AW46:AW52)+1),0)-1
)</f>
        <v>0</v>
      </c>
      <c r="V55" s="7" cm="1">
        <f t="array" ref="V55">IF(COUNTIF(Y46:Y52,0)=0,
    LOOKUP(2,1/(Y46:Y52&lt;&gt;""),Y46:Y52),
    MATCH(0,INDEX(Y46:Y52,MAX(ROW(Y46:Y52))-ROW(Y46:Y52)+1),0)-1
)</f>
        <v>0</v>
      </c>
      <c r="W55" s="7"/>
      <c r="X55" s="7"/>
      <c r="Y55" s="7"/>
      <c r="Z55" s="39"/>
      <c r="AA55" s="190"/>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row>
    <row r="56" spans="1:73" ht="14.5" customHeight="1" x14ac:dyDescent="0.35">
      <c r="A56" s="35" t="s">
        <v>99</v>
      </c>
      <c r="B56" s="7">
        <f>B53+B42</f>
        <v>2</v>
      </c>
      <c r="C56" s="7">
        <f t="shared" ref="C56:T56" si="61">C53+C42</f>
        <v>0</v>
      </c>
      <c r="D56" s="7">
        <f t="shared" si="61"/>
        <v>5</v>
      </c>
      <c r="E56" s="7">
        <f t="shared" si="61"/>
        <v>9</v>
      </c>
      <c r="F56" s="7">
        <f t="shared" si="61"/>
        <v>4</v>
      </c>
      <c r="G56" s="7">
        <f t="shared" si="61"/>
        <v>0</v>
      </c>
      <c r="H56" s="7">
        <f t="shared" si="61"/>
        <v>0</v>
      </c>
      <c r="I56" s="7">
        <f t="shared" si="61"/>
        <v>3</v>
      </c>
      <c r="J56" s="7">
        <f t="shared" si="61"/>
        <v>0</v>
      </c>
      <c r="K56" s="7">
        <f>K53+K42</f>
        <v>0.75</v>
      </c>
      <c r="L56" s="7">
        <f t="shared" si="61"/>
        <v>2</v>
      </c>
      <c r="M56" s="7">
        <f t="shared" si="61"/>
        <v>1</v>
      </c>
      <c r="N56" s="7">
        <f t="shared" si="61"/>
        <v>2.5</v>
      </c>
      <c r="O56" s="7">
        <f t="shared" si="61"/>
        <v>2</v>
      </c>
      <c r="P56" s="7">
        <f t="shared" si="61"/>
        <v>0</v>
      </c>
      <c r="Q56" s="7">
        <f>Q53+Q42</f>
        <v>0</v>
      </c>
      <c r="R56" s="7">
        <f t="shared" si="61"/>
        <v>1</v>
      </c>
      <c r="S56" s="7">
        <f t="shared" si="61"/>
        <v>3</v>
      </c>
      <c r="T56" s="7">
        <f t="shared" si="61"/>
        <v>0</v>
      </c>
      <c r="U56" s="7">
        <f t="shared" ref="U56" si="62">U53+U42</f>
        <v>-1</v>
      </c>
      <c r="V56" s="7">
        <f>V53+V42</f>
        <v>2</v>
      </c>
      <c r="W56" s="7">
        <f>SUM(W42,W53)</f>
        <v>36.25</v>
      </c>
      <c r="X56" s="7"/>
      <c r="Y56" s="7">
        <f>SUM(Y46:Y52)</f>
        <v>0</v>
      </c>
      <c r="Z56" s="39"/>
      <c r="AA56" s="190"/>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row>
    <row r="57" spans="1:73" x14ac:dyDescent="0.35">
      <c r="A57" s="35" t="s">
        <v>112</v>
      </c>
      <c r="B57" s="174">
        <f>(COUNTIF(B4:B10, "&gt;0")+COUNTIF(B18:B24, "&gt;0")+COUNTIF(B32:B38, "&gt;0") + COUNTIF(B46:B52, "&gt;0")) / 28</f>
        <v>3.5714285714285712E-2</v>
      </c>
      <c r="C57" s="174">
        <f t="shared" ref="C57:O57" si="63">(COUNTIF(C4:C10, "&gt;0")+COUNTIF(C18:C24, "&gt;0")+COUNTIF(C32:C38, "&gt;0") + COUNTIF(C46:C52, "&gt;0")) / 28</f>
        <v>0</v>
      </c>
      <c r="D57" s="174">
        <f t="shared" si="63"/>
        <v>3.5714285714285712E-2</v>
      </c>
      <c r="E57" s="174">
        <f t="shared" si="63"/>
        <v>3.5714285714285712E-2</v>
      </c>
      <c r="F57" s="174">
        <f t="shared" si="63"/>
        <v>3.5714285714285712E-2</v>
      </c>
      <c r="G57" s="174">
        <f t="shared" si="63"/>
        <v>0</v>
      </c>
      <c r="H57" s="174">
        <f t="shared" si="63"/>
        <v>0</v>
      </c>
      <c r="I57" s="174">
        <f t="shared" si="63"/>
        <v>3.5714285714285712E-2</v>
      </c>
      <c r="J57" s="174">
        <f t="shared" si="63"/>
        <v>0</v>
      </c>
      <c r="K57" s="174">
        <f t="shared" si="63"/>
        <v>3.5714285714285712E-2</v>
      </c>
      <c r="L57" s="174">
        <f t="shared" si="63"/>
        <v>3.5714285714285712E-2</v>
      </c>
      <c r="M57" s="174">
        <f t="shared" si="63"/>
        <v>3.5714285714285712E-2</v>
      </c>
      <c r="N57" s="174">
        <f t="shared" si="63"/>
        <v>3.5714285714285712E-2</v>
      </c>
      <c r="O57" s="174">
        <f t="shared" si="63"/>
        <v>3.5714285714285712E-2</v>
      </c>
      <c r="P57" s="7"/>
      <c r="Q57" s="7"/>
      <c r="R57" s="7"/>
      <c r="S57" s="7"/>
      <c r="T57" s="7"/>
      <c r="U57" s="35" t="s">
        <v>31</v>
      </c>
      <c r="V57" s="7">
        <f>SUMIF(B53:V53,"&lt;0",B53:V53)</f>
        <v>0</v>
      </c>
      <c r="W57" s="7">
        <f>SUMIF(B53:V53,"&gt;0",B53:V53)</f>
        <v>0</v>
      </c>
      <c r="Y57" s="7"/>
      <c r="Z57" s="39"/>
      <c r="AA57" s="190"/>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row>
    <row r="58" spans="1:73" x14ac:dyDescent="0.35">
      <c r="A58" s="7"/>
      <c r="B58" s="7"/>
      <c r="C58" s="7"/>
      <c r="D58" s="7"/>
      <c r="E58" s="7"/>
      <c r="F58" s="7"/>
      <c r="G58" s="7"/>
      <c r="H58" s="7"/>
      <c r="I58" s="7"/>
      <c r="J58" s="7"/>
      <c r="K58" s="7"/>
      <c r="L58" s="7"/>
      <c r="M58" s="7"/>
      <c r="N58" s="7"/>
      <c r="O58" s="7"/>
      <c r="P58" s="7"/>
      <c r="Q58" s="7"/>
      <c r="R58" s="7"/>
      <c r="S58" s="7"/>
      <c r="T58" s="7"/>
      <c r="U58" s="7"/>
      <c r="V58" s="7"/>
      <c r="W58" s="7"/>
      <c r="X58" s="7"/>
      <c r="Y58" s="7"/>
      <c r="Z58" s="11"/>
      <c r="AA58" s="11"/>
      <c r="AB58" s="7"/>
      <c r="AC58" s="7"/>
      <c r="AD58" s="7"/>
      <c r="AE58" s="7"/>
      <c r="AF58" s="7"/>
      <c r="AG58" s="7"/>
      <c r="AH58" s="7"/>
      <c r="AI58" s="7"/>
      <c r="AJ58" s="7"/>
      <c r="AK58" s="7"/>
      <c r="AL58" s="7"/>
      <c r="AM58" s="7"/>
      <c r="AN58" s="7"/>
      <c r="AO58" s="7"/>
      <c r="AP58" s="7"/>
      <c r="AQ58" s="7"/>
      <c r="AR58" s="7"/>
      <c r="AS58" s="7"/>
      <c r="AT58" s="7"/>
      <c r="AU58" s="7"/>
      <c r="AV58" s="7"/>
      <c r="AW58" s="7"/>
      <c r="AX58" s="7"/>
      <c r="AY58" s="7" t="s">
        <v>124</v>
      </c>
      <c r="AZ58" s="7"/>
      <c r="BA58" s="7"/>
      <c r="BB58" s="7"/>
      <c r="BC58" s="7"/>
      <c r="BD58" s="7"/>
      <c r="BE58" s="7"/>
      <c r="BF58" s="7"/>
      <c r="BG58" s="7"/>
      <c r="BH58" s="7"/>
      <c r="BI58" s="7"/>
      <c r="BJ58" s="7"/>
      <c r="BK58" s="7"/>
      <c r="BL58" s="7"/>
      <c r="BM58" s="7"/>
      <c r="BN58" s="7"/>
      <c r="BO58" s="7"/>
      <c r="BP58" s="7"/>
      <c r="BQ58" s="7"/>
      <c r="BR58" s="7"/>
      <c r="BS58" s="7"/>
    </row>
    <row r="59" spans="1:73" ht="29" x14ac:dyDescent="0.35">
      <c r="A59" s="100" t="s">
        <v>37</v>
      </c>
      <c r="B59" s="42">
        <f>C45+1</f>
        <v>46055</v>
      </c>
      <c r="C59" s="42">
        <f>B59+6</f>
        <v>46061</v>
      </c>
      <c r="D59" s="108"/>
      <c r="E59" s="7"/>
      <c r="F59" s="7"/>
      <c r="G59" s="7"/>
      <c r="H59" s="7"/>
      <c r="I59" s="7"/>
      <c r="J59" s="7"/>
      <c r="K59" s="7"/>
      <c r="L59" s="7"/>
      <c r="M59" s="7"/>
      <c r="N59" s="7"/>
      <c r="O59" s="7"/>
      <c r="P59" s="7"/>
      <c r="Q59" s="7"/>
      <c r="R59" s="7"/>
      <c r="S59" s="7"/>
      <c r="T59" s="7"/>
      <c r="U59" s="7"/>
      <c r="V59" s="7"/>
      <c r="W59" s="7"/>
      <c r="X59" s="7"/>
      <c r="Y59" s="7"/>
      <c r="Z59" s="11"/>
      <c r="AA59" s="11"/>
      <c r="AB59" s="7"/>
      <c r="AC59" s="7" t="s">
        <v>66</v>
      </c>
      <c r="AD59" s="7"/>
      <c r="AE59" s="7"/>
      <c r="AF59" s="7"/>
      <c r="AG59" s="7"/>
      <c r="AH59" s="7"/>
      <c r="AI59" s="7"/>
      <c r="AJ59" s="7"/>
      <c r="AK59" s="7"/>
      <c r="AL59" s="7"/>
      <c r="AM59" s="7"/>
      <c r="AN59" s="7"/>
      <c r="AO59" s="7"/>
      <c r="AP59" s="7"/>
      <c r="AQ59" s="7"/>
      <c r="AR59" s="7"/>
      <c r="AS59" s="7"/>
      <c r="AT59" s="7"/>
      <c r="AU59" s="7"/>
      <c r="AV59" s="7"/>
      <c r="AW59" s="7"/>
      <c r="AX59" s="7"/>
      <c r="AY59" s="12" t="s">
        <v>1</v>
      </c>
      <c r="AZ59" s="12" t="s">
        <v>2</v>
      </c>
      <c r="BA59" s="12" t="s">
        <v>3</v>
      </c>
      <c r="BB59" s="12" t="s">
        <v>4</v>
      </c>
      <c r="BC59" s="12" t="s">
        <v>5</v>
      </c>
      <c r="BD59" s="12" t="s">
        <v>6</v>
      </c>
      <c r="BE59" s="12" t="s">
        <v>7</v>
      </c>
      <c r="BF59" s="12" t="s">
        <v>8</v>
      </c>
      <c r="BG59" s="12" t="s">
        <v>9</v>
      </c>
      <c r="BH59" s="12" t="s">
        <v>10</v>
      </c>
      <c r="BI59" s="12" t="s">
        <v>11</v>
      </c>
      <c r="BJ59" s="12" t="s">
        <v>12</v>
      </c>
      <c r="BK59" s="12" t="s">
        <v>13</v>
      </c>
      <c r="BL59" s="12" t="s">
        <v>14</v>
      </c>
      <c r="BM59" s="12" t="s">
        <v>15</v>
      </c>
      <c r="BN59" s="12" t="s">
        <v>16</v>
      </c>
      <c r="BO59" s="12" t="s">
        <v>17</v>
      </c>
      <c r="BP59" s="12" t="s">
        <v>18</v>
      </c>
      <c r="BQ59" s="12" t="s">
        <v>19</v>
      </c>
      <c r="BR59" s="12" t="s">
        <v>20</v>
      </c>
      <c r="BS59" s="12">
        <v>0</v>
      </c>
      <c r="BU59">
        <v>0</v>
      </c>
    </row>
    <row r="60" spans="1:73" x14ac:dyDescent="0.35">
      <c r="A60" s="78" t="s">
        <v>22</v>
      </c>
      <c r="B60" s="7"/>
      <c r="C60" s="7"/>
      <c r="D60" s="7"/>
      <c r="E60" s="7"/>
      <c r="F60" s="7"/>
      <c r="G60" s="7"/>
      <c r="H60" s="7"/>
      <c r="I60" s="7"/>
      <c r="J60" s="7"/>
      <c r="K60" s="7"/>
      <c r="L60" s="7"/>
      <c r="M60" s="7"/>
      <c r="N60" s="7"/>
      <c r="O60" s="7"/>
      <c r="P60" s="7"/>
      <c r="Q60" s="7"/>
      <c r="R60" s="7"/>
      <c r="S60" s="7"/>
      <c r="T60" s="7"/>
      <c r="U60" s="7"/>
      <c r="V60" s="7"/>
      <c r="W60" s="7">
        <f t="shared" ref="W60:W66" si="64">SUM(B60:V60)</f>
        <v>0</v>
      </c>
      <c r="X60" s="7">
        <f t="shared" ref="X60:X66" si="65">SUM(AD60:AW60)*0.1</f>
        <v>0</v>
      </c>
      <c r="Y60" s="7">
        <f t="shared" ref="Y60:Y66" si="66">W60+X60</f>
        <v>0</v>
      </c>
      <c r="Z60" s="49"/>
      <c r="AA60" s="191"/>
      <c r="AB60" s="7">
        <f t="shared" ref="AB60:AB66" si="67">AB46+W60</f>
        <v>36.25</v>
      </c>
      <c r="AC60" s="7" t="s">
        <v>22</v>
      </c>
      <c r="AD60" s="7">
        <f t="shared" ref="AD60:AW60" si="68">IF(B60 &gt; 0, IF(AD52&gt; 0, AD52+ 1, 0.1), 0)</f>
        <v>0</v>
      </c>
      <c r="AE60" s="7">
        <f t="shared" si="68"/>
        <v>0</v>
      </c>
      <c r="AF60" s="7">
        <f t="shared" si="68"/>
        <v>0</v>
      </c>
      <c r="AG60" s="7">
        <f t="shared" si="68"/>
        <v>0</v>
      </c>
      <c r="AH60" s="7">
        <f t="shared" si="68"/>
        <v>0</v>
      </c>
      <c r="AI60" s="7">
        <f t="shared" si="68"/>
        <v>0</v>
      </c>
      <c r="AJ60" s="7">
        <f t="shared" si="68"/>
        <v>0</v>
      </c>
      <c r="AK60" s="7">
        <f t="shared" si="68"/>
        <v>0</v>
      </c>
      <c r="AL60" s="7">
        <f t="shared" si="68"/>
        <v>0</v>
      </c>
      <c r="AM60" s="7">
        <f t="shared" si="68"/>
        <v>0</v>
      </c>
      <c r="AN60" s="7">
        <f t="shared" si="68"/>
        <v>0</v>
      </c>
      <c r="AO60" s="7">
        <f t="shared" si="68"/>
        <v>0</v>
      </c>
      <c r="AP60" s="7">
        <f t="shared" si="68"/>
        <v>0</v>
      </c>
      <c r="AQ60" s="7">
        <f t="shared" si="68"/>
        <v>0</v>
      </c>
      <c r="AR60" s="7">
        <f t="shared" si="68"/>
        <v>0</v>
      </c>
      <c r="AS60" s="7">
        <f t="shared" si="68"/>
        <v>0</v>
      </c>
      <c r="AT60" s="7">
        <f t="shared" si="68"/>
        <v>0</v>
      </c>
      <c r="AU60" s="7">
        <f t="shared" si="68"/>
        <v>0</v>
      </c>
      <c r="AV60" s="7">
        <f t="shared" si="68"/>
        <v>0</v>
      </c>
      <c r="AW60" s="7">
        <f t="shared" si="68"/>
        <v>0</v>
      </c>
      <c r="AX60" s="7"/>
      <c r="AY60" s="7">
        <f>SUM($B$60:B60)</f>
        <v>0</v>
      </c>
      <c r="AZ60" s="7">
        <f>SUM($B$60:C60)</f>
        <v>0</v>
      </c>
      <c r="BA60" s="7">
        <f>SUM($B$60:D60)</f>
        <v>0</v>
      </c>
      <c r="BB60" s="7">
        <f>SUM($B$60:E60)</f>
        <v>0</v>
      </c>
      <c r="BC60" s="7">
        <f>SUM($B$60:F60)</f>
        <v>0</v>
      </c>
      <c r="BD60" s="7">
        <f>SUM($B$60:G60)</f>
        <v>0</v>
      </c>
      <c r="BE60" s="7">
        <f>SUM($B$60:H60)</f>
        <v>0</v>
      </c>
      <c r="BF60" s="7">
        <f>SUM($B$60:I60)</f>
        <v>0</v>
      </c>
      <c r="BG60" s="7">
        <f>SUM($B$60:J60)</f>
        <v>0</v>
      </c>
      <c r="BH60" s="7">
        <f>SUM($B$60:K60)</f>
        <v>0</v>
      </c>
      <c r="BI60" s="7">
        <f>SUM($B$60:L60)</f>
        <v>0</v>
      </c>
      <c r="BJ60" s="7">
        <f>SUM($B$60:M60)</f>
        <v>0</v>
      </c>
      <c r="BK60" s="7">
        <f>SUM($B$60:Q60)</f>
        <v>0</v>
      </c>
      <c r="BL60" s="7">
        <f>SUM($B$60:N60)</f>
        <v>0</v>
      </c>
      <c r="BM60" s="7">
        <f>SUM($B$60:O60)</f>
        <v>0</v>
      </c>
      <c r="BN60" s="7">
        <f>SUM($B$60:P60)</f>
        <v>0</v>
      </c>
      <c r="BO60" s="7">
        <f>SUM($B$60:R60)</f>
        <v>0</v>
      </c>
      <c r="BP60" s="7">
        <f>SUM($B$60:S60)</f>
        <v>0</v>
      </c>
      <c r="BQ60" s="7">
        <f>SUM($B$60:T60)</f>
        <v>0</v>
      </c>
      <c r="BR60" s="7">
        <f>SUM($B$60:V60)</f>
        <v>0</v>
      </c>
      <c r="BS60" s="7">
        <f>SUM($BR$60:BR60)</f>
        <v>0</v>
      </c>
      <c r="BT60">
        <f t="shared" si="6"/>
        <v>0</v>
      </c>
      <c r="BU60">
        <f>SUM($BT$60:BT60)</f>
        <v>0</v>
      </c>
    </row>
    <row r="61" spans="1:73" x14ac:dyDescent="0.35">
      <c r="A61" s="89" t="s">
        <v>23</v>
      </c>
      <c r="B61" s="7"/>
      <c r="C61" s="7"/>
      <c r="D61" s="7"/>
      <c r="E61" s="7"/>
      <c r="F61" s="7"/>
      <c r="G61" s="7"/>
      <c r="H61" s="7"/>
      <c r="I61" s="7"/>
      <c r="J61" s="7"/>
      <c r="K61" s="7"/>
      <c r="L61" s="7"/>
      <c r="M61" s="7"/>
      <c r="N61" s="7"/>
      <c r="O61" s="7"/>
      <c r="P61" s="7"/>
      <c r="Q61" s="7"/>
      <c r="R61" s="7"/>
      <c r="S61" s="7"/>
      <c r="T61" s="7"/>
      <c r="U61" s="7"/>
      <c r="V61" s="7"/>
      <c r="W61" s="7">
        <f t="shared" si="64"/>
        <v>0</v>
      </c>
      <c r="X61" s="7">
        <f t="shared" si="65"/>
        <v>0</v>
      </c>
      <c r="Y61" s="7">
        <f t="shared" si="66"/>
        <v>0</v>
      </c>
      <c r="Z61" s="49"/>
      <c r="AA61" s="191"/>
      <c r="AB61" s="7">
        <f t="shared" si="67"/>
        <v>0</v>
      </c>
      <c r="AC61" s="7" t="s">
        <v>23</v>
      </c>
      <c r="AD61" s="7">
        <f t="shared" ref="AD61:AM66" si="69">IF(B61 &gt; 0, IF(AD60 &gt; 0, AD60 + 1, 0.1), 0)</f>
        <v>0</v>
      </c>
      <c r="AE61" s="7">
        <f t="shared" si="69"/>
        <v>0</v>
      </c>
      <c r="AF61" s="7">
        <f t="shared" si="69"/>
        <v>0</v>
      </c>
      <c r="AG61" s="7">
        <f t="shared" si="69"/>
        <v>0</v>
      </c>
      <c r="AH61" s="7">
        <f t="shared" si="69"/>
        <v>0</v>
      </c>
      <c r="AI61" s="7">
        <f t="shared" si="69"/>
        <v>0</v>
      </c>
      <c r="AJ61" s="7">
        <f t="shared" si="69"/>
        <v>0</v>
      </c>
      <c r="AK61" s="7">
        <f t="shared" si="69"/>
        <v>0</v>
      </c>
      <c r="AL61" s="7">
        <f t="shared" si="69"/>
        <v>0</v>
      </c>
      <c r="AM61" s="7">
        <f t="shared" si="69"/>
        <v>0</v>
      </c>
      <c r="AN61" s="7">
        <f t="shared" ref="AN61:AT66" si="70">IF(L61 &gt; 0, IF(AN60 &gt; 0, AN60 + 1, 0.1), 0)</f>
        <v>0</v>
      </c>
      <c r="AO61" s="7">
        <f t="shared" si="70"/>
        <v>0</v>
      </c>
      <c r="AP61" s="7">
        <f t="shared" si="70"/>
        <v>0</v>
      </c>
      <c r="AQ61" s="7">
        <f t="shared" si="70"/>
        <v>0</v>
      </c>
      <c r="AR61" s="7">
        <f t="shared" si="70"/>
        <v>0</v>
      </c>
      <c r="AS61" s="7">
        <f t="shared" si="70"/>
        <v>0</v>
      </c>
      <c r="AT61" s="7">
        <f t="shared" si="70"/>
        <v>0</v>
      </c>
      <c r="AU61" s="7">
        <f t="shared" ref="AU61:AU66" si="71">IF(S61 &gt; 0, IF(AU53&gt; 0, AU53+ 1, 0.1), 0)</f>
        <v>0</v>
      </c>
      <c r="AV61" s="7">
        <f t="shared" ref="AV61:AW66" si="72">IF(T61 &gt; 0, IF(AV60 &gt; 0, AV60 + 1, 0.1), 0)</f>
        <v>0</v>
      </c>
      <c r="AW61" s="7">
        <f t="shared" si="72"/>
        <v>0</v>
      </c>
      <c r="AX61" s="7"/>
      <c r="AY61" s="7">
        <f>SUM($B$61:B61)</f>
        <v>0</v>
      </c>
      <c r="AZ61" s="7">
        <f>SUM($B$61:C61)</f>
        <v>0</v>
      </c>
      <c r="BA61" s="7">
        <f>SUM($B$61:D61)</f>
        <v>0</v>
      </c>
      <c r="BB61" s="7">
        <f>SUM($B$61:E61)</f>
        <v>0</v>
      </c>
      <c r="BC61" s="7">
        <f>SUM($B$61:F61)</f>
        <v>0</v>
      </c>
      <c r="BD61" s="7">
        <f>SUM($B$61:G61)</f>
        <v>0</v>
      </c>
      <c r="BE61" s="7">
        <f>SUM($B$61:H61)</f>
        <v>0</v>
      </c>
      <c r="BF61" s="7">
        <f>SUM($B$61:I61)</f>
        <v>0</v>
      </c>
      <c r="BG61" s="7">
        <f>SUM($B$61:J61)</f>
        <v>0</v>
      </c>
      <c r="BH61" s="7">
        <f>SUM($B$61:K61)</f>
        <v>0</v>
      </c>
      <c r="BI61" s="7">
        <f>SUM($B$61:L61)</f>
        <v>0</v>
      </c>
      <c r="BJ61" s="7">
        <f>SUM($B$61:M61)</f>
        <v>0</v>
      </c>
      <c r="BK61" s="7">
        <f>SUM($B$61:Q61)</f>
        <v>0</v>
      </c>
      <c r="BL61" s="7">
        <f>SUM($B$61:N61)</f>
        <v>0</v>
      </c>
      <c r="BM61" s="7">
        <f>SUM($B$61:O61)</f>
        <v>0</v>
      </c>
      <c r="BN61" s="7">
        <f>SUM($B$61:P61)</f>
        <v>0</v>
      </c>
      <c r="BO61" s="7">
        <f>SUM($B$61:R61)</f>
        <v>0</v>
      </c>
      <c r="BP61" s="7">
        <f>SUM($B$61:S61)</f>
        <v>0</v>
      </c>
      <c r="BQ61" s="7">
        <f>SUM($B$61:T61)</f>
        <v>0</v>
      </c>
      <c r="BR61" s="7">
        <f>SUM($B$61:V61)</f>
        <v>0</v>
      </c>
      <c r="BS61" s="7">
        <f>SUM($BR$60:BR61)</f>
        <v>0</v>
      </c>
      <c r="BT61">
        <f t="shared" si="6"/>
        <v>0</v>
      </c>
      <c r="BU61">
        <f>SUM($BT$60:BT61)</f>
        <v>0</v>
      </c>
    </row>
    <row r="62" spans="1:73" x14ac:dyDescent="0.35">
      <c r="A62" s="112" t="s">
        <v>24</v>
      </c>
      <c r="B62" s="7"/>
      <c r="C62" s="7"/>
      <c r="D62" s="7"/>
      <c r="E62" s="7"/>
      <c r="F62" s="7"/>
      <c r="G62" s="7"/>
      <c r="H62" s="7"/>
      <c r="I62" s="7"/>
      <c r="J62" s="7"/>
      <c r="K62" s="7"/>
      <c r="L62" s="7"/>
      <c r="M62" s="7"/>
      <c r="N62" s="7"/>
      <c r="O62" s="7"/>
      <c r="P62" s="7"/>
      <c r="Q62" s="7"/>
      <c r="R62" s="7"/>
      <c r="S62" s="7"/>
      <c r="T62" s="7"/>
      <c r="U62" s="7"/>
      <c r="V62" s="7"/>
      <c r="W62" s="7">
        <f t="shared" si="64"/>
        <v>0</v>
      </c>
      <c r="X62" s="7">
        <f t="shared" si="65"/>
        <v>0</v>
      </c>
      <c r="Y62" s="7">
        <f t="shared" si="66"/>
        <v>0</v>
      </c>
      <c r="Z62" s="49"/>
      <c r="AA62" s="191"/>
      <c r="AB62" s="7">
        <f t="shared" si="67"/>
        <v>0</v>
      </c>
      <c r="AC62" s="7" t="s">
        <v>24</v>
      </c>
      <c r="AD62" s="7">
        <f t="shared" si="69"/>
        <v>0</v>
      </c>
      <c r="AE62" s="7">
        <f t="shared" si="69"/>
        <v>0</v>
      </c>
      <c r="AF62" s="7">
        <f t="shared" si="69"/>
        <v>0</v>
      </c>
      <c r="AG62" s="7">
        <f t="shared" si="69"/>
        <v>0</v>
      </c>
      <c r="AH62" s="7">
        <f t="shared" si="69"/>
        <v>0</v>
      </c>
      <c r="AI62" s="7">
        <f t="shared" si="69"/>
        <v>0</v>
      </c>
      <c r="AJ62" s="7">
        <f t="shared" si="69"/>
        <v>0</v>
      </c>
      <c r="AK62" s="7">
        <f t="shared" si="69"/>
        <v>0</v>
      </c>
      <c r="AL62" s="7">
        <f t="shared" si="69"/>
        <v>0</v>
      </c>
      <c r="AM62" s="7">
        <f t="shared" si="69"/>
        <v>0</v>
      </c>
      <c r="AN62" s="7">
        <f t="shared" si="70"/>
        <v>0</v>
      </c>
      <c r="AO62" s="7">
        <f t="shared" si="70"/>
        <v>0</v>
      </c>
      <c r="AP62" s="7">
        <f t="shared" si="70"/>
        <v>0</v>
      </c>
      <c r="AQ62" s="7">
        <f t="shared" si="70"/>
        <v>0</v>
      </c>
      <c r="AR62" s="7">
        <f t="shared" si="70"/>
        <v>0</v>
      </c>
      <c r="AS62" s="7">
        <f t="shared" si="70"/>
        <v>0</v>
      </c>
      <c r="AT62" s="7">
        <f t="shared" si="70"/>
        <v>0</v>
      </c>
      <c r="AU62" s="7">
        <f t="shared" si="71"/>
        <v>0</v>
      </c>
      <c r="AV62" s="7">
        <f t="shared" si="72"/>
        <v>0</v>
      </c>
      <c r="AW62" s="7">
        <f t="shared" si="72"/>
        <v>0</v>
      </c>
      <c r="AX62" s="7"/>
      <c r="AY62" s="7">
        <f>+SUM($B$62:B62)</f>
        <v>0</v>
      </c>
      <c r="AZ62" s="7">
        <f>+SUM($B$62:C62)</f>
        <v>0</v>
      </c>
      <c r="BA62" s="7">
        <f>+SUM($B$62:D62)</f>
        <v>0</v>
      </c>
      <c r="BB62" s="7">
        <f>+SUM($B$62:E62)</f>
        <v>0</v>
      </c>
      <c r="BC62" s="7">
        <f>+SUM($B$62:F62)</f>
        <v>0</v>
      </c>
      <c r="BD62" s="7">
        <f>+SUM($B$62:G62)</f>
        <v>0</v>
      </c>
      <c r="BE62" s="7">
        <f>+SUM($B$62:H62)</f>
        <v>0</v>
      </c>
      <c r="BF62" s="7">
        <f>+SUM($B$62:I62)</f>
        <v>0</v>
      </c>
      <c r="BG62" s="7">
        <f>+SUM($B$62:J62)</f>
        <v>0</v>
      </c>
      <c r="BH62" s="7">
        <f>+SUM($B$62:K62)</f>
        <v>0</v>
      </c>
      <c r="BI62" s="7">
        <f>+SUM($B$62:L62)</f>
        <v>0</v>
      </c>
      <c r="BJ62" s="7">
        <f>+SUM($B$62:M62)</f>
        <v>0</v>
      </c>
      <c r="BK62" s="7">
        <f>+SUM($B$62:Q62)</f>
        <v>0</v>
      </c>
      <c r="BL62" s="7">
        <f>+SUM($B$62:N62)</f>
        <v>0</v>
      </c>
      <c r="BM62" s="7">
        <f>+SUM($B$62:O62)</f>
        <v>0</v>
      </c>
      <c r="BN62" s="7">
        <f>+SUM($B$62:P62)</f>
        <v>0</v>
      </c>
      <c r="BO62" s="7">
        <f>+SUM($B$62:R62)</f>
        <v>0</v>
      </c>
      <c r="BP62" s="7">
        <f>+SUM($B$62:S62)</f>
        <v>0</v>
      </c>
      <c r="BQ62" s="7">
        <f>+SUM($B$62:T62)</f>
        <v>0</v>
      </c>
      <c r="BR62" s="7">
        <f>+SUM($B$62:V62)</f>
        <v>0</v>
      </c>
      <c r="BS62" s="7">
        <f>SUM($BR$60:BR62)</f>
        <v>0</v>
      </c>
      <c r="BT62">
        <f t="shared" si="6"/>
        <v>0</v>
      </c>
      <c r="BU62">
        <f>SUM($BT$60:BT62)</f>
        <v>0</v>
      </c>
    </row>
    <row r="63" spans="1:73" x14ac:dyDescent="0.35">
      <c r="A63" s="123" t="s">
        <v>25</v>
      </c>
      <c r="B63" s="7"/>
      <c r="C63" s="7"/>
      <c r="D63" s="7"/>
      <c r="E63" s="7"/>
      <c r="F63" s="7"/>
      <c r="G63" s="7"/>
      <c r="H63" s="7"/>
      <c r="I63" s="7"/>
      <c r="J63" s="7"/>
      <c r="K63" s="7"/>
      <c r="L63" s="7"/>
      <c r="M63" s="7"/>
      <c r="N63" s="7"/>
      <c r="O63" s="7"/>
      <c r="P63" s="7"/>
      <c r="Q63" s="7"/>
      <c r="R63" s="7"/>
      <c r="S63" s="7"/>
      <c r="T63" s="7"/>
      <c r="U63" s="7"/>
      <c r="V63" s="7"/>
      <c r="W63" s="7">
        <f t="shared" si="64"/>
        <v>0</v>
      </c>
      <c r="X63" s="7">
        <f t="shared" si="65"/>
        <v>0</v>
      </c>
      <c r="Y63" s="7">
        <f t="shared" si="66"/>
        <v>0</v>
      </c>
      <c r="Z63" s="49"/>
      <c r="AA63" s="191"/>
      <c r="AB63" s="7">
        <f t="shared" si="67"/>
        <v>0</v>
      </c>
      <c r="AC63" s="7" t="s">
        <v>25</v>
      </c>
      <c r="AD63" s="7">
        <f t="shared" si="69"/>
        <v>0</v>
      </c>
      <c r="AE63" s="7">
        <f t="shared" si="69"/>
        <v>0</v>
      </c>
      <c r="AF63" s="7">
        <f t="shared" si="69"/>
        <v>0</v>
      </c>
      <c r="AG63" s="7">
        <f t="shared" si="69"/>
        <v>0</v>
      </c>
      <c r="AH63" s="7">
        <f t="shared" si="69"/>
        <v>0</v>
      </c>
      <c r="AI63" s="7">
        <f t="shared" si="69"/>
        <v>0</v>
      </c>
      <c r="AJ63" s="7">
        <f t="shared" si="69"/>
        <v>0</v>
      </c>
      <c r="AK63" s="7">
        <f t="shared" si="69"/>
        <v>0</v>
      </c>
      <c r="AL63" s="7">
        <f t="shared" si="69"/>
        <v>0</v>
      </c>
      <c r="AM63" s="7">
        <f t="shared" si="69"/>
        <v>0</v>
      </c>
      <c r="AN63" s="7">
        <f t="shared" si="70"/>
        <v>0</v>
      </c>
      <c r="AO63" s="7">
        <f t="shared" si="70"/>
        <v>0</v>
      </c>
      <c r="AP63" s="7">
        <f t="shared" si="70"/>
        <v>0</v>
      </c>
      <c r="AQ63" s="7">
        <f t="shared" si="70"/>
        <v>0</v>
      </c>
      <c r="AR63" s="7">
        <f t="shared" si="70"/>
        <v>0</v>
      </c>
      <c r="AS63" s="7">
        <f t="shared" si="70"/>
        <v>0</v>
      </c>
      <c r="AT63" s="7">
        <f t="shared" si="70"/>
        <v>0</v>
      </c>
      <c r="AU63" s="7">
        <f t="shared" si="71"/>
        <v>0</v>
      </c>
      <c r="AV63" s="7">
        <f t="shared" si="72"/>
        <v>0</v>
      </c>
      <c r="AW63" s="7">
        <f t="shared" si="72"/>
        <v>0</v>
      </c>
      <c r="AX63" s="7"/>
      <c r="AY63" s="7">
        <f>SUM($B$63:B63)</f>
        <v>0</v>
      </c>
      <c r="AZ63" s="7">
        <f>SUM($B$63:C63)</f>
        <v>0</v>
      </c>
      <c r="BA63" s="7">
        <f>SUM($B$63:D63)</f>
        <v>0</v>
      </c>
      <c r="BB63" s="7">
        <f>SUM($B$63:E63)</f>
        <v>0</v>
      </c>
      <c r="BC63" s="7">
        <f>SUM($B$63:F63)</f>
        <v>0</v>
      </c>
      <c r="BD63" s="7">
        <f>SUM($B$63:G63)</f>
        <v>0</v>
      </c>
      <c r="BE63" s="7">
        <f>SUM($B$63:H63)</f>
        <v>0</v>
      </c>
      <c r="BF63" s="7">
        <f>SUM($B$63:I63)</f>
        <v>0</v>
      </c>
      <c r="BG63" s="7">
        <f>SUM($B$63:J63)</f>
        <v>0</v>
      </c>
      <c r="BH63" s="7">
        <f>SUM($B$63:K63)</f>
        <v>0</v>
      </c>
      <c r="BI63" s="7">
        <f>SUM($B$63:L63)</f>
        <v>0</v>
      </c>
      <c r="BJ63" s="7">
        <f>SUM($B$63:M63)</f>
        <v>0</v>
      </c>
      <c r="BK63" s="7">
        <f>SUM($B$63:Q63)</f>
        <v>0</v>
      </c>
      <c r="BL63" s="7">
        <f>SUM($B$63:N63)</f>
        <v>0</v>
      </c>
      <c r="BM63" s="7">
        <f>SUM($B$63:O63)</f>
        <v>0</v>
      </c>
      <c r="BN63" s="7">
        <f>SUM($B$63:P63)</f>
        <v>0</v>
      </c>
      <c r="BO63" s="7">
        <f>SUM($B$63:R63)</f>
        <v>0</v>
      </c>
      <c r="BP63" s="7">
        <f>SUM($B$63:S63)</f>
        <v>0</v>
      </c>
      <c r="BQ63" s="7">
        <f>SUM($B$63:T63)</f>
        <v>0</v>
      </c>
      <c r="BR63" s="7">
        <f>SUM($B$63:V63)</f>
        <v>0</v>
      </c>
      <c r="BS63" s="7">
        <f>SUM($BR$60:BR63)</f>
        <v>0</v>
      </c>
      <c r="BT63">
        <f t="shared" si="6"/>
        <v>0</v>
      </c>
      <c r="BU63">
        <f>SUM($BT$60:BT63)</f>
        <v>0</v>
      </c>
    </row>
    <row r="64" spans="1:73" x14ac:dyDescent="0.35">
      <c r="A64" s="134" t="s">
        <v>26</v>
      </c>
      <c r="B64" s="7"/>
      <c r="C64" s="7"/>
      <c r="D64" s="7"/>
      <c r="E64" s="7"/>
      <c r="F64" s="7"/>
      <c r="G64" s="7"/>
      <c r="H64" s="7"/>
      <c r="I64" s="7"/>
      <c r="J64" s="7"/>
      <c r="K64" s="7"/>
      <c r="L64" s="7"/>
      <c r="M64" s="7"/>
      <c r="N64" s="7"/>
      <c r="O64" s="7"/>
      <c r="P64" s="7"/>
      <c r="Q64" s="7"/>
      <c r="R64" s="7"/>
      <c r="S64" s="7"/>
      <c r="T64" s="7"/>
      <c r="U64" s="7"/>
      <c r="V64" s="7"/>
      <c r="W64" s="7">
        <f t="shared" si="64"/>
        <v>0</v>
      </c>
      <c r="X64" s="7">
        <f t="shared" si="65"/>
        <v>0</v>
      </c>
      <c r="Y64" s="7">
        <f t="shared" si="66"/>
        <v>0</v>
      </c>
      <c r="Z64" s="49"/>
      <c r="AA64" s="191"/>
      <c r="AB64" s="7">
        <f t="shared" si="67"/>
        <v>0</v>
      </c>
      <c r="AC64" s="7" t="s">
        <v>26</v>
      </c>
      <c r="AD64" s="7">
        <f t="shared" si="69"/>
        <v>0</v>
      </c>
      <c r="AE64" s="7">
        <f t="shared" si="69"/>
        <v>0</v>
      </c>
      <c r="AF64" s="7">
        <f t="shared" si="69"/>
        <v>0</v>
      </c>
      <c r="AG64" s="7">
        <f t="shared" si="69"/>
        <v>0</v>
      </c>
      <c r="AH64" s="7">
        <f t="shared" si="69"/>
        <v>0</v>
      </c>
      <c r="AI64" s="7">
        <f t="shared" si="69"/>
        <v>0</v>
      </c>
      <c r="AJ64" s="7">
        <f t="shared" si="69"/>
        <v>0</v>
      </c>
      <c r="AK64" s="7">
        <f t="shared" si="69"/>
        <v>0</v>
      </c>
      <c r="AL64" s="7">
        <f t="shared" si="69"/>
        <v>0</v>
      </c>
      <c r="AM64" s="7">
        <f t="shared" si="69"/>
        <v>0</v>
      </c>
      <c r="AN64" s="7">
        <f t="shared" si="70"/>
        <v>0</v>
      </c>
      <c r="AO64" s="7">
        <f t="shared" si="70"/>
        <v>0</v>
      </c>
      <c r="AP64" s="7">
        <f t="shared" si="70"/>
        <v>0</v>
      </c>
      <c r="AQ64" s="7">
        <f t="shared" si="70"/>
        <v>0</v>
      </c>
      <c r="AR64" s="7">
        <f t="shared" si="70"/>
        <v>0</v>
      </c>
      <c r="AS64" s="7">
        <f t="shared" si="70"/>
        <v>0</v>
      </c>
      <c r="AT64" s="7">
        <f t="shared" si="70"/>
        <v>0</v>
      </c>
      <c r="AU64" s="7">
        <f t="shared" si="71"/>
        <v>0</v>
      </c>
      <c r="AV64" s="7">
        <f t="shared" si="72"/>
        <v>0</v>
      </c>
      <c r="AW64" s="7">
        <f t="shared" si="72"/>
        <v>0</v>
      </c>
      <c r="AX64" s="7"/>
      <c r="AY64" s="7">
        <f>SUM($B$64:B64)</f>
        <v>0</v>
      </c>
      <c r="AZ64" s="7">
        <f>SUM($B$64:C64)</f>
        <v>0</v>
      </c>
      <c r="BA64" s="7">
        <f>SUM($B$64:D64)</f>
        <v>0</v>
      </c>
      <c r="BB64" s="7">
        <f>SUM($B$64:E64)</f>
        <v>0</v>
      </c>
      <c r="BC64" s="7">
        <f>SUM($B$64:F64)</f>
        <v>0</v>
      </c>
      <c r="BD64" s="7">
        <f>SUM($B$64:G64)</f>
        <v>0</v>
      </c>
      <c r="BE64" s="7">
        <f>SUM($B$64:H64)</f>
        <v>0</v>
      </c>
      <c r="BF64" s="7">
        <f>SUM($B$64:I64)</f>
        <v>0</v>
      </c>
      <c r="BG64" s="7">
        <f>SUM($B$64:J64)</f>
        <v>0</v>
      </c>
      <c r="BH64" s="7">
        <f>SUM($B$64:K64)</f>
        <v>0</v>
      </c>
      <c r="BI64" s="7">
        <f>SUM($B$64:L64)</f>
        <v>0</v>
      </c>
      <c r="BJ64" s="7">
        <f>SUM($B$64:M64)</f>
        <v>0</v>
      </c>
      <c r="BK64" s="7">
        <f>SUM($B$64:Q64)</f>
        <v>0</v>
      </c>
      <c r="BL64" s="7">
        <f>SUM($B$64:N64)</f>
        <v>0</v>
      </c>
      <c r="BM64" s="7">
        <f>SUM($B$64:O64)</f>
        <v>0</v>
      </c>
      <c r="BN64" s="7">
        <f>SUM($B$64:P64)</f>
        <v>0</v>
      </c>
      <c r="BO64" s="7">
        <f>SUM($B$64:R64)</f>
        <v>0</v>
      </c>
      <c r="BP64" s="7">
        <f>SUM($B$64:S64)</f>
        <v>0</v>
      </c>
      <c r="BQ64" s="7">
        <f>SUM($B$64:T64)</f>
        <v>0</v>
      </c>
      <c r="BR64" s="7">
        <f>SUM($B$64:V64)</f>
        <v>0</v>
      </c>
      <c r="BS64" s="7">
        <f>SUM($BR$60:BR64)</f>
        <v>0</v>
      </c>
      <c r="BT64">
        <f t="shared" si="6"/>
        <v>0</v>
      </c>
      <c r="BU64">
        <f>SUM($BT$60:BT64)</f>
        <v>0</v>
      </c>
    </row>
    <row r="65" spans="1:73" x14ac:dyDescent="0.35">
      <c r="A65" s="145" t="s">
        <v>27</v>
      </c>
      <c r="B65" s="7"/>
      <c r="C65" s="7"/>
      <c r="D65" s="7"/>
      <c r="E65" s="7"/>
      <c r="F65" s="7"/>
      <c r="G65" s="7"/>
      <c r="H65" s="7"/>
      <c r="I65" s="7"/>
      <c r="J65" s="7"/>
      <c r="K65" s="7"/>
      <c r="L65" s="7"/>
      <c r="M65" s="7"/>
      <c r="N65" s="7"/>
      <c r="O65" s="7"/>
      <c r="P65" s="7"/>
      <c r="Q65" s="7"/>
      <c r="R65" s="7"/>
      <c r="S65" s="7"/>
      <c r="T65" s="7"/>
      <c r="U65" s="7"/>
      <c r="V65" s="7"/>
      <c r="W65" s="7">
        <f t="shared" si="64"/>
        <v>0</v>
      </c>
      <c r="X65" s="7">
        <f t="shared" si="65"/>
        <v>0</v>
      </c>
      <c r="Y65" s="7">
        <f t="shared" si="66"/>
        <v>0</v>
      </c>
      <c r="Z65" s="49"/>
      <c r="AA65" s="191"/>
      <c r="AB65" s="7">
        <f t="shared" si="67"/>
        <v>0</v>
      </c>
      <c r="AC65" s="7" t="s">
        <v>27</v>
      </c>
      <c r="AD65" s="7">
        <f t="shared" si="69"/>
        <v>0</v>
      </c>
      <c r="AE65" s="7">
        <f t="shared" si="69"/>
        <v>0</v>
      </c>
      <c r="AF65" s="7">
        <f t="shared" si="69"/>
        <v>0</v>
      </c>
      <c r="AG65" s="7">
        <f t="shared" si="69"/>
        <v>0</v>
      </c>
      <c r="AH65" s="7">
        <f t="shared" si="69"/>
        <v>0</v>
      </c>
      <c r="AI65" s="7">
        <f t="shared" si="69"/>
        <v>0</v>
      </c>
      <c r="AJ65" s="7">
        <f t="shared" si="69"/>
        <v>0</v>
      </c>
      <c r="AK65" s="7">
        <f t="shared" si="69"/>
        <v>0</v>
      </c>
      <c r="AL65" s="7">
        <f t="shared" si="69"/>
        <v>0</v>
      </c>
      <c r="AM65" s="7">
        <f t="shared" si="69"/>
        <v>0</v>
      </c>
      <c r="AN65" s="7">
        <f t="shared" si="70"/>
        <v>0</v>
      </c>
      <c r="AO65" s="7">
        <f t="shared" si="70"/>
        <v>0</v>
      </c>
      <c r="AP65" s="7">
        <f t="shared" si="70"/>
        <v>0</v>
      </c>
      <c r="AQ65" s="7">
        <f t="shared" si="70"/>
        <v>0</v>
      </c>
      <c r="AR65" s="7">
        <f t="shared" si="70"/>
        <v>0</v>
      </c>
      <c r="AS65" s="7">
        <f t="shared" si="70"/>
        <v>0</v>
      </c>
      <c r="AT65" s="7">
        <f t="shared" si="70"/>
        <v>0</v>
      </c>
      <c r="AU65" s="7">
        <f t="shared" si="71"/>
        <v>0</v>
      </c>
      <c r="AV65" s="7">
        <f t="shared" si="72"/>
        <v>0</v>
      </c>
      <c r="AW65" s="7">
        <f t="shared" si="72"/>
        <v>0</v>
      </c>
      <c r="AX65" s="7"/>
      <c r="AY65" s="7">
        <f>SUM($B$65:B65)</f>
        <v>0</v>
      </c>
      <c r="AZ65" s="7">
        <f>SUM($B$65:C65)</f>
        <v>0</v>
      </c>
      <c r="BA65" s="7">
        <f>SUM($B$65:D65)</f>
        <v>0</v>
      </c>
      <c r="BB65" s="7">
        <f>SUM($B$65:E65)</f>
        <v>0</v>
      </c>
      <c r="BC65" s="7">
        <f>SUM($B$65:F65)</f>
        <v>0</v>
      </c>
      <c r="BD65" s="7">
        <f>SUM($B$65:G65)</f>
        <v>0</v>
      </c>
      <c r="BE65" s="7">
        <f>SUM($B$65:H65)</f>
        <v>0</v>
      </c>
      <c r="BF65" s="7">
        <f>SUM($B$65:I65)</f>
        <v>0</v>
      </c>
      <c r="BG65" s="7">
        <f>SUM($B$65:J65)</f>
        <v>0</v>
      </c>
      <c r="BH65" s="7">
        <f>SUM($B$65:K65)</f>
        <v>0</v>
      </c>
      <c r="BI65" s="7">
        <f>SUM($B$65:L65)</f>
        <v>0</v>
      </c>
      <c r="BJ65" s="7">
        <f>SUM($B$65:M65)</f>
        <v>0</v>
      </c>
      <c r="BK65" s="7">
        <f>SUM($B$65:Q65)</f>
        <v>0</v>
      </c>
      <c r="BL65" s="7">
        <f>SUM($B$65:N65)</f>
        <v>0</v>
      </c>
      <c r="BM65" s="7">
        <f>SUM($B$65:O65)</f>
        <v>0</v>
      </c>
      <c r="BN65" s="7">
        <f>SUM($B$65:P65)</f>
        <v>0</v>
      </c>
      <c r="BO65" s="7">
        <f>SUM($B$65:R65)</f>
        <v>0</v>
      </c>
      <c r="BP65" s="7">
        <f>SUM($B$65:S65)</f>
        <v>0</v>
      </c>
      <c r="BQ65" s="7">
        <f>SUM($B$65:T65)</f>
        <v>0</v>
      </c>
      <c r="BR65" s="7">
        <f>SUM($B$65:V65)</f>
        <v>0</v>
      </c>
      <c r="BS65" s="7">
        <f>SUM($BR$60:BR65)</f>
        <v>0</v>
      </c>
      <c r="BT65">
        <f t="shared" si="6"/>
        <v>0</v>
      </c>
      <c r="BU65">
        <f>SUM($BT$60:BT65)</f>
        <v>0</v>
      </c>
    </row>
    <row r="66" spans="1:73" x14ac:dyDescent="0.35">
      <c r="A66" s="155" t="s">
        <v>28</v>
      </c>
      <c r="B66" s="7"/>
      <c r="C66" s="7"/>
      <c r="D66" s="7"/>
      <c r="E66" s="7"/>
      <c r="F66" s="7"/>
      <c r="G66" s="7"/>
      <c r="H66" s="7"/>
      <c r="I66" s="7"/>
      <c r="J66" s="7"/>
      <c r="K66" s="7"/>
      <c r="L66" s="7"/>
      <c r="M66" s="7"/>
      <c r="N66" s="7"/>
      <c r="O66" s="7"/>
      <c r="P66" s="7"/>
      <c r="Q66" s="7"/>
      <c r="R66" s="7"/>
      <c r="S66" s="7"/>
      <c r="T66" s="7"/>
      <c r="U66" s="7"/>
      <c r="V66" s="7"/>
      <c r="W66" s="7">
        <f t="shared" si="64"/>
        <v>0</v>
      </c>
      <c r="X66" s="7">
        <f t="shared" si="65"/>
        <v>0</v>
      </c>
      <c r="Y66" s="7">
        <f t="shared" si="66"/>
        <v>0</v>
      </c>
      <c r="Z66" s="49"/>
      <c r="AA66" s="191"/>
      <c r="AB66" s="7">
        <f t="shared" si="67"/>
        <v>0</v>
      </c>
      <c r="AC66" s="7" t="s">
        <v>28</v>
      </c>
      <c r="AD66" s="7">
        <f t="shared" si="69"/>
        <v>0</v>
      </c>
      <c r="AE66" s="7">
        <f t="shared" si="69"/>
        <v>0</v>
      </c>
      <c r="AF66" s="7">
        <f t="shared" si="69"/>
        <v>0</v>
      </c>
      <c r="AG66" s="7">
        <f t="shared" si="69"/>
        <v>0</v>
      </c>
      <c r="AH66" s="7">
        <f t="shared" si="69"/>
        <v>0</v>
      </c>
      <c r="AI66" s="7">
        <f t="shared" si="69"/>
        <v>0</v>
      </c>
      <c r="AJ66" s="7">
        <f t="shared" si="69"/>
        <v>0</v>
      </c>
      <c r="AK66" s="7">
        <f t="shared" si="69"/>
        <v>0</v>
      </c>
      <c r="AL66" s="7">
        <f t="shared" si="69"/>
        <v>0</v>
      </c>
      <c r="AM66" s="7">
        <f t="shared" si="69"/>
        <v>0</v>
      </c>
      <c r="AN66" s="7">
        <f t="shared" si="70"/>
        <v>0</v>
      </c>
      <c r="AO66" s="7">
        <f t="shared" si="70"/>
        <v>0</v>
      </c>
      <c r="AP66" s="7">
        <f t="shared" si="70"/>
        <v>0</v>
      </c>
      <c r="AQ66" s="7">
        <f t="shared" si="70"/>
        <v>0</v>
      </c>
      <c r="AR66" s="7">
        <f t="shared" si="70"/>
        <v>0</v>
      </c>
      <c r="AS66" s="7">
        <f t="shared" si="70"/>
        <v>0</v>
      </c>
      <c r="AT66" s="7">
        <f t="shared" si="70"/>
        <v>0</v>
      </c>
      <c r="AU66" s="7">
        <f t="shared" si="71"/>
        <v>0</v>
      </c>
      <c r="AV66" s="7">
        <f t="shared" si="72"/>
        <v>0</v>
      </c>
      <c r="AW66" s="7">
        <f t="shared" si="72"/>
        <v>0</v>
      </c>
      <c r="AX66" s="7"/>
      <c r="AY66" s="7">
        <f>SUM($B$66:B66)</f>
        <v>0</v>
      </c>
      <c r="AZ66" s="7">
        <f>SUM($B$66:C66)</f>
        <v>0</v>
      </c>
      <c r="BA66" s="7">
        <f>SUM($B$66:D66)</f>
        <v>0</v>
      </c>
      <c r="BB66" s="7">
        <f>SUM($B$66:E66)</f>
        <v>0</v>
      </c>
      <c r="BC66" s="7">
        <f>SUM($B$66:F66)</f>
        <v>0</v>
      </c>
      <c r="BD66" s="7">
        <f>SUM($B$66:G66)</f>
        <v>0</v>
      </c>
      <c r="BE66" s="7">
        <f>SUM($B$66:H66)</f>
        <v>0</v>
      </c>
      <c r="BF66" s="7">
        <f>SUM($B$66:I66)</f>
        <v>0</v>
      </c>
      <c r="BG66" s="7">
        <f>SUM($B$66:J66)</f>
        <v>0</v>
      </c>
      <c r="BH66" s="7">
        <f>SUM($B$66:K66)</f>
        <v>0</v>
      </c>
      <c r="BI66" s="7">
        <f>SUM($B$66:L66)</f>
        <v>0</v>
      </c>
      <c r="BJ66" s="7">
        <f>SUM($B$66:M66)</f>
        <v>0</v>
      </c>
      <c r="BK66" s="7">
        <f>SUM($B$66:Q66)</f>
        <v>0</v>
      </c>
      <c r="BL66" s="7">
        <f>SUM($B$66:N66)</f>
        <v>0</v>
      </c>
      <c r="BM66" s="7">
        <f>SUM($B$66:O66)</f>
        <v>0</v>
      </c>
      <c r="BN66" s="7">
        <f>SUM($B$66:P66)</f>
        <v>0</v>
      </c>
      <c r="BO66" s="7">
        <f>SUM($B$66:R66)</f>
        <v>0</v>
      </c>
      <c r="BP66" s="7">
        <f>SUM($B$66:S66)</f>
        <v>0</v>
      </c>
      <c r="BQ66" s="7">
        <f>SUM($B$66:T66)</f>
        <v>0</v>
      </c>
      <c r="BR66" s="7">
        <f>SUM($B$66:V66)</f>
        <v>0</v>
      </c>
      <c r="BS66" s="7">
        <f>SUM($BR$60:BR66)</f>
        <v>0</v>
      </c>
      <c r="BT66">
        <f t="shared" si="6"/>
        <v>0</v>
      </c>
      <c r="BU66">
        <f>SUM($BT$60:BT66)</f>
        <v>0</v>
      </c>
    </row>
    <row r="67" spans="1:73" x14ac:dyDescent="0.35">
      <c r="A67" s="41" t="s">
        <v>29</v>
      </c>
      <c r="B67" s="7">
        <f>SUM(B60:B66)</f>
        <v>0</v>
      </c>
      <c r="C67" s="7">
        <f t="shared" ref="C67:T67" si="73">SUM(C60:C66)</f>
        <v>0</v>
      </c>
      <c r="D67" s="7">
        <f t="shared" si="73"/>
        <v>0</v>
      </c>
      <c r="E67" s="7">
        <f t="shared" si="73"/>
        <v>0</v>
      </c>
      <c r="F67" s="7">
        <f t="shared" si="73"/>
        <v>0</v>
      </c>
      <c r="G67" s="7">
        <f t="shared" si="73"/>
        <v>0</v>
      </c>
      <c r="H67" s="7">
        <f t="shared" si="73"/>
        <v>0</v>
      </c>
      <c r="I67" s="7">
        <f t="shared" si="73"/>
        <v>0</v>
      </c>
      <c r="J67" s="7">
        <f t="shared" si="73"/>
        <v>0</v>
      </c>
      <c r="K67" s="7">
        <f>SUM(K60:K66)</f>
        <v>0</v>
      </c>
      <c r="L67" s="7">
        <f t="shared" si="73"/>
        <v>0</v>
      </c>
      <c r="M67" s="7">
        <f t="shared" si="73"/>
        <v>0</v>
      </c>
      <c r="N67" s="7">
        <f t="shared" si="73"/>
        <v>0</v>
      </c>
      <c r="O67" s="7">
        <f t="shared" si="73"/>
        <v>0</v>
      </c>
      <c r="P67" s="7">
        <f t="shared" si="73"/>
        <v>0</v>
      </c>
      <c r="Q67" s="7">
        <f>SUM(Q60:Q66)</f>
        <v>0</v>
      </c>
      <c r="R67" s="7">
        <f t="shared" si="73"/>
        <v>0</v>
      </c>
      <c r="S67" s="7">
        <f t="shared" si="73"/>
        <v>0</v>
      </c>
      <c r="T67" s="7">
        <f t="shared" si="73"/>
        <v>0</v>
      </c>
      <c r="U67" s="7">
        <f t="shared" ref="U67" si="74">SUM(U60:U66)</f>
        <v>0</v>
      </c>
      <c r="V67" s="7">
        <f>SUM(V60:V66)</f>
        <v>0</v>
      </c>
      <c r="W67" s="31">
        <f>SUM(W60:W66)</f>
        <v>0</v>
      </c>
      <c r="X67" s="7"/>
      <c r="Y67" s="7"/>
      <c r="Z67" s="49" t="s">
        <v>173</v>
      </c>
      <c r="AA67" s="191"/>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row>
    <row r="68" spans="1:73" x14ac:dyDescent="0.35">
      <c r="A68" s="41" t="s">
        <v>33</v>
      </c>
      <c r="B68" s="7">
        <f t="shared" ref="B68:U68" si="75">B67-B53</f>
        <v>0</v>
      </c>
      <c r="C68" s="7">
        <f t="shared" si="75"/>
        <v>0</v>
      </c>
      <c r="D68" s="7">
        <f t="shared" si="75"/>
        <v>0</v>
      </c>
      <c r="E68" s="7">
        <f t="shared" si="75"/>
        <v>0</v>
      </c>
      <c r="F68" s="7">
        <f t="shared" si="75"/>
        <v>0</v>
      </c>
      <c r="G68" s="7">
        <f t="shared" si="75"/>
        <v>0</v>
      </c>
      <c r="H68" s="7">
        <f t="shared" si="75"/>
        <v>0</v>
      </c>
      <c r="I68" s="7">
        <f t="shared" si="75"/>
        <v>0</v>
      </c>
      <c r="J68" s="7">
        <f t="shared" si="75"/>
        <v>0</v>
      </c>
      <c r="K68" s="7">
        <f t="shared" si="75"/>
        <v>0</v>
      </c>
      <c r="L68" s="7">
        <f t="shared" si="75"/>
        <v>0</v>
      </c>
      <c r="M68" s="7">
        <f t="shared" si="75"/>
        <v>0</v>
      </c>
      <c r="N68" s="7">
        <f t="shared" si="75"/>
        <v>0</v>
      </c>
      <c r="O68" s="7">
        <f t="shared" si="75"/>
        <v>0</v>
      </c>
      <c r="P68" s="7">
        <f t="shared" si="75"/>
        <v>0</v>
      </c>
      <c r="Q68" s="7">
        <f t="shared" si="75"/>
        <v>0</v>
      </c>
      <c r="R68" s="7">
        <f t="shared" si="75"/>
        <v>0</v>
      </c>
      <c r="S68" s="7">
        <f t="shared" si="75"/>
        <v>0</v>
      </c>
      <c r="T68" s="7">
        <f t="shared" si="75"/>
        <v>0</v>
      </c>
      <c r="U68" s="7">
        <f t="shared" si="75"/>
        <v>0</v>
      </c>
      <c r="V68" s="7">
        <f>V67-V53</f>
        <v>0</v>
      </c>
      <c r="W68" s="7">
        <f>SUM(B68:V68)</f>
        <v>0</v>
      </c>
      <c r="X68" s="7"/>
      <c r="Y68" s="7"/>
      <c r="Z68" s="49"/>
      <c r="AA68" s="191"/>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row>
    <row r="69" spans="1:73" x14ac:dyDescent="0.35">
      <c r="A69" s="41" t="s">
        <v>110</v>
      </c>
      <c r="B69" s="7" cm="1">
        <f t="array" ref="B69">IF(COUNTIF(AD59:AD65,0)=0,
    LOOKUP(2,1/(AD59:AD65&lt;&gt;""),AD59:AD65),
    MATCH(0,INDEX(AD59:AD65,MAX(ROW(AD59:AD65))-ROW(AD59:AD65)+1),0)-1
)</f>
        <v>0</v>
      </c>
      <c r="C69" s="7" cm="1">
        <f t="array" ref="C69">IF(COUNTIF(AE59:AE65,0)=0,
    LOOKUP(2,1/(AE59:AE65&lt;&gt;""),AE59:AE65),
    MATCH(0,INDEX(AE59:AE65,MAX(ROW(AE59:AE65))-ROW(AE59:AE65)+1),0)-1
)</f>
        <v>0</v>
      </c>
      <c r="D69" s="7" cm="1">
        <f t="array" ref="D69">IF(COUNTIF(AF59:AF65,0)=0,
    LOOKUP(2,1/(AF59:AF65&lt;&gt;""),AF59:AF65),
    MATCH(0,INDEX(AF59:AF65,MAX(ROW(AF59:AF65))-ROW(AF59:AF65)+1),0)-1
)</f>
        <v>0</v>
      </c>
      <c r="E69" s="7" cm="1">
        <f t="array" ref="E69">IF(COUNTIF(AG59:AG65,0)=0,
    LOOKUP(2,1/(AG59:AG65&lt;&gt;""),AG59:AG65),
    MATCH(0,INDEX(AG59:AG65,MAX(ROW(AG59:AG65))-ROW(AG59:AG65)+1),0)-1
)</f>
        <v>0</v>
      </c>
      <c r="F69" s="7" cm="1">
        <f t="array" ref="F69">IF(COUNTIF(AH59:AH65,0)=0,
    LOOKUP(2,1/(AH59:AH65&lt;&gt;""),AH59:AH65),
    MATCH(0,INDEX(AH59:AH65,MAX(ROW(AH59:AH65))-ROW(AH59:AH65)+1),0)-1
)</f>
        <v>0</v>
      </c>
      <c r="G69" s="7" cm="1">
        <f t="array" ref="G69">IF(COUNTIF(AI59:AI65,0)=0,
    LOOKUP(2,1/(AI59:AI65&lt;&gt;""),AI59:AI65),
    MATCH(0,INDEX(AI59:AI65,MAX(ROW(AI59:AI65))-ROW(AI59:AI65)+1),0)-1
)</f>
        <v>0</v>
      </c>
      <c r="H69" s="7" cm="1">
        <f t="array" ref="H69">IF(COUNTIF(AJ59:AJ65,0)=0,
    LOOKUP(2,1/(AJ59:AJ65&lt;&gt;""),AJ59:AJ65),
    MATCH(0,INDEX(AJ59:AJ65,MAX(ROW(AJ59:AJ65))-ROW(AJ59:AJ65)+1),0)-1
)</f>
        <v>0</v>
      </c>
      <c r="I69" s="7" cm="1">
        <f t="array" ref="I69">IF(COUNTIF(AK59:AK65,0)=0,
    LOOKUP(2,1/(AK59:AK65&lt;&gt;""),AK59:AK65),
    MATCH(0,INDEX(AK59:AK65,MAX(ROW(AK59:AK65))-ROW(AK59:AK65)+1),0)-1
)</f>
        <v>0</v>
      </c>
      <c r="J69" s="7" cm="1">
        <f t="array" ref="J69">IF(COUNTIF(AL59:AL65,0)=0,
    LOOKUP(2,1/(AL59:AL65&lt;&gt;""),AL59:AL65),
    MATCH(0,INDEX(AL59:AL65,MAX(ROW(AL59:AL65))-ROW(AL59:AL65)+1),0)-1
)</f>
        <v>0</v>
      </c>
      <c r="K69" s="7" cm="1">
        <f t="array" ref="K69">IF(COUNTIF(AM59:AM65,0)=0,
    LOOKUP(2,1/(AM59:AM65&lt;&gt;""),AM59:AM65),
    MATCH(0,INDEX(AM59:AM65,MAX(ROW(AM59:AM65))-ROW(AM59:AM65)+1),0)-1
)</f>
        <v>0</v>
      </c>
      <c r="L69" s="7" cm="1">
        <f t="array" ref="L69">IF(COUNTIF(AN59:AN65,0)=0,
    LOOKUP(2,1/(AN59:AN65&lt;&gt;""),AN59:AN65),
    MATCH(0,INDEX(AN59:AN65,MAX(ROW(AN59:AN65))-ROW(AN59:AN65)+1),0)-1
)</f>
        <v>0</v>
      </c>
      <c r="M69" s="7" cm="1">
        <f t="array" ref="M69">IF(COUNTIF(AO59:AO65,0)=0,
    LOOKUP(2,1/(AO59:AO65&lt;&gt;""),AO59:AO65),
    MATCH(0,INDEX(AO59:AO65,MAX(ROW(AO59:AO65))-ROW(AO59:AO65)+1),0)-1
)</f>
        <v>0</v>
      </c>
      <c r="N69" s="7" cm="1">
        <f t="array" ref="N69">IF(COUNTIF(AP59:AP65,0)=0,
    LOOKUP(2,1/(AP59:AP65&lt;&gt;""),AP59:AP65),
    MATCH(0,INDEX(AP59:AP65,MAX(ROW(AP59:AP65))-ROW(AP59:AP65)+1),0)-1
)</f>
        <v>0</v>
      </c>
      <c r="O69" s="7" cm="1">
        <f t="array" ref="O69">IF(COUNTIF(AQ59:AQ65,0)=0,
    LOOKUP(2,1/(AQ59:AQ65&lt;&gt;""),AQ59:AQ65),
    MATCH(0,INDEX(AQ59:AQ65,MAX(ROW(AQ59:AQ65))-ROW(AQ59:AQ65)+1),0)-1
)</f>
        <v>0</v>
      </c>
      <c r="P69" s="7" cm="1">
        <f t="array" ref="P69">IF(COUNTIF(AR59:AR65,0)=0,
    LOOKUP(2,1/(AR59:AR65&lt;&gt;""),AR59:AR65),
    MATCH(0,INDEX(AR59:AR65,MAX(ROW(AR59:AR65))-ROW(AR59:AR65)+1),0)-1
)</f>
        <v>0</v>
      </c>
      <c r="Q69" s="7" cm="1">
        <f t="array" ref="Q69">IF(COUNTIF(AS59:AS65,0)=0,
    LOOKUP(2,1/(AS59:AS65&lt;&gt;""),AS59:AS65),
    MATCH(0,INDEX(AS59:AS65,MAX(ROW(AS59:AS65))-ROW(AS59:AS65)+1),0)-1
)</f>
        <v>0</v>
      </c>
      <c r="R69" s="7" cm="1">
        <f t="array" ref="R69">IF(COUNTIF(AT59:AT65,0)=0,
    LOOKUP(2,1/(AT59:AT65&lt;&gt;""),AT59:AT65),
    MATCH(0,INDEX(AT59:AT65,MAX(ROW(AT59:AT65))-ROW(AT59:AT65)+1),0)-1
)</f>
        <v>0</v>
      </c>
      <c r="S69" s="7" cm="1">
        <f t="array" ref="S69">IF(COUNTIF(AU59:AU65,0)=0,
    LOOKUP(2,1/(AU59:AU65&lt;&gt;""),AU59:AU65),
    MATCH(0,INDEX(AU59:AU65,MAX(ROW(AU59:AU65))-ROW(AU59:AU65)+1),0)-1
)</f>
        <v>0</v>
      </c>
      <c r="T69" s="7" cm="1">
        <f t="array" ref="T69">IF(COUNTIF(AV59:AV65,0)=0,
    LOOKUP(2,1/(AV59:AV65&lt;&gt;""),AV59:AV65),
    MATCH(0,INDEX(AV59:AV65,MAX(ROW(AV59:AV65))-ROW(AV59:AV65)+1),0)-1
)</f>
        <v>0</v>
      </c>
      <c r="U69" s="7" cm="1">
        <f t="array" ref="U69">IF(COUNTIF(AW59:AW65,0)=0,
    LOOKUP(2,1/(AW59:AW65&lt;&gt;""),AW59:AW65),
    MATCH(0,INDEX(AW59:AW65,MAX(ROW(AW59:AW65))-ROW(AW59:AW65)+1),0)-1
)</f>
        <v>0</v>
      </c>
      <c r="V69" s="7" cm="1">
        <f t="array" ref="V69">IF(COUNTIF(Y59:Y65,0)=0,
    LOOKUP(2,1/(Y59:Y65&lt;&gt;""),Y59:Y65),
    MATCH(0,INDEX(Y59:Y65,MAX(ROW(Y59:Y65))-ROW(Y59:Y65)+1),0)-1
)</f>
        <v>0</v>
      </c>
      <c r="W69" s="31"/>
      <c r="X69" s="7"/>
      <c r="Y69" s="7"/>
      <c r="Z69" s="49"/>
      <c r="AA69" s="191"/>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row>
    <row r="70" spans="1:73" x14ac:dyDescent="0.35">
      <c r="A70" s="41" t="s">
        <v>99</v>
      </c>
      <c r="B70" s="7">
        <f t="shared" ref="B70:U70" si="76">B67+B56</f>
        <v>2</v>
      </c>
      <c r="C70" s="7">
        <f t="shared" si="76"/>
        <v>0</v>
      </c>
      <c r="D70" s="7">
        <f t="shared" si="76"/>
        <v>5</v>
      </c>
      <c r="E70" s="7">
        <f t="shared" si="76"/>
        <v>9</v>
      </c>
      <c r="F70" s="7">
        <f t="shared" si="76"/>
        <v>4</v>
      </c>
      <c r="G70" s="7">
        <f t="shared" si="76"/>
        <v>0</v>
      </c>
      <c r="H70" s="7">
        <f t="shared" si="76"/>
        <v>0</v>
      </c>
      <c r="I70" s="7">
        <f t="shared" si="76"/>
        <v>3</v>
      </c>
      <c r="J70" s="7">
        <f t="shared" si="76"/>
        <v>0</v>
      </c>
      <c r="K70" s="7">
        <f t="shared" si="76"/>
        <v>0.75</v>
      </c>
      <c r="L70" s="7">
        <f t="shared" si="76"/>
        <v>2</v>
      </c>
      <c r="M70" s="7">
        <f t="shared" si="76"/>
        <v>1</v>
      </c>
      <c r="N70" s="7">
        <f t="shared" si="76"/>
        <v>2.5</v>
      </c>
      <c r="O70" s="7">
        <f t="shared" si="76"/>
        <v>2</v>
      </c>
      <c r="P70" s="7">
        <f t="shared" si="76"/>
        <v>0</v>
      </c>
      <c r="Q70" s="7">
        <f t="shared" si="76"/>
        <v>0</v>
      </c>
      <c r="R70" s="7">
        <f t="shared" si="76"/>
        <v>1</v>
      </c>
      <c r="S70" s="7">
        <f t="shared" si="76"/>
        <v>3</v>
      </c>
      <c r="T70" s="7">
        <f t="shared" si="76"/>
        <v>0</v>
      </c>
      <c r="U70" s="7">
        <f t="shared" si="76"/>
        <v>-1</v>
      </c>
      <c r="V70" s="7">
        <f>V67+V56</f>
        <v>2</v>
      </c>
      <c r="W70" s="7">
        <f>SUM(W56,W67)</f>
        <v>36.25</v>
      </c>
      <c r="X70" s="7"/>
      <c r="Y70" s="7">
        <f>SUM(Y60:Y66)</f>
        <v>0</v>
      </c>
      <c r="Z70" s="49"/>
      <c r="AA70" s="191"/>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row>
    <row r="71" spans="1:73" x14ac:dyDescent="0.35">
      <c r="A71" s="41" t="s">
        <v>112</v>
      </c>
      <c r="B71" s="174">
        <f>(COUNTIF(B4:B10, "&gt;0")+COUNTIF(B18:B24, "&gt;0")+COUNTIF(B32:B38, "&gt;0")+COUNTIF(B46:B52, "&gt;0") + COUNTIF(B60:B66, "&gt;0")) / 35</f>
        <v>2.8571428571428571E-2</v>
      </c>
      <c r="C71" s="174">
        <f t="shared" ref="C71:O71" si="77">(COUNTIF(C4:C10, "&gt;0")+COUNTIF(C18:C24, "&gt;0")+COUNTIF(C32:C38, "&gt;0")+COUNTIF(C46:C52, "&gt;0") + COUNTIF(C60:C66, "&gt;0")) / 35</f>
        <v>0</v>
      </c>
      <c r="D71" s="174">
        <f t="shared" si="77"/>
        <v>2.8571428571428571E-2</v>
      </c>
      <c r="E71" s="174">
        <f t="shared" si="77"/>
        <v>2.8571428571428571E-2</v>
      </c>
      <c r="F71" s="174">
        <f t="shared" si="77"/>
        <v>2.8571428571428571E-2</v>
      </c>
      <c r="G71" s="174">
        <f t="shared" si="77"/>
        <v>0</v>
      </c>
      <c r="H71" s="174">
        <f t="shared" si="77"/>
        <v>0</v>
      </c>
      <c r="I71" s="174">
        <f t="shared" si="77"/>
        <v>2.8571428571428571E-2</v>
      </c>
      <c r="J71" s="174">
        <f t="shared" si="77"/>
        <v>0</v>
      </c>
      <c r="K71" s="174">
        <f t="shared" si="77"/>
        <v>2.8571428571428571E-2</v>
      </c>
      <c r="L71" s="174">
        <f t="shared" si="77"/>
        <v>2.8571428571428571E-2</v>
      </c>
      <c r="M71" s="174">
        <f t="shared" si="77"/>
        <v>2.8571428571428571E-2</v>
      </c>
      <c r="N71" s="174">
        <f t="shared" si="77"/>
        <v>2.8571428571428571E-2</v>
      </c>
      <c r="O71" s="174">
        <f t="shared" si="77"/>
        <v>2.8571428571428571E-2</v>
      </c>
      <c r="P71" s="7"/>
      <c r="Q71" s="7"/>
      <c r="R71" s="7"/>
      <c r="S71" s="7"/>
      <c r="T71" s="7"/>
      <c r="U71" s="41" t="s">
        <v>31</v>
      </c>
      <c r="V71" s="7">
        <f>SUMIF(B67:V67,"&lt;0",B67:V67)</f>
        <v>0</v>
      </c>
      <c r="W71" s="7">
        <f>SUMIF(B67:V67,"&gt;0",B67:V67)</f>
        <v>0</v>
      </c>
      <c r="Y71" s="7"/>
      <c r="Z71" s="49"/>
      <c r="AA71" s="191"/>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row>
    <row r="72" spans="1:73" x14ac:dyDescent="0.35">
      <c r="A72" s="7"/>
      <c r="B72" s="7"/>
      <c r="C72" s="7"/>
      <c r="D72" s="7"/>
      <c r="E72" s="7"/>
      <c r="F72" s="7"/>
      <c r="G72" s="7"/>
      <c r="H72" s="7"/>
      <c r="I72" s="7"/>
      <c r="J72" s="7"/>
      <c r="K72" s="7"/>
      <c r="L72" s="7"/>
      <c r="M72" s="7"/>
      <c r="N72" s="7"/>
      <c r="O72" s="7"/>
      <c r="P72" s="7"/>
      <c r="Q72" s="7"/>
      <c r="R72" s="7"/>
      <c r="S72" s="7"/>
      <c r="T72" s="7"/>
      <c r="U72" s="7"/>
      <c r="V72" s="7"/>
      <c r="W72" s="7"/>
      <c r="X72" s="7"/>
      <c r="Y72" s="7"/>
      <c r="Z72" s="11"/>
      <c r="AA72" s="11"/>
      <c r="AB72" s="7"/>
      <c r="AC72" s="7"/>
      <c r="AD72" s="7"/>
      <c r="AE72" s="7"/>
      <c r="AF72" s="7"/>
      <c r="AG72" s="7"/>
      <c r="AH72" s="7"/>
      <c r="AI72" s="7"/>
      <c r="AJ72" s="7"/>
      <c r="AK72" s="7"/>
      <c r="AL72" s="7"/>
      <c r="AM72" s="7"/>
      <c r="AN72" s="7"/>
      <c r="AO72" s="7"/>
      <c r="AP72" s="7"/>
      <c r="AQ72" s="7"/>
      <c r="AR72" s="7"/>
      <c r="AS72" s="7"/>
      <c r="AT72" s="7"/>
      <c r="AU72" s="7"/>
      <c r="AV72" s="7"/>
      <c r="AW72" s="7"/>
      <c r="AX72" s="7"/>
      <c r="AY72" s="7" t="s">
        <v>125</v>
      </c>
      <c r="AZ72" s="7"/>
      <c r="BA72" s="7"/>
      <c r="BB72" s="7"/>
      <c r="BC72" s="7"/>
      <c r="BD72" s="7"/>
      <c r="BE72" s="7"/>
      <c r="BF72" s="7"/>
      <c r="BG72" s="7"/>
      <c r="BH72" s="7"/>
      <c r="BI72" s="7"/>
      <c r="BJ72" s="7"/>
      <c r="BK72" s="7"/>
      <c r="BL72" s="7"/>
      <c r="BM72" s="7"/>
      <c r="BN72" s="7"/>
      <c r="BO72" s="7"/>
      <c r="BP72" s="7"/>
      <c r="BQ72" s="7"/>
      <c r="BR72" s="7"/>
      <c r="BS72" s="7"/>
    </row>
    <row r="73" spans="1:73" ht="29" x14ac:dyDescent="0.35">
      <c r="A73" s="101" t="s">
        <v>38</v>
      </c>
      <c r="B73" s="45">
        <f>C59+1</f>
        <v>46062</v>
      </c>
      <c r="C73" s="45">
        <f>B73+6</f>
        <v>46068</v>
      </c>
      <c r="D73" s="7"/>
      <c r="E73" s="7"/>
      <c r="F73" s="7"/>
      <c r="G73" s="7"/>
      <c r="H73" s="7"/>
      <c r="I73" s="7"/>
      <c r="J73" s="7"/>
      <c r="K73" s="7"/>
      <c r="L73" s="7"/>
      <c r="M73" s="7"/>
      <c r="N73" s="7"/>
      <c r="O73" s="7"/>
      <c r="P73" s="7"/>
      <c r="Q73" s="7"/>
      <c r="R73" s="7"/>
      <c r="S73" s="7"/>
      <c r="T73" s="7"/>
      <c r="U73" s="7"/>
      <c r="V73" s="7"/>
      <c r="W73" s="7"/>
      <c r="X73" s="7"/>
      <c r="Y73" s="7"/>
      <c r="Z73" s="11"/>
      <c r="AA73" s="11"/>
      <c r="AB73" s="7"/>
      <c r="AC73" s="7" t="s">
        <v>67</v>
      </c>
      <c r="AD73" s="7"/>
      <c r="AE73" s="7"/>
      <c r="AF73" s="7"/>
      <c r="AG73" s="7"/>
      <c r="AH73" s="7"/>
      <c r="AI73" s="7"/>
      <c r="AJ73" s="7"/>
      <c r="AK73" s="7"/>
      <c r="AL73" s="7"/>
      <c r="AM73" s="7"/>
      <c r="AN73" s="7"/>
      <c r="AO73" s="7"/>
      <c r="AP73" s="7"/>
      <c r="AQ73" s="7"/>
      <c r="AR73" s="7"/>
      <c r="AS73" s="7"/>
      <c r="AT73" s="7"/>
      <c r="AU73" s="7"/>
      <c r="AV73" s="7"/>
      <c r="AW73" s="7"/>
      <c r="AX73" s="7"/>
      <c r="AY73" s="12" t="s">
        <v>1</v>
      </c>
      <c r="AZ73" s="12" t="s">
        <v>2</v>
      </c>
      <c r="BA73" s="12" t="s">
        <v>3</v>
      </c>
      <c r="BB73" s="12" t="s">
        <v>4</v>
      </c>
      <c r="BC73" s="12" t="s">
        <v>5</v>
      </c>
      <c r="BD73" s="12" t="s">
        <v>6</v>
      </c>
      <c r="BE73" s="12" t="s">
        <v>7</v>
      </c>
      <c r="BF73" s="12" t="s">
        <v>8</v>
      </c>
      <c r="BG73" s="12" t="s">
        <v>9</v>
      </c>
      <c r="BH73" s="12" t="s">
        <v>10</v>
      </c>
      <c r="BI73" s="12" t="s">
        <v>11</v>
      </c>
      <c r="BJ73" s="12" t="s">
        <v>12</v>
      </c>
      <c r="BK73" s="12" t="s">
        <v>13</v>
      </c>
      <c r="BL73" s="12" t="s">
        <v>14</v>
      </c>
      <c r="BM73" s="12" t="s">
        <v>15</v>
      </c>
      <c r="BN73" s="12" t="s">
        <v>16</v>
      </c>
      <c r="BO73" s="12" t="s">
        <v>17</v>
      </c>
      <c r="BP73" s="12" t="s">
        <v>18</v>
      </c>
      <c r="BQ73" s="12" t="s">
        <v>19</v>
      </c>
      <c r="BR73" s="12" t="s">
        <v>20</v>
      </c>
      <c r="BS73" s="12">
        <v>0</v>
      </c>
      <c r="BU73">
        <v>0</v>
      </c>
    </row>
    <row r="74" spans="1:73" x14ac:dyDescent="0.35">
      <c r="A74" s="79" t="s">
        <v>22</v>
      </c>
      <c r="B74" s="8"/>
      <c r="C74" s="8"/>
      <c r="D74" s="8"/>
      <c r="E74" s="8"/>
      <c r="F74" s="8"/>
      <c r="G74" s="8"/>
      <c r="H74" s="8"/>
      <c r="I74" s="8"/>
      <c r="J74" s="8"/>
      <c r="K74" s="8"/>
      <c r="L74" s="8"/>
      <c r="M74" s="8"/>
      <c r="N74" s="8"/>
      <c r="O74" s="8"/>
      <c r="P74" s="8"/>
      <c r="Q74" s="8"/>
      <c r="R74" s="8"/>
      <c r="S74" s="8"/>
      <c r="T74" s="8"/>
      <c r="U74" s="8"/>
      <c r="V74" s="8"/>
      <c r="W74" s="7">
        <f t="shared" ref="W74:W80" si="78">SUM(B74:V74)</f>
        <v>0</v>
      </c>
      <c r="X74" s="8">
        <f t="shared" ref="X74:X80" si="79">SUM(AD74:AW74)*0.1</f>
        <v>0</v>
      </c>
      <c r="Y74" s="7">
        <f t="shared" ref="Y74:Y80" si="80">W74+X74</f>
        <v>0</v>
      </c>
      <c r="Z74" s="50"/>
      <c r="AA74" s="43"/>
      <c r="AB74" s="44">
        <f t="shared" ref="AB74:AB80" si="81">AB60+W74</f>
        <v>36.25</v>
      </c>
      <c r="AC74" s="7" t="s">
        <v>22</v>
      </c>
      <c r="AD74" s="7">
        <f t="shared" ref="AD74:AW74" si="82">IF(B74 &gt; 0, IF(AD66&gt; 0, AD66+ 1, 0.1), 0)</f>
        <v>0</v>
      </c>
      <c r="AE74" s="7">
        <f t="shared" si="82"/>
        <v>0</v>
      </c>
      <c r="AF74" s="7">
        <f t="shared" si="82"/>
        <v>0</v>
      </c>
      <c r="AG74" s="7">
        <f t="shared" si="82"/>
        <v>0</v>
      </c>
      <c r="AH74" s="7">
        <f t="shared" si="82"/>
        <v>0</v>
      </c>
      <c r="AI74" s="7">
        <f t="shared" si="82"/>
        <v>0</v>
      </c>
      <c r="AJ74" s="7">
        <f t="shared" si="82"/>
        <v>0</v>
      </c>
      <c r="AK74" s="7">
        <f t="shared" si="82"/>
        <v>0</v>
      </c>
      <c r="AL74" s="7">
        <f t="shared" si="82"/>
        <v>0</v>
      </c>
      <c r="AM74" s="7">
        <f t="shared" si="82"/>
        <v>0</v>
      </c>
      <c r="AN74" s="7">
        <f t="shared" si="82"/>
        <v>0</v>
      </c>
      <c r="AO74" s="7">
        <f t="shared" si="82"/>
        <v>0</v>
      </c>
      <c r="AP74" s="7">
        <f t="shared" si="82"/>
        <v>0</v>
      </c>
      <c r="AQ74" s="7">
        <f t="shared" si="82"/>
        <v>0</v>
      </c>
      <c r="AR74" s="7">
        <f t="shared" si="82"/>
        <v>0</v>
      </c>
      <c r="AS74" s="7">
        <f t="shared" si="82"/>
        <v>0</v>
      </c>
      <c r="AT74" s="7">
        <f t="shared" si="82"/>
        <v>0</v>
      </c>
      <c r="AU74" s="7">
        <f t="shared" si="82"/>
        <v>0</v>
      </c>
      <c r="AV74" s="7">
        <f t="shared" si="82"/>
        <v>0</v>
      </c>
      <c r="AW74" s="7">
        <f t="shared" si="82"/>
        <v>0</v>
      </c>
      <c r="AX74" s="7"/>
      <c r="AY74" s="7">
        <f>SUM($B$74:B74)</f>
        <v>0</v>
      </c>
      <c r="AZ74" s="7">
        <f>SUM($B$74:C74)</f>
        <v>0</v>
      </c>
      <c r="BA74" s="7">
        <f>SUM($B$74:D74)</f>
        <v>0</v>
      </c>
      <c r="BB74" s="7">
        <f>SUM($B$74:E74)</f>
        <v>0</v>
      </c>
      <c r="BC74" s="7">
        <f>SUM($B$74:F74)</f>
        <v>0</v>
      </c>
      <c r="BD74" s="7">
        <f>SUM($B$74:G74)</f>
        <v>0</v>
      </c>
      <c r="BE74" s="7">
        <f>SUM($B$74:H74)</f>
        <v>0</v>
      </c>
      <c r="BF74" s="7">
        <f>SUM($B$74:I74)</f>
        <v>0</v>
      </c>
      <c r="BG74" s="7">
        <f>SUM($B$74:J74)</f>
        <v>0</v>
      </c>
      <c r="BH74" s="7">
        <f>SUM($B$74:K74)</f>
        <v>0</v>
      </c>
      <c r="BI74" s="7">
        <f>SUM($B$74:L74)</f>
        <v>0</v>
      </c>
      <c r="BJ74" s="7">
        <f>SUM($B$74:M74)</f>
        <v>0</v>
      </c>
      <c r="BK74" s="7">
        <f>SUM($B$74:Q74)</f>
        <v>0</v>
      </c>
      <c r="BL74" s="7">
        <f>SUM($B$74:N74)</f>
        <v>0</v>
      </c>
      <c r="BM74" s="7">
        <f>SUM($B$74:O74)</f>
        <v>0</v>
      </c>
      <c r="BN74" s="7">
        <f>SUM($B$74:P74)</f>
        <v>0</v>
      </c>
      <c r="BO74" s="7">
        <f>SUM($B$74:R74)</f>
        <v>0</v>
      </c>
      <c r="BP74" s="7">
        <f>SUM($B$74:S74)</f>
        <v>0</v>
      </c>
      <c r="BQ74" s="7">
        <f>SUM($B$74:T74)</f>
        <v>0</v>
      </c>
      <c r="BR74" s="7">
        <f>SUM($B$74:V74)</f>
        <v>0</v>
      </c>
      <c r="BS74" s="7">
        <f>SUM($BR$74:BR74)</f>
        <v>0</v>
      </c>
      <c r="BT74">
        <f t="shared" ref="BT74:BT132" si="83">BR74+X74</f>
        <v>0</v>
      </c>
      <c r="BU74">
        <f>SUM($BT$74:BT74)</f>
        <v>0</v>
      </c>
    </row>
    <row r="75" spans="1:73" x14ac:dyDescent="0.35">
      <c r="A75" s="90" t="s">
        <v>23</v>
      </c>
      <c r="B75" s="8"/>
      <c r="C75" s="8"/>
      <c r="D75" s="8"/>
      <c r="E75" s="8"/>
      <c r="F75" s="8"/>
      <c r="G75" s="8"/>
      <c r="H75" s="8"/>
      <c r="I75" s="8"/>
      <c r="J75" s="8"/>
      <c r="K75" s="8"/>
      <c r="L75" s="8"/>
      <c r="M75" s="8"/>
      <c r="N75" s="8"/>
      <c r="O75" s="8"/>
      <c r="P75" s="8"/>
      <c r="Q75" s="8"/>
      <c r="R75" s="8"/>
      <c r="S75" s="8"/>
      <c r="T75" s="8"/>
      <c r="U75" s="8"/>
      <c r="V75" s="8"/>
      <c r="W75" s="7">
        <f t="shared" si="78"/>
        <v>0</v>
      </c>
      <c r="X75" s="8">
        <f t="shared" si="79"/>
        <v>0</v>
      </c>
      <c r="Y75" s="7">
        <f t="shared" si="80"/>
        <v>0</v>
      </c>
      <c r="Z75" s="50"/>
      <c r="AA75" s="43"/>
      <c r="AB75" s="44">
        <f t="shared" si="81"/>
        <v>0</v>
      </c>
      <c r="AC75" s="7" t="s">
        <v>23</v>
      </c>
      <c r="AD75" s="7">
        <f t="shared" ref="AD75:AM80" si="84">IF(B75 &gt; 0, IF(AD74 &gt; 0, AD74 + 1, 0.1), 0)</f>
        <v>0</v>
      </c>
      <c r="AE75" s="7">
        <f t="shared" si="84"/>
        <v>0</v>
      </c>
      <c r="AF75" s="7">
        <f t="shared" si="84"/>
        <v>0</v>
      </c>
      <c r="AG75" s="7">
        <f t="shared" si="84"/>
        <v>0</v>
      </c>
      <c r="AH75" s="7">
        <f t="shared" si="84"/>
        <v>0</v>
      </c>
      <c r="AI75" s="7">
        <f t="shared" si="84"/>
        <v>0</v>
      </c>
      <c r="AJ75" s="7">
        <f t="shared" si="84"/>
        <v>0</v>
      </c>
      <c r="AK75" s="7">
        <f t="shared" si="84"/>
        <v>0</v>
      </c>
      <c r="AL75" s="7">
        <f t="shared" si="84"/>
        <v>0</v>
      </c>
      <c r="AM75" s="7">
        <f t="shared" si="84"/>
        <v>0</v>
      </c>
      <c r="AN75" s="7">
        <f t="shared" ref="AN75:AT80" si="85">IF(L75 &gt; 0, IF(AN74 &gt; 0, AN74 + 1, 0.1), 0)</f>
        <v>0</v>
      </c>
      <c r="AO75" s="7">
        <f t="shared" si="85"/>
        <v>0</v>
      </c>
      <c r="AP75" s="7">
        <f t="shared" si="85"/>
        <v>0</v>
      </c>
      <c r="AQ75" s="7">
        <f t="shared" si="85"/>
        <v>0</v>
      </c>
      <c r="AR75" s="7">
        <f t="shared" si="85"/>
        <v>0</v>
      </c>
      <c r="AS75" s="7">
        <f t="shared" si="85"/>
        <v>0</v>
      </c>
      <c r="AT75" s="7">
        <f t="shared" si="85"/>
        <v>0</v>
      </c>
      <c r="AU75" s="7">
        <f t="shared" ref="AU75:AU80" si="86">IF(S75 &gt; 0, IF(AU67&gt; 0, AU67+ 1, 0.1), 0)</f>
        <v>0</v>
      </c>
      <c r="AV75" s="7">
        <f t="shared" ref="AV75:AW80" si="87">IF(T75 &gt; 0, IF(AV74 &gt; 0, AV74 + 1, 0.1), 0)</f>
        <v>0</v>
      </c>
      <c r="AW75" s="7">
        <f t="shared" si="87"/>
        <v>0</v>
      </c>
      <c r="AX75" s="7"/>
      <c r="AY75" s="7">
        <f>SUM($B$75:B75)</f>
        <v>0</v>
      </c>
      <c r="AZ75" s="7">
        <f>SUM($B$75:C75)</f>
        <v>0</v>
      </c>
      <c r="BA75" s="7">
        <f>SUM($B$75:D75)</f>
        <v>0</v>
      </c>
      <c r="BB75" s="7">
        <f>SUM($B$75:E75)</f>
        <v>0</v>
      </c>
      <c r="BC75" s="7">
        <f>SUM($B$75:F75)</f>
        <v>0</v>
      </c>
      <c r="BD75" s="7">
        <f>SUM($B$75:G75)</f>
        <v>0</v>
      </c>
      <c r="BE75" s="7">
        <f>SUM($B$75:H75)</f>
        <v>0</v>
      </c>
      <c r="BF75" s="7">
        <f>SUM($B$75:I75)</f>
        <v>0</v>
      </c>
      <c r="BG75" s="7">
        <f>SUM($B$75:J75)</f>
        <v>0</v>
      </c>
      <c r="BH75" s="7">
        <f>SUM($B$75:K75)</f>
        <v>0</v>
      </c>
      <c r="BI75" s="7">
        <f>SUM($B$75:L75)</f>
        <v>0</v>
      </c>
      <c r="BJ75" s="7">
        <f>SUM($B$75:M75)</f>
        <v>0</v>
      </c>
      <c r="BK75" s="7">
        <f>SUM($B$75:Q75)</f>
        <v>0</v>
      </c>
      <c r="BL75" s="7">
        <f>SUM($B$75:N75)</f>
        <v>0</v>
      </c>
      <c r="BM75" s="7">
        <f>SUM($B$75:O75)</f>
        <v>0</v>
      </c>
      <c r="BN75" s="7">
        <f>SUM($B$75:P75)</f>
        <v>0</v>
      </c>
      <c r="BO75" s="7">
        <f>SUM($B$75:R75)</f>
        <v>0</v>
      </c>
      <c r="BP75" s="7">
        <f>SUM($B$75:S75)</f>
        <v>0</v>
      </c>
      <c r="BQ75" s="7">
        <f>SUM($B$75:T75)</f>
        <v>0</v>
      </c>
      <c r="BR75" s="7">
        <f>SUM($B$75:V75)</f>
        <v>0</v>
      </c>
      <c r="BS75" s="7">
        <f>SUM($BR$74:BR75)</f>
        <v>0</v>
      </c>
      <c r="BT75">
        <f t="shared" si="83"/>
        <v>0</v>
      </c>
      <c r="BU75">
        <f>SUM($BT$74:BT75)</f>
        <v>0</v>
      </c>
    </row>
    <row r="76" spans="1:73" x14ac:dyDescent="0.35">
      <c r="A76" s="113" t="s">
        <v>24</v>
      </c>
      <c r="B76" s="8"/>
      <c r="C76" s="8"/>
      <c r="D76" s="8"/>
      <c r="E76" s="8"/>
      <c r="F76" s="8"/>
      <c r="G76" s="8"/>
      <c r="H76" s="8"/>
      <c r="I76" s="8"/>
      <c r="J76" s="8"/>
      <c r="K76" s="8"/>
      <c r="L76" s="8"/>
      <c r="M76" s="8"/>
      <c r="N76" s="8"/>
      <c r="O76" s="8"/>
      <c r="P76" s="8"/>
      <c r="Q76" s="8"/>
      <c r="R76" s="8"/>
      <c r="S76" s="8"/>
      <c r="T76" s="8"/>
      <c r="U76" s="8"/>
      <c r="V76" s="8"/>
      <c r="W76" s="7">
        <f t="shared" si="78"/>
        <v>0</v>
      </c>
      <c r="X76" s="8">
        <f t="shared" si="79"/>
        <v>0</v>
      </c>
      <c r="Y76" s="7">
        <f t="shared" si="80"/>
        <v>0</v>
      </c>
      <c r="Z76" s="50"/>
      <c r="AA76" s="43"/>
      <c r="AB76" s="44">
        <f t="shared" si="81"/>
        <v>0</v>
      </c>
      <c r="AC76" s="7" t="s">
        <v>24</v>
      </c>
      <c r="AD76" s="7">
        <f t="shared" si="84"/>
        <v>0</v>
      </c>
      <c r="AE76" s="7">
        <f t="shared" si="84"/>
        <v>0</v>
      </c>
      <c r="AF76" s="7">
        <f t="shared" si="84"/>
        <v>0</v>
      </c>
      <c r="AG76" s="7">
        <f t="shared" si="84"/>
        <v>0</v>
      </c>
      <c r="AH76" s="7">
        <f t="shared" si="84"/>
        <v>0</v>
      </c>
      <c r="AI76" s="7">
        <f t="shared" si="84"/>
        <v>0</v>
      </c>
      <c r="AJ76" s="7">
        <f t="shared" si="84"/>
        <v>0</v>
      </c>
      <c r="AK76" s="7">
        <f t="shared" si="84"/>
        <v>0</v>
      </c>
      <c r="AL76" s="7">
        <f t="shared" si="84"/>
        <v>0</v>
      </c>
      <c r="AM76" s="7">
        <f t="shared" si="84"/>
        <v>0</v>
      </c>
      <c r="AN76" s="7">
        <f t="shared" si="85"/>
        <v>0</v>
      </c>
      <c r="AO76" s="7">
        <f t="shared" si="85"/>
        <v>0</v>
      </c>
      <c r="AP76" s="7">
        <f t="shared" si="85"/>
        <v>0</v>
      </c>
      <c r="AQ76" s="7">
        <f t="shared" si="85"/>
        <v>0</v>
      </c>
      <c r="AR76" s="7">
        <f t="shared" si="85"/>
        <v>0</v>
      </c>
      <c r="AS76" s="7">
        <f t="shared" si="85"/>
        <v>0</v>
      </c>
      <c r="AT76" s="7">
        <f t="shared" si="85"/>
        <v>0</v>
      </c>
      <c r="AU76" s="7">
        <f t="shared" si="86"/>
        <v>0</v>
      </c>
      <c r="AV76" s="7">
        <f t="shared" si="87"/>
        <v>0</v>
      </c>
      <c r="AW76" s="7">
        <f t="shared" si="87"/>
        <v>0</v>
      </c>
      <c r="AX76" s="7"/>
      <c r="AY76" s="7">
        <f>SUM($B$76:B76)</f>
        <v>0</v>
      </c>
      <c r="AZ76" s="7">
        <f>SUM($B$76:C76)</f>
        <v>0</v>
      </c>
      <c r="BA76" s="7">
        <f>SUM($B$76:D76)</f>
        <v>0</v>
      </c>
      <c r="BB76" s="7">
        <f>SUM($B$76:E76)</f>
        <v>0</v>
      </c>
      <c r="BC76" s="7">
        <f>SUM($B$76:F76)</f>
        <v>0</v>
      </c>
      <c r="BD76" s="7">
        <f>SUM($B$76:G76)</f>
        <v>0</v>
      </c>
      <c r="BE76" s="7">
        <f>SUM($B$76:H76)</f>
        <v>0</v>
      </c>
      <c r="BF76" s="7">
        <f>SUM($B$76:I76)</f>
        <v>0</v>
      </c>
      <c r="BG76" s="7">
        <f>SUM($B$76:J76)</f>
        <v>0</v>
      </c>
      <c r="BH76" s="7">
        <f>SUM($B$76:K76)</f>
        <v>0</v>
      </c>
      <c r="BI76" s="7">
        <f>SUM($B$76:L76)</f>
        <v>0</v>
      </c>
      <c r="BJ76" s="7">
        <f>SUM($B$76:M76)</f>
        <v>0</v>
      </c>
      <c r="BK76" s="7">
        <f>SUM($B$76:Q76)</f>
        <v>0</v>
      </c>
      <c r="BL76" s="7">
        <f>SUM($B$76:N76)</f>
        <v>0</v>
      </c>
      <c r="BM76" s="7">
        <f>SUM($B$76:O76)</f>
        <v>0</v>
      </c>
      <c r="BN76" s="7">
        <f>SUM($B$76:P76)</f>
        <v>0</v>
      </c>
      <c r="BO76" s="7">
        <f>SUM($B$76:R76)</f>
        <v>0</v>
      </c>
      <c r="BP76" s="7">
        <f>SUM($B$76:S76)</f>
        <v>0</v>
      </c>
      <c r="BQ76" s="7">
        <f>SUM($B$76:T76)</f>
        <v>0</v>
      </c>
      <c r="BR76" s="7">
        <f>SUM($B$76:V76)</f>
        <v>0</v>
      </c>
      <c r="BS76" s="7">
        <f>SUM($BR$74:BR76)</f>
        <v>0</v>
      </c>
      <c r="BT76">
        <f t="shared" si="83"/>
        <v>0</v>
      </c>
      <c r="BU76">
        <f>SUM($BT$74:BT76)</f>
        <v>0</v>
      </c>
    </row>
    <row r="77" spans="1:73" x14ac:dyDescent="0.35">
      <c r="A77" s="124" t="s">
        <v>25</v>
      </c>
      <c r="B77" s="8"/>
      <c r="C77" s="8"/>
      <c r="D77" s="8"/>
      <c r="E77" s="8"/>
      <c r="F77" s="8"/>
      <c r="G77" s="8"/>
      <c r="H77" s="8"/>
      <c r="I77" s="8"/>
      <c r="J77" s="8"/>
      <c r="K77" s="8"/>
      <c r="L77" s="8"/>
      <c r="M77" s="8"/>
      <c r="N77" s="8"/>
      <c r="O77" s="8"/>
      <c r="P77" s="8"/>
      <c r="Q77" s="8"/>
      <c r="R77" s="8"/>
      <c r="S77" s="8"/>
      <c r="T77" s="8"/>
      <c r="U77" s="8"/>
      <c r="V77" s="8"/>
      <c r="W77" s="7">
        <f t="shared" si="78"/>
        <v>0</v>
      </c>
      <c r="X77" s="8">
        <f t="shared" si="79"/>
        <v>0</v>
      </c>
      <c r="Y77" s="7">
        <f t="shared" si="80"/>
        <v>0</v>
      </c>
      <c r="Z77" s="50"/>
      <c r="AA77" s="43"/>
      <c r="AB77" s="44">
        <f t="shared" si="81"/>
        <v>0</v>
      </c>
      <c r="AC77" s="7" t="s">
        <v>25</v>
      </c>
      <c r="AD77" s="7">
        <f t="shared" si="84"/>
        <v>0</v>
      </c>
      <c r="AE77" s="7">
        <f t="shared" si="84"/>
        <v>0</v>
      </c>
      <c r="AF77" s="7">
        <f t="shared" si="84"/>
        <v>0</v>
      </c>
      <c r="AG77" s="7">
        <f t="shared" si="84"/>
        <v>0</v>
      </c>
      <c r="AH77" s="7">
        <f t="shared" si="84"/>
        <v>0</v>
      </c>
      <c r="AI77" s="7">
        <f t="shared" si="84"/>
        <v>0</v>
      </c>
      <c r="AJ77" s="7">
        <f t="shared" si="84"/>
        <v>0</v>
      </c>
      <c r="AK77" s="7">
        <f t="shared" si="84"/>
        <v>0</v>
      </c>
      <c r="AL77" s="7">
        <f t="shared" si="84"/>
        <v>0</v>
      </c>
      <c r="AM77" s="7">
        <f t="shared" si="84"/>
        <v>0</v>
      </c>
      <c r="AN77" s="7">
        <f t="shared" si="85"/>
        <v>0</v>
      </c>
      <c r="AO77" s="7">
        <f t="shared" si="85"/>
        <v>0</v>
      </c>
      <c r="AP77" s="7">
        <f t="shared" si="85"/>
        <v>0</v>
      </c>
      <c r="AQ77" s="7">
        <f t="shared" si="85"/>
        <v>0</v>
      </c>
      <c r="AR77" s="7">
        <f t="shared" si="85"/>
        <v>0</v>
      </c>
      <c r="AS77" s="7">
        <f t="shared" si="85"/>
        <v>0</v>
      </c>
      <c r="AT77" s="7">
        <f t="shared" si="85"/>
        <v>0</v>
      </c>
      <c r="AU77" s="7">
        <f t="shared" si="86"/>
        <v>0</v>
      </c>
      <c r="AV77" s="7">
        <f t="shared" si="87"/>
        <v>0</v>
      </c>
      <c r="AW77" s="7">
        <f t="shared" si="87"/>
        <v>0</v>
      </c>
      <c r="AX77" s="7"/>
      <c r="AY77" s="7">
        <f>SUM($B$77:B77)</f>
        <v>0</v>
      </c>
      <c r="AZ77" s="7">
        <f>SUM($B$77:C77)</f>
        <v>0</v>
      </c>
      <c r="BA77" s="7">
        <f>SUM($B$77:D77)</f>
        <v>0</v>
      </c>
      <c r="BB77" s="7">
        <f>SUM($B$77:E77)</f>
        <v>0</v>
      </c>
      <c r="BC77" s="7">
        <f>SUM($B$77:F77)</f>
        <v>0</v>
      </c>
      <c r="BD77" s="7">
        <f>SUM($B$77:G77)</f>
        <v>0</v>
      </c>
      <c r="BE77" s="7">
        <f>SUM($B$77:H77)</f>
        <v>0</v>
      </c>
      <c r="BF77" s="7">
        <f>SUM($B$77:I77)</f>
        <v>0</v>
      </c>
      <c r="BG77" s="7">
        <f>SUM($B$77:J77)</f>
        <v>0</v>
      </c>
      <c r="BH77" s="7">
        <f>SUM($B$77:K77)</f>
        <v>0</v>
      </c>
      <c r="BI77" s="7">
        <f>SUM($B$77:L77)</f>
        <v>0</v>
      </c>
      <c r="BJ77" s="7">
        <f>SUM($B$77:M77)</f>
        <v>0</v>
      </c>
      <c r="BK77" s="7">
        <f>SUM($B$77:Q77)</f>
        <v>0</v>
      </c>
      <c r="BL77" s="7">
        <f>SUM($B$77:N77)</f>
        <v>0</v>
      </c>
      <c r="BM77" s="7">
        <f>SUM($B$77:O77)</f>
        <v>0</v>
      </c>
      <c r="BN77" s="7">
        <f>SUM($B$77:P77)</f>
        <v>0</v>
      </c>
      <c r="BO77" s="7">
        <f>SUM($B$77:R77)</f>
        <v>0</v>
      </c>
      <c r="BP77" s="7">
        <f>SUM($B$77:S77)</f>
        <v>0</v>
      </c>
      <c r="BQ77" s="7">
        <f>SUM($B$77:T77)</f>
        <v>0</v>
      </c>
      <c r="BR77" s="7">
        <f>SUM($B$77:V77)</f>
        <v>0</v>
      </c>
      <c r="BS77" s="7">
        <f>SUM($BR$74:BR77)</f>
        <v>0</v>
      </c>
      <c r="BT77">
        <f t="shared" si="83"/>
        <v>0</v>
      </c>
      <c r="BU77">
        <f>SUM($BT$74:BT77)</f>
        <v>0</v>
      </c>
    </row>
    <row r="78" spans="1:73" x14ac:dyDescent="0.35">
      <c r="A78" s="135" t="s">
        <v>26</v>
      </c>
      <c r="B78" s="8"/>
      <c r="C78" s="8"/>
      <c r="D78" s="8"/>
      <c r="E78" s="8"/>
      <c r="F78" s="8"/>
      <c r="G78" s="8"/>
      <c r="H78" s="8"/>
      <c r="I78" s="8"/>
      <c r="J78" s="8"/>
      <c r="K78" s="8"/>
      <c r="L78" s="8"/>
      <c r="M78" s="8"/>
      <c r="N78" s="8"/>
      <c r="O78" s="8"/>
      <c r="P78" s="8"/>
      <c r="Q78" s="8"/>
      <c r="R78" s="8"/>
      <c r="S78" s="8"/>
      <c r="T78" s="8"/>
      <c r="U78" s="8"/>
      <c r="V78" s="8"/>
      <c r="W78" s="7">
        <f t="shared" si="78"/>
        <v>0</v>
      </c>
      <c r="X78" s="8">
        <f t="shared" si="79"/>
        <v>0</v>
      </c>
      <c r="Y78" s="7">
        <f t="shared" si="80"/>
        <v>0</v>
      </c>
      <c r="Z78" s="50"/>
      <c r="AA78" s="43"/>
      <c r="AB78" s="44">
        <f t="shared" si="81"/>
        <v>0</v>
      </c>
      <c r="AC78" s="7" t="s">
        <v>26</v>
      </c>
      <c r="AD78" s="7">
        <f t="shared" si="84"/>
        <v>0</v>
      </c>
      <c r="AE78" s="7">
        <f t="shared" si="84"/>
        <v>0</v>
      </c>
      <c r="AF78" s="7">
        <f t="shared" si="84"/>
        <v>0</v>
      </c>
      <c r="AG78" s="7">
        <f t="shared" si="84"/>
        <v>0</v>
      </c>
      <c r="AH78" s="7">
        <f t="shared" si="84"/>
        <v>0</v>
      </c>
      <c r="AI78" s="7">
        <f t="shared" si="84"/>
        <v>0</v>
      </c>
      <c r="AJ78" s="7">
        <f t="shared" si="84"/>
        <v>0</v>
      </c>
      <c r="AK78" s="7">
        <f t="shared" si="84"/>
        <v>0</v>
      </c>
      <c r="AL78" s="7">
        <f t="shared" si="84"/>
        <v>0</v>
      </c>
      <c r="AM78" s="7">
        <f t="shared" si="84"/>
        <v>0</v>
      </c>
      <c r="AN78" s="7">
        <f t="shared" si="85"/>
        <v>0</v>
      </c>
      <c r="AO78" s="7">
        <f t="shared" si="85"/>
        <v>0</v>
      </c>
      <c r="AP78" s="7">
        <f t="shared" si="85"/>
        <v>0</v>
      </c>
      <c r="AQ78" s="7">
        <f t="shared" si="85"/>
        <v>0</v>
      </c>
      <c r="AR78" s="7">
        <f t="shared" si="85"/>
        <v>0</v>
      </c>
      <c r="AS78" s="7">
        <f t="shared" si="85"/>
        <v>0</v>
      </c>
      <c r="AT78" s="7">
        <f t="shared" si="85"/>
        <v>0</v>
      </c>
      <c r="AU78" s="7">
        <f t="shared" si="86"/>
        <v>0</v>
      </c>
      <c r="AV78" s="7">
        <f t="shared" si="87"/>
        <v>0</v>
      </c>
      <c r="AW78" s="7">
        <f t="shared" si="87"/>
        <v>0</v>
      </c>
      <c r="AX78" s="7"/>
      <c r="AY78" s="7">
        <f>SUM($B$78:B78)</f>
        <v>0</v>
      </c>
      <c r="AZ78" s="7">
        <f>SUM($B$78:C78)</f>
        <v>0</v>
      </c>
      <c r="BA78" s="7">
        <f>SUM($B$78:D78)</f>
        <v>0</v>
      </c>
      <c r="BB78" s="7">
        <f>SUM($B$78:E78)</f>
        <v>0</v>
      </c>
      <c r="BC78" s="7">
        <f>SUM($B$78:F78)</f>
        <v>0</v>
      </c>
      <c r="BD78" s="7">
        <f>SUM($B$78:G78)</f>
        <v>0</v>
      </c>
      <c r="BE78" s="7">
        <f>SUM($B$78:H78)</f>
        <v>0</v>
      </c>
      <c r="BF78" s="7">
        <f>SUM($B$78:I78)</f>
        <v>0</v>
      </c>
      <c r="BG78" s="7">
        <f>SUM($B$78:J78)</f>
        <v>0</v>
      </c>
      <c r="BH78" s="7">
        <f>SUM($B$78:K78)</f>
        <v>0</v>
      </c>
      <c r="BI78" s="7">
        <f>SUM($B$78:L78)</f>
        <v>0</v>
      </c>
      <c r="BJ78" s="7">
        <f>SUM($B$78:M78)</f>
        <v>0</v>
      </c>
      <c r="BK78" s="7">
        <f>SUM($B$78:Q78)</f>
        <v>0</v>
      </c>
      <c r="BL78" s="7">
        <f>SUM($B$78:N78)</f>
        <v>0</v>
      </c>
      <c r="BM78" s="7">
        <f>SUM($B$78:O78)</f>
        <v>0</v>
      </c>
      <c r="BN78" s="7">
        <f>SUM($B$78:P78)</f>
        <v>0</v>
      </c>
      <c r="BO78" s="7">
        <f>SUM($B$78:R78)</f>
        <v>0</v>
      </c>
      <c r="BP78" s="7">
        <f>SUM($B$78:S78)</f>
        <v>0</v>
      </c>
      <c r="BQ78" s="7">
        <f>SUM($B$78:T78)</f>
        <v>0</v>
      </c>
      <c r="BR78" s="7">
        <f>SUM($B$78:V78)</f>
        <v>0</v>
      </c>
      <c r="BS78" s="7">
        <f>SUM($BR$74:BR78)</f>
        <v>0</v>
      </c>
      <c r="BT78">
        <f t="shared" si="83"/>
        <v>0</v>
      </c>
      <c r="BU78">
        <f>SUM($BT$74:BT78)</f>
        <v>0</v>
      </c>
    </row>
    <row r="79" spans="1:73" x14ac:dyDescent="0.35">
      <c r="A79" s="146" t="s">
        <v>27</v>
      </c>
      <c r="B79" s="8"/>
      <c r="C79" s="8"/>
      <c r="D79" s="8"/>
      <c r="E79" s="8"/>
      <c r="F79" s="8"/>
      <c r="G79" s="8"/>
      <c r="H79" s="8"/>
      <c r="I79" s="8"/>
      <c r="J79" s="8"/>
      <c r="K79" s="8"/>
      <c r="L79" s="8"/>
      <c r="M79" s="8"/>
      <c r="N79" s="8"/>
      <c r="O79" s="8"/>
      <c r="P79" s="8"/>
      <c r="Q79" s="8"/>
      <c r="R79" s="8"/>
      <c r="S79" s="8"/>
      <c r="T79" s="8"/>
      <c r="U79" s="8"/>
      <c r="V79" s="8"/>
      <c r="W79" s="7">
        <f t="shared" si="78"/>
        <v>0</v>
      </c>
      <c r="X79" s="8">
        <f t="shared" si="79"/>
        <v>0</v>
      </c>
      <c r="Y79" s="7">
        <f t="shared" si="80"/>
        <v>0</v>
      </c>
      <c r="Z79" s="50"/>
      <c r="AA79" s="43"/>
      <c r="AB79" s="44">
        <f t="shared" si="81"/>
        <v>0</v>
      </c>
      <c r="AC79" s="7" t="s">
        <v>27</v>
      </c>
      <c r="AD79" s="7">
        <f t="shared" si="84"/>
        <v>0</v>
      </c>
      <c r="AE79" s="7">
        <f t="shared" si="84"/>
        <v>0</v>
      </c>
      <c r="AF79" s="7">
        <f t="shared" si="84"/>
        <v>0</v>
      </c>
      <c r="AG79" s="7">
        <f t="shared" si="84"/>
        <v>0</v>
      </c>
      <c r="AH79" s="7">
        <f t="shared" si="84"/>
        <v>0</v>
      </c>
      <c r="AI79" s="7">
        <f t="shared" si="84"/>
        <v>0</v>
      </c>
      <c r="AJ79" s="7">
        <f t="shared" si="84"/>
        <v>0</v>
      </c>
      <c r="AK79" s="7">
        <f t="shared" si="84"/>
        <v>0</v>
      </c>
      <c r="AL79" s="7">
        <f t="shared" si="84"/>
        <v>0</v>
      </c>
      <c r="AM79" s="7">
        <f t="shared" si="84"/>
        <v>0</v>
      </c>
      <c r="AN79" s="7">
        <f t="shared" si="85"/>
        <v>0</v>
      </c>
      <c r="AO79" s="7">
        <f t="shared" si="85"/>
        <v>0</v>
      </c>
      <c r="AP79" s="7">
        <f t="shared" si="85"/>
        <v>0</v>
      </c>
      <c r="AQ79" s="7">
        <f t="shared" si="85"/>
        <v>0</v>
      </c>
      <c r="AR79" s="7">
        <f t="shared" si="85"/>
        <v>0</v>
      </c>
      <c r="AS79" s="7">
        <f t="shared" si="85"/>
        <v>0</v>
      </c>
      <c r="AT79" s="7">
        <f t="shared" si="85"/>
        <v>0</v>
      </c>
      <c r="AU79" s="7">
        <f t="shared" si="86"/>
        <v>0</v>
      </c>
      <c r="AV79" s="7">
        <f t="shared" si="87"/>
        <v>0</v>
      </c>
      <c r="AW79" s="7">
        <f t="shared" si="87"/>
        <v>0</v>
      </c>
      <c r="AX79" s="7"/>
      <c r="AY79" s="7">
        <f>SUM($B$79:B79)</f>
        <v>0</v>
      </c>
      <c r="AZ79" s="7">
        <f>SUM($B$79:C79)</f>
        <v>0</v>
      </c>
      <c r="BA79" s="7">
        <f>SUM($B$79:D79)</f>
        <v>0</v>
      </c>
      <c r="BB79" s="7">
        <f>SUM($B$79:E79)</f>
        <v>0</v>
      </c>
      <c r="BC79" s="7">
        <f>SUM($B$79:F79)</f>
        <v>0</v>
      </c>
      <c r="BD79" s="7">
        <f>SUM($B$79:G79)</f>
        <v>0</v>
      </c>
      <c r="BE79" s="7">
        <f>SUM($B$79:H79)</f>
        <v>0</v>
      </c>
      <c r="BF79" s="7">
        <f>SUM($B$79:I79)</f>
        <v>0</v>
      </c>
      <c r="BG79" s="7">
        <f>SUM($B$79:J79)</f>
        <v>0</v>
      </c>
      <c r="BH79" s="7">
        <f>SUM($B$79:K79)</f>
        <v>0</v>
      </c>
      <c r="BI79" s="7">
        <f>SUM($B$79:L79)</f>
        <v>0</v>
      </c>
      <c r="BJ79" s="7">
        <f>SUM($B$79:M79)</f>
        <v>0</v>
      </c>
      <c r="BK79" s="7">
        <f>SUM($B$79:Q79)</f>
        <v>0</v>
      </c>
      <c r="BL79" s="7">
        <f>SUM($B$79:N79)</f>
        <v>0</v>
      </c>
      <c r="BM79" s="7">
        <f>SUM($B$79:O79)</f>
        <v>0</v>
      </c>
      <c r="BN79" s="7">
        <f>SUM($B$79:P79)</f>
        <v>0</v>
      </c>
      <c r="BO79" s="7">
        <f>SUM($B$79:R79)</f>
        <v>0</v>
      </c>
      <c r="BP79" s="7">
        <f>SUM($B$79:S79)</f>
        <v>0</v>
      </c>
      <c r="BQ79" s="7">
        <f>SUM($B$79:T79)</f>
        <v>0</v>
      </c>
      <c r="BR79" s="7">
        <f>SUM($B$79:V79)</f>
        <v>0</v>
      </c>
      <c r="BS79" s="7">
        <f>SUM($BR$74:BR79)</f>
        <v>0</v>
      </c>
      <c r="BT79">
        <f t="shared" si="83"/>
        <v>0</v>
      </c>
      <c r="BU79">
        <f>SUM($BT$74:BT79)</f>
        <v>0</v>
      </c>
    </row>
    <row r="80" spans="1:73" x14ac:dyDescent="0.35">
      <c r="A80" s="156" t="s">
        <v>28</v>
      </c>
      <c r="B80" s="8"/>
      <c r="C80" s="8"/>
      <c r="D80" s="8"/>
      <c r="E80" s="8"/>
      <c r="F80" s="8"/>
      <c r="G80" s="8"/>
      <c r="H80" s="8"/>
      <c r="I80" s="8"/>
      <c r="J80" s="8"/>
      <c r="K80" s="8"/>
      <c r="L80" s="8"/>
      <c r="M80" s="8"/>
      <c r="N80" s="8"/>
      <c r="O80" s="8"/>
      <c r="P80" s="8"/>
      <c r="Q80" s="8"/>
      <c r="R80" s="8"/>
      <c r="S80" s="8"/>
      <c r="T80" s="8"/>
      <c r="U80" s="8"/>
      <c r="V80" s="8"/>
      <c r="W80" s="7">
        <f t="shared" si="78"/>
        <v>0</v>
      </c>
      <c r="X80" s="8">
        <f t="shared" si="79"/>
        <v>0</v>
      </c>
      <c r="Y80" s="7">
        <f t="shared" si="80"/>
        <v>0</v>
      </c>
      <c r="Z80" s="50"/>
      <c r="AA80" s="43"/>
      <c r="AB80" s="44">
        <f t="shared" si="81"/>
        <v>0</v>
      </c>
      <c r="AC80" s="7" t="s">
        <v>28</v>
      </c>
      <c r="AD80" s="7">
        <f t="shared" si="84"/>
        <v>0</v>
      </c>
      <c r="AE80" s="7">
        <f t="shared" si="84"/>
        <v>0</v>
      </c>
      <c r="AF80" s="7">
        <f t="shared" si="84"/>
        <v>0</v>
      </c>
      <c r="AG80" s="7">
        <f t="shared" si="84"/>
        <v>0</v>
      </c>
      <c r="AH80" s="7">
        <f t="shared" si="84"/>
        <v>0</v>
      </c>
      <c r="AI80" s="7">
        <f t="shared" si="84"/>
        <v>0</v>
      </c>
      <c r="AJ80" s="7">
        <f t="shared" si="84"/>
        <v>0</v>
      </c>
      <c r="AK80" s="7">
        <f t="shared" si="84"/>
        <v>0</v>
      </c>
      <c r="AL80" s="7">
        <f t="shared" si="84"/>
        <v>0</v>
      </c>
      <c r="AM80" s="7">
        <f t="shared" si="84"/>
        <v>0</v>
      </c>
      <c r="AN80" s="7">
        <f t="shared" si="85"/>
        <v>0</v>
      </c>
      <c r="AO80" s="7">
        <f t="shared" si="85"/>
        <v>0</v>
      </c>
      <c r="AP80" s="7">
        <f t="shared" si="85"/>
        <v>0</v>
      </c>
      <c r="AQ80" s="7">
        <f t="shared" si="85"/>
        <v>0</v>
      </c>
      <c r="AR80" s="7">
        <f t="shared" si="85"/>
        <v>0</v>
      </c>
      <c r="AS80" s="7">
        <f t="shared" si="85"/>
        <v>0</v>
      </c>
      <c r="AT80" s="7">
        <f t="shared" si="85"/>
        <v>0</v>
      </c>
      <c r="AU80" s="7">
        <f t="shared" si="86"/>
        <v>0</v>
      </c>
      <c r="AV80" s="7">
        <f t="shared" si="87"/>
        <v>0</v>
      </c>
      <c r="AW80" s="7">
        <f t="shared" si="87"/>
        <v>0</v>
      </c>
      <c r="AX80" s="7"/>
      <c r="AY80" s="7">
        <f>SUM($B$80:B80)</f>
        <v>0</v>
      </c>
      <c r="AZ80" s="7">
        <f>SUM($B$80:C80)</f>
        <v>0</v>
      </c>
      <c r="BA80" s="7">
        <f>SUM($B$80:D80)</f>
        <v>0</v>
      </c>
      <c r="BB80" s="7">
        <f>SUM($B$80:E80)</f>
        <v>0</v>
      </c>
      <c r="BC80" s="7">
        <f>SUM($B$80:F80)</f>
        <v>0</v>
      </c>
      <c r="BD80" s="7">
        <f>SUM($B$80:G80)</f>
        <v>0</v>
      </c>
      <c r="BE80" s="7">
        <f>SUM($B$80:H80)</f>
        <v>0</v>
      </c>
      <c r="BF80" s="7">
        <f>SUM($B$80:I80)</f>
        <v>0</v>
      </c>
      <c r="BG80" s="7">
        <f>SUM($B$80:J80)</f>
        <v>0</v>
      </c>
      <c r="BH80" s="7">
        <f>SUM($B$80:K80)</f>
        <v>0</v>
      </c>
      <c r="BI80" s="7">
        <f>SUM($B$80:L80)</f>
        <v>0</v>
      </c>
      <c r="BJ80" s="7">
        <f>SUM($B$80:M80)</f>
        <v>0</v>
      </c>
      <c r="BK80" s="7">
        <f>SUM($B$80:Q80)</f>
        <v>0</v>
      </c>
      <c r="BL80" s="7">
        <f>SUM($B$80:N80)</f>
        <v>0</v>
      </c>
      <c r="BM80" s="7">
        <f>SUM($B$80:O80)</f>
        <v>0</v>
      </c>
      <c r="BN80" s="7">
        <f>SUM($B$80:P80)</f>
        <v>0</v>
      </c>
      <c r="BO80" s="7">
        <f>SUM($B$80:R80)</f>
        <v>0</v>
      </c>
      <c r="BP80" s="7">
        <f>SUM($B$80:S80)</f>
        <v>0</v>
      </c>
      <c r="BQ80" s="7">
        <f>SUM($B$80:T80)</f>
        <v>0</v>
      </c>
      <c r="BR80" s="7">
        <f>SUM($B$80:V80)</f>
        <v>0</v>
      </c>
      <c r="BS80" s="7">
        <f>SUM($BR$74:BR80)</f>
        <v>0</v>
      </c>
      <c r="BT80">
        <f t="shared" si="83"/>
        <v>0</v>
      </c>
      <c r="BU80">
        <f>SUM($BT$74:BT80)</f>
        <v>0</v>
      </c>
    </row>
    <row r="81" spans="1:73" x14ac:dyDescent="0.35">
      <c r="A81" s="44" t="s">
        <v>29</v>
      </c>
      <c r="B81" s="8">
        <f t="shared" ref="B81:T81" si="88">SUM(B74:B80)</f>
        <v>0</v>
      </c>
      <c r="C81" s="8">
        <f t="shared" si="88"/>
        <v>0</v>
      </c>
      <c r="D81" s="8">
        <f t="shared" si="88"/>
        <v>0</v>
      </c>
      <c r="E81" s="8">
        <f t="shared" si="88"/>
        <v>0</v>
      </c>
      <c r="F81" s="8">
        <f t="shared" si="88"/>
        <v>0</v>
      </c>
      <c r="G81" s="8">
        <f t="shared" si="88"/>
        <v>0</v>
      </c>
      <c r="H81" s="8">
        <f t="shared" si="88"/>
        <v>0</v>
      </c>
      <c r="I81" s="8">
        <f t="shared" si="88"/>
        <v>0</v>
      </c>
      <c r="J81" s="8">
        <f t="shared" si="88"/>
        <v>0</v>
      </c>
      <c r="K81" s="8">
        <f>SUM(K74:K80)</f>
        <v>0</v>
      </c>
      <c r="L81" s="8">
        <f t="shared" si="88"/>
        <v>0</v>
      </c>
      <c r="M81" s="8">
        <f t="shared" si="88"/>
        <v>0</v>
      </c>
      <c r="N81" s="8">
        <f t="shared" si="88"/>
        <v>0</v>
      </c>
      <c r="O81" s="8">
        <f t="shared" si="88"/>
        <v>0</v>
      </c>
      <c r="P81" s="8">
        <f t="shared" si="88"/>
        <v>0</v>
      </c>
      <c r="Q81" s="8">
        <f>SUM(Q74:Q80)</f>
        <v>0</v>
      </c>
      <c r="R81" s="8">
        <f t="shared" si="88"/>
        <v>0</v>
      </c>
      <c r="S81" s="8">
        <f t="shared" si="88"/>
        <v>0</v>
      </c>
      <c r="T81" s="8">
        <f t="shared" si="88"/>
        <v>0</v>
      </c>
      <c r="U81" s="8">
        <f t="shared" ref="U81" si="89">SUM(U74:U80)</f>
        <v>0</v>
      </c>
      <c r="V81" s="8">
        <f>SUM(V74:V80)</f>
        <v>0</v>
      </c>
      <c r="W81" s="31">
        <f>SUM(W74:W80)</f>
        <v>0</v>
      </c>
      <c r="X81" s="8"/>
      <c r="Y81" s="7"/>
      <c r="Z81" s="50" t="s">
        <v>174</v>
      </c>
      <c r="AA81" s="43"/>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row>
    <row r="82" spans="1:73" x14ac:dyDescent="0.35">
      <c r="A82" s="44" t="s">
        <v>33</v>
      </c>
      <c r="B82" s="7">
        <f t="shared" ref="B82:U82" si="90">B81-B67</f>
        <v>0</v>
      </c>
      <c r="C82" s="7">
        <f t="shared" si="90"/>
        <v>0</v>
      </c>
      <c r="D82" s="7">
        <f t="shared" si="90"/>
        <v>0</v>
      </c>
      <c r="E82" s="7">
        <f t="shared" si="90"/>
        <v>0</v>
      </c>
      <c r="F82" s="7">
        <f t="shared" si="90"/>
        <v>0</v>
      </c>
      <c r="G82" s="7">
        <f t="shared" si="90"/>
        <v>0</v>
      </c>
      <c r="H82" s="7">
        <f t="shared" si="90"/>
        <v>0</v>
      </c>
      <c r="I82" s="7">
        <f t="shared" si="90"/>
        <v>0</v>
      </c>
      <c r="J82" s="7">
        <f t="shared" si="90"/>
        <v>0</v>
      </c>
      <c r="K82" s="7">
        <f t="shared" si="90"/>
        <v>0</v>
      </c>
      <c r="L82" s="7">
        <f t="shared" si="90"/>
        <v>0</v>
      </c>
      <c r="M82" s="7">
        <f t="shared" si="90"/>
        <v>0</v>
      </c>
      <c r="N82" s="7">
        <f t="shared" si="90"/>
        <v>0</v>
      </c>
      <c r="O82" s="7">
        <f t="shared" si="90"/>
        <v>0</v>
      </c>
      <c r="P82" s="7">
        <f t="shared" si="90"/>
        <v>0</v>
      </c>
      <c r="Q82" s="7">
        <f t="shared" si="90"/>
        <v>0</v>
      </c>
      <c r="R82" s="7">
        <f t="shared" si="90"/>
        <v>0</v>
      </c>
      <c r="S82" s="7">
        <f t="shared" si="90"/>
        <v>0</v>
      </c>
      <c r="T82" s="7">
        <f t="shared" si="90"/>
        <v>0</v>
      </c>
      <c r="U82" s="7">
        <f t="shared" si="90"/>
        <v>0</v>
      </c>
      <c r="V82" s="7">
        <f>V81-V67</f>
        <v>0</v>
      </c>
      <c r="W82" s="7">
        <f>W81-W67</f>
        <v>0</v>
      </c>
      <c r="X82" s="7"/>
      <c r="Y82" s="7"/>
      <c r="Z82" s="50"/>
      <c r="AA82" s="43"/>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row>
    <row r="83" spans="1:73" x14ac:dyDescent="0.35">
      <c r="A83" s="44" t="s">
        <v>110</v>
      </c>
      <c r="B83" s="7" cm="1">
        <f t="array" ref="B83">IF(COUNTIF(AD73:AD79,0)=0,
    LOOKUP(2,1/(AD73:AD79&lt;&gt;""),AD73:AD79),
    MATCH(0,INDEX(AD73:AD79,MAX(ROW(AD73:AD79))-ROW(AD73:AD79)+1),0)-1
)</f>
        <v>0</v>
      </c>
      <c r="C83" s="7" cm="1">
        <f t="array" ref="C83">IF(COUNTIF(AE73:AE79,0)=0,
    LOOKUP(2,1/(AE73:AE79&lt;&gt;""),AE73:AE79),
    MATCH(0,INDEX(AE73:AE79,MAX(ROW(AE73:AE79))-ROW(AE73:AE79)+1),0)-1
)</f>
        <v>0</v>
      </c>
      <c r="D83" s="7" cm="1">
        <f t="array" ref="D83">IF(COUNTIF(AF73:AF79,0)=0,
    LOOKUP(2,1/(AF73:AF79&lt;&gt;""),AF73:AF79),
    MATCH(0,INDEX(AF73:AF79,MAX(ROW(AF73:AF79))-ROW(AF73:AF79)+1),0)-1
)</f>
        <v>0</v>
      </c>
      <c r="E83" s="7" cm="1">
        <f t="array" ref="E83">IF(COUNTIF(AG73:AG79,0)=0,
    LOOKUP(2,1/(AG73:AG79&lt;&gt;""),AG73:AG79),
    MATCH(0,INDEX(AG73:AG79,MAX(ROW(AG73:AG79))-ROW(AG73:AG79)+1),0)-1
)</f>
        <v>0</v>
      </c>
      <c r="F83" s="7" cm="1">
        <f t="array" ref="F83">IF(COUNTIF(AH73:AH79,0)=0,
    LOOKUP(2,1/(AH73:AH79&lt;&gt;""),AH73:AH79),
    MATCH(0,INDEX(AH73:AH79,MAX(ROW(AH73:AH79))-ROW(AH73:AH79)+1),0)-1
)</f>
        <v>0</v>
      </c>
      <c r="G83" s="7" cm="1">
        <f t="array" ref="G83">IF(COUNTIF(AI73:AI79,0)=0,
    LOOKUP(2,1/(AI73:AI79&lt;&gt;""),AI73:AI79),
    MATCH(0,INDEX(AI73:AI79,MAX(ROW(AI73:AI79))-ROW(AI73:AI79)+1),0)-1
)</f>
        <v>0</v>
      </c>
      <c r="H83" s="7" cm="1">
        <f t="array" ref="H83">IF(COUNTIF(AJ73:AJ79,0)=0,
    LOOKUP(2,1/(AJ73:AJ79&lt;&gt;""),AJ73:AJ79),
    MATCH(0,INDEX(AJ73:AJ79,MAX(ROW(AJ73:AJ79))-ROW(AJ73:AJ79)+1),0)-1
)</f>
        <v>0</v>
      </c>
      <c r="I83" s="7" cm="1">
        <f t="array" ref="I83">IF(COUNTIF(AK73:AK79,0)=0,
    LOOKUP(2,1/(AK73:AK79&lt;&gt;""),AK73:AK79),
    MATCH(0,INDEX(AK73:AK79,MAX(ROW(AK73:AK79))-ROW(AK73:AK79)+1),0)-1
)</f>
        <v>0</v>
      </c>
      <c r="J83" s="7" cm="1">
        <f t="array" ref="J83">IF(COUNTIF(AL73:AL79,0)=0,
    LOOKUP(2,1/(AL73:AL79&lt;&gt;""),AL73:AL79),
    MATCH(0,INDEX(AL73:AL79,MAX(ROW(AL73:AL79))-ROW(AL73:AL79)+1),0)-1
)</f>
        <v>0</v>
      </c>
      <c r="K83" s="7" cm="1">
        <f t="array" ref="K83">IF(COUNTIF(AM73:AM79,0)=0,
    LOOKUP(2,1/(AM73:AM79&lt;&gt;""),AM73:AM79),
    MATCH(0,INDEX(AM73:AM79,MAX(ROW(AM73:AM79))-ROW(AM73:AM79)+1),0)-1
)</f>
        <v>0</v>
      </c>
      <c r="L83" s="7" cm="1">
        <f t="array" ref="L83">IF(COUNTIF(AN73:AN79,0)=0,
    LOOKUP(2,1/(AN73:AN79&lt;&gt;""),AN73:AN79),
    MATCH(0,INDEX(AN73:AN79,MAX(ROW(AN73:AN79))-ROW(AN73:AN79)+1),0)-1
)</f>
        <v>0</v>
      </c>
      <c r="M83" s="7" cm="1">
        <f t="array" ref="M83">IF(COUNTIF(AO73:AO79,0)=0,
    LOOKUP(2,1/(AO73:AO79&lt;&gt;""),AO73:AO79),
    MATCH(0,INDEX(AO73:AO79,MAX(ROW(AO73:AO79))-ROW(AO73:AO79)+1),0)-1
)</f>
        <v>0</v>
      </c>
      <c r="N83" s="7" cm="1">
        <f t="array" ref="N83">IF(COUNTIF(AP73:AP79,0)=0,
    LOOKUP(2,1/(AP73:AP79&lt;&gt;""),AP73:AP79),
    MATCH(0,INDEX(AP73:AP79,MAX(ROW(AP73:AP79))-ROW(AP73:AP79)+1),0)-1
)</f>
        <v>0</v>
      </c>
      <c r="O83" s="7" cm="1">
        <f t="array" ref="O83">IF(COUNTIF(AQ73:AQ79,0)=0,
    LOOKUP(2,1/(AQ73:AQ79&lt;&gt;""),AQ73:AQ79),
    MATCH(0,INDEX(AQ73:AQ79,MAX(ROW(AQ73:AQ79))-ROW(AQ73:AQ79)+1),0)-1
)</f>
        <v>0</v>
      </c>
      <c r="P83" s="7" cm="1">
        <f t="array" ref="P83">IF(COUNTIF(AR73:AR79,0)=0,
    LOOKUP(2,1/(AR73:AR79&lt;&gt;""),AR73:AR79),
    MATCH(0,INDEX(AR73:AR79,MAX(ROW(AR73:AR79))-ROW(AR73:AR79)+1),0)-1
)</f>
        <v>0</v>
      </c>
      <c r="Q83" s="7" cm="1">
        <f t="array" ref="Q83">IF(COUNTIF(AS73:AS79,0)=0,
    LOOKUP(2,1/(AS73:AS79&lt;&gt;""),AS73:AS79),
    MATCH(0,INDEX(AS73:AS79,MAX(ROW(AS73:AS79))-ROW(AS73:AS79)+1),0)-1
)</f>
        <v>0</v>
      </c>
      <c r="R83" s="7" cm="1">
        <f t="array" ref="R83">IF(COUNTIF(AT73:AT79,0)=0,
    LOOKUP(2,1/(AT73:AT79&lt;&gt;""),AT73:AT79),
    MATCH(0,INDEX(AT73:AT79,MAX(ROW(AT73:AT79))-ROW(AT73:AT79)+1),0)-1
)</f>
        <v>0</v>
      </c>
      <c r="S83" s="7" cm="1">
        <f t="array" ref="S83">IF(COUNTIF(AU73:AU79,0)=0,
    LOOKUP(2,1/(AU73:AU79&lt;&gt;""),AU73:AU79),
    MATCH(0,INDEX(AU73:AU79,MAX(ROW(AU73:AU79))-ROW(AU73:AU79)+1),0)-1
)</f>
        <v>0</v>
      </c>
      <c r="T83" s="7" cm="1">
        <f t="array" ref="T83">IF(COUNTIF(AV73:AV79,0)=0,
    LOOKUP(2,1/(AV73:AV79&lt;&gt;""),AV73:AV79),
    MATCH(0,INDEX(AV73:AV79,MAX(ROW(AV73:AV79))-ROW(AV73:AV79)+1),0)-1
)</f>
        <v>0</v>
      </c>
      <c r="U83" s="7" cm="1">
        <f t="array" ref="U83">IF(COUNTIF(AW73:AW79,0)=0,
    LOOKUP(2,1/(AW73:AW79&lt;&gt;""),AW73:AW79),
    MATCH(0,INDEX(AW73:AW79,MAX(ROW(AW73:AW79))-ROW(AW73:AW79)+1),0)-1
)</f>
        <v>0</v>
      </c>
      <c r="V83" s="7"/>
      <c r="W83" s="7"/>
      <c r="X83" s="7"/>
      <c r="Y83" s="7"/>
      <c r="Z83" s="50"/>
      <c r="AA83" s="43"/>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row>
    <row r="84" spans="1:73" x14ac:dyDescent="0.35">
      <c r="A84" s="44" t="s">
        <v>99</v>
      </c>
      <c r="B84" s="7">
        <f t="shared" ref="B84:U84" si="91">B81+B70</f>
        <v>2</v>
      </c>
      <c r="C84" s="7">
        <f t="shared" si="91"/>
        <v>0</v>
      </c>
      <c r="D84" s="7">
        <f t="shared" si="91"/>
        <v>5</v>
      </c>
      <c r="E84" s="7">
        <f t="shared" si="91"/>
        <v>9</v>
      </c>
      <c r="F84" s="7">
        <f t="shared" si="91"/>
        <v>4</v>
      </c>
      <c r="G84" s="7">
        <f t="shared" si="91"/>
        <v>0</v>
      </c>
      <c r="H84" s="7">
        <f t="shared" si="91"/>
        <v>0</v>
      </c>
      <c r="I84" s="7">
        <f t="shared" si="91"/>
        <v>3</v>
      </c>
      <c r="J84" s="7">
        <f t="shared" si="91"/>
        <v>0</v>
      </c>
      <c r="K84" s="7">
        <f t="shared" si="91"/>
        <v>0.75</v>
      </c>
      <c r="L84" s="7">
        <f t="shared" si="91"/>
        <v>2</v>
      </c>
      <c r="M84" s="7">
        <f t="shared" si="91"/>
        <v>1</v>
      </c>
      <c r="N84" s="7">
        <f t="shared" si="91"/>
        <v>2.5</v>
      </c>
      <c r="O84" s="7">
        <f t="shared" si="91"/>
        <v>2</v>
      </c>
      <c r="P84" s="7">
        <f t="shared" si="91"/>
        <v>0</v>
      </c>
      <c r="Q84" s="7">
        <f t="shared" si="91"/>
        <v>0</v>
      </c>
      <c r="R84" s="7">
        <f t="shared" si="91"/>
        <v>1</v>
      </c>
      <c r="S84" s="7">
        <f t="shared" si="91"/>
        <v>3</v>
      </c>
      <c r="T84" s="7">
        <f t="shared" si="91"/>
        <v>0</v>
      </c>
      <c r="U84" s="7">
        <f t="shared" si="91"/>
        <v>-1</v>
      </c>
      <c r="V84" s="7">
        <f>V81+V70</f>
        <v>2</v>
      </c>
      <c r="W84" s="7">
        <f>SUM(W70,W81)</f>
        <v>36.25</v>
      </c>
      <c r="X84" s="7"/>
      <c r="Y84" s="7">
        <f>SUM(Y74:Y80)</f>
        <v>0</v>
      </c>
      <c r="Z84" s="50"/>
      <c r="AA84" s="43"/>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row>
    <row r="85" spans="1:73" x14ac:dyDescent="0.35">
      <c r="A85" s="44" t="s">
        <v>112</v>
      </c>
      <c r="B85" s="174">
        <f>(COUNTIF(B4:B10, "&gt;0")+COUNTIF(B18:B24, "&gt;0")+COUNTIF(B32:B38, "&gt;0")+COUNTIF(B46:B52, "&gt;0")+COUNTIF(B60:B66, "&gt;0") + COUNTIF(B74:B80, "&gt;0")) / 42</f>
        <v>2.3809523809523808E-2</v>
      </c>
      <c r="C85" s="174">
        <f t="shared" ref="C85:O85" si="92">(COUNTIF(C4:C10, "&gt;0")+COUNTIF(C18:C24, "&gt;0")+COUNTIF(C32:C38, "&gt;0")+COUNTIF(C46:C52, "&gt;0")+COUNTIF(C60:C66, "&gt;0") + COUNTIF(C74:C80, "&gt;0")) / 42</f>
        <v>0</v>
      </c>
      <c r="D85" s="174">
        <f t="shared" si="92"/>
        <v>2.3809523809523808E-2</v>
      </c>
      <c r="E85" s="174">
        <f t="shared" si="92"/>
        <v>2.3809523809523808E-2</v>
      </c>
      <c r="F85" s="174">
        <f t="shared" si="92"/>
        <v>2.3809523809523808E-2</v>
      </c>
      <c r="G85" s="174">
        <f t="shared" si="92"/>
        <v>0</v>
      </c>
      <c r="H85" s="174">
        <f t="shared" si="92"/>
        <v>0</v>
      </c>
      <c r="I85" s="174">
        <f t="shared" si="92"/>
        <v>2.3809523809523808E-2</v>
      </c>
      <c r="J85" s="174">
        <f t="shared" si="92"/>
        <v>0</v>
      </c>
      <c r="K85" s="174">
        <f t="shared" si="92"/>
        <v>2.3809523809523808E-2</v>
      </c>
      <c r="L85" s="174">
        <f t="shared" si="92"/>
        <v>2.3809523809523808E-2</v>
      </c>
      <c r="M85" s="174">
        <f t="shared" si="92"/>
        <v>2.3809523809523808E-2</v>
      </c>
      <c r="N85" s="174">
        <f t="shared" si="92"/>
        <v>2.3809523809523808E-2</v>
      </c>
      <c r="O85" s="174">
        <f t="shared" si="92"/>
        <v>2.3809523809523808E-2</v>
      </c>
      <c r="P85" s="7"/>
      <c r="Q85" s="7"/>
      <c r="R85" s="7"/>
      <c r="S85" s="7"/>
      <c r="T85" s="7"/>
      <c r="U85" s="44" t="s">
        <v>31</v>
      </c>
      <c r="V85" s="7">
        <f>SUMIF(B81:V81,"&lt;0",B81:V81)</f>
        <v>0</v>
      </c>
      <c r="W85" s="7">
        <f>SUMIF(B81:V81,"&gt;0",B81:V81)</f>
        <v>0</v>
      </c>
      <c r="Y85" s="7"/>
      <c r="Z85" s="50"/>
      <c r="AA85" s="43"/>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row>
    <row r="86" spans="1:73" x14ac:dyDescent="0.35">
      <c r="A86" s="7"/>
      <c r="B86" s="7"/>
      <c r="C86" s="7"/>
      <c r="D86" s="7"/>
      <c r="E86" s="7"/>
      <c r="F86" s="7"/>
      <c r="G86" s="7"/>
      <c r="H86" s="7"/>
      <c r="I86" s="7"/>
      <c r="J86" s="7"/>
      <c r="K86" s="7"/>
      <c r="L86" s="7"/>
      <c r="M86" s="7"/>
      <c r="N86" s="7"/>
      <c r="O86" s="7"/>
      <c r="P86" s="7"/>
      <c r="Q86" s="7"/>
      <c r="R86" s="7"/>
      <c r="S86" s="7"/>
      <c r="T86" s="7"/>
      <c r="U86" s="7"/>
      <c r="V86" s="7"/>
      <c r="W86" s="7"/>
      <c r="X86" s="7"/>
      <c r="Y86" s="7"/>
      <c r="Z86" s="11"/>
      <c r="AA86" s="11"/>
      <c r="AB86" s="7"/>
      <c r="AC86" s="7"/>
      <c r="AD86" s="7"/>
      <c r="AE86" s="7"/>
      <c r="AF86" s="7"/>
      <c r="AG86" s="7"/>
      <c r="AH86" s="7"/>
      <c r="AI86" s="7"/>
      <c r="AJ86" s="7"/>
      <c r="AK86" s="7"/>
      <c r="AL86" s="7"/>
      <c r="AM86" s="7"/>
      <c r="AN86" s="7"/>
      <c r="AO86" s="7"/>
      <c r="AP86" s="7"/>
      <c r="AQ86" s="7"/>
      <c r="AR86" s="7"/>
      <c r="AS86" s="7"/>
      <c r="AT86" s="7"/>
      <c r="AU86" s="7"/>
      <c r="AV86" s="7"/>
      <c r="AW86" s="7"/>
      <c r="AX86" s="7"/>
      <c r="AY86" s="7" t="s">
        <v>126</v>
      </c>
      <c r="AZ86" s="7"/>
      <c r="BA86" s="7"/>
      <c r="BB86" s="7"/>
      <c r="BC86" s="7"/>
      <c r="BD86" s="7"/>
      <c r="BE86" s="7"/>
      <c r="BF86" s="7"/>
      <c r="BG86" s="7"/>
      <c r="BH86" s="7"/>
      <c r="BI86" s="7"/>
      <c r="BJ86" s="7"/>
      <c r="BK86" s="7"/>
      <c r="BL86" s="7"/>
      <c r="BM86" s="7"/>
      <c r="BN86" s="7"/>
      <c r="BO86" s="7"/>
      <c r="BP86" s="7"/>
      <c r="BQ86" s="7"/>
      <c r="BR86" s="7"/>
      <c r="BS86" s="7"/>
    </row>
    <row r="87" spans="1:73" ht="29" x14ac:dyDescent="0.35">
      <c r="A87" s="102" t="s">
        <v>39</v>
      </c>
      <c r="B87" s="48">
        <f>C73+1</f>
        <v>46069</v>
      </c>
      <c r="C87" s="48">
        <f>B87+6</f>
        <v>46075</v>
      </c>
      <c r="D87" s="7"/>
      <c r="E87" s="7"/>
      <c r="F87" s="7"/>
      <c r="G87" s="7"/>
      <c r="H87" s="7"/>
      <c r="I87" s="7"/>
      <c r="J87" s="7"/>
      <c r="K87" s="7"/>
      <c r="L87" s="7"/>
      <c r="M87" s="7"/>
      <c r="N87" s="7"/>
      <c r="O87" s="7"/>
      <c r="P87" s="7"/>
      <c r="Q87" s="7"/>
      <c r="R87" s="7"/>
      <c r="S87" s="7"/>
      <c r="T87" s="7"/>
      <c r="U87" s="7"/>
      <c r="V87" s="7"/>
      <c r="W87" s="7"/>
      <c r="X87" s="7"/>
      <c r="Y87" s="7"/>
      <c r="Z87" s="11"/>
      <c r="AA87" s="11"/>
      <c r="AB87" s="7"/>
      <c r="AC87" s="7" t="s">
        <v>68</v>
      </c>
      <c r="AD87" s="7"/>
      <c r="AE87" s="7"/>
      <c r="AF87" s="7"/>
      <c r="AG87" s="7"/>
      <c r="AH87" s="7"/>
      <c r="AI87" s="7"/>
      <c r="AJ87" s="7"/>
      <c r="AK87" s="7"/>
      <c r="AL87" s="7"/>
      <c r="AM87" s="7"/>
      <c r="AN87" s="7"/>
      <c r="AO87" s="7"/>
      <c r="AP87" s="7"/>
      <c r="AQ87" s="7"/>
      <c r="AR87" s="7"/>
      <c r="AS87" s="7"/>
      <c r="AT87" s="7"/>
      <c r="AU87" s="7"/>
      <c r="AV87" s="7"/>
      <c r="AW87" s="7"/>
      <c r="AX87" s="7"/>
      <c r="AY87" s="12" t="s">
        <v>1</v>
      </c>
      <c r="AZ87" s="12" t="s">
        <v>2</v>
      </c>
      <c r="BA87" s="12" t="s">
        <v>3</v>
      </c>
      <c r="BB87" s="12" t="s">
        <v>4</v>
      </c>
      <c r="BC87" s="12" t="s">
        <v>5</v>
      </c>
      <c r="BD87" s="12" t="s">
        <v>6</v>
      </c>
      <c r="BE87" s="12" t="s">
        <v>7</v>
      </c>
      <c r="BF87" s="12" t="s">
        <v>8</v>
      </c>
      <c r="BG87" s="12" t="s">
        <v>9</v>
      </c>
      <c r="BH87" s="12" t="s">
        <v>10</v>
      </c>
      <c r="BI87" s="12" t="s">
        <v>11</v>
      </c>
      <c r="BJ87" s="12" t="s">
        <v>12</v>
      </c>
      <c r="BK87" s="12" t="s">
        <v>13</v>
      </c>
      <c r="BL87" s="12" t="s">
        <v>14</v>
      </c>
      <c r="BM87" s="12" t="s">
        <v>15</v>
      </c>
      <c r="BN87" s="12" t="s">
        <v>16</v>
      </c>
      <c r="BO87" s="12" t="s">
        <v>17</v>
      </c>
      <c r="BP87" s="12" t="s">
        <v>18</v>
      </c>
      <c r="BQ87" s="12" t="s">
        <v>19</v>
      </c>
      <c r="BR87" s="12" t="s">
        <v>20</v>
      </c>
      <c r="BS87" s="12">
        <v>0</v>
      </c>
      <c r="BU87">
        <v>0</v>
      </c>
    </row>
    <row r="88" spans="1:73" x14ac:dyDescent="0.35">
      <c r="A88" s="80" t="s">
        <v>22</v>
      </c>
      <c r="B88" s="7"/>
      <c r="C88" s="7"/>
      <c r="D88" s="7"/>
      <c r="E88" s="7"/>
      <c r="F88" s="7"/>
      <c r="G88" s="7"/>
      <c r="H88" s="7"/>
      <c r="I88" s="7"/>
      <c r="J88" s="7"/>
      <c r="K88" s="7"/>
      <c r="L88" s="7"/>
      <c r="M88" s="7"/>
      <c r="N88" s="7"/>
      <c r="O88" s="7"/>
      <c r="P88" s="7"/>
      <c r="Q88" s="7"/>
      <c r="R88" s="7"/>
      <c r="S88" s="7"/>
      <c r="T88" s="7"/>
      <c r="U88" s="7"/>
      <c r="V88" s="7"/>
      <c r="W88" s="7">
        <f t="shared" ref="W88:W94" si="93">SUM(B88:V88)</f>
        <v>0</v>
      </c>
      <c r="X88" s="7">
        <f t="shared" ref="X88:X94" si="94">SUM(AD88:AW88)*0.1</f>
        <v>0</v>
      </c>
      <c r="Y88" s="7">
        <f t="shared" ref="Y88:Y94" si="95">W88+X88</f>
        <v>0</v>
      </c>
      <c r="Z88" s="46"/>
      <c r="AA88" s="192"/>
      <c r="AB88" s="7">
        <f t="shared" ref="AB88:AB94" si="96">AB74+W88</f>
        <v>36.25</v>
      </c>
      <c r="AC88" s="7" t="s">
        <v>22</v>
      </c>
      <c r="AD88" s="7">
        <f t="shared" ref="AD88:AW88" si="97">IF(B88 &gt; 0, IF(AD80&gt; 0, AD80+ 1, 0.1), 0)</f>
        <v>0</v>
      </c>
      <c r="AE88" s="7">
        <f t="shared" si="97"/>
        <v>0</v>
      </c>
      <c r="AF88" s="7">
        <f t="shared" si="97"/>
        <v>0</v>
      </c>
      <c r="AG88" s="7">
        <f t="shared" si="97"/>
        <v>0</v>
      </c>
      <c r="AH88" s="7">
        <f t="shared" si="97"/>
        <v>0</v>
      </c>
      <c r="AI88" s="7">
        <f t="shared" si="97"/>
        <v>0</v>
      </c>
      <c r="AJ88" s="7">
        <f t="shared" si="97"/>
        <v>0</v>
      </c>
      <c r="AK88" s="7">
        <f t="shared" si="97"/>
        <v>0</v>
      </c>
      <c r="AL88" s="7">
        <f t="shared" si="97"/>
        <v>0</v>
      </c>
      <c r="AM88" s="7">
        <f t="shared" si="97"/>
        <v>0</v>
      </c>
      <c r="AN88" s="7">
        <f t="shared" si="97"/>
        <v>0</v>
      </c>
      <c r="AO88" s="7">
        <f t="shared" si="97"/>
        <v>0</v>
      </c>
      <c r="AP88" s="7">
        <f t="shared" si="97"/>
        <v>0</v>
      </c>
      <c r="AQ88" s="7">
        <f t="shared" si="97"/>
        <v>0</v>
      </c>
      <c r="AR88" s="7">
        <f t="shared" si="97"/>
        <v>0</v>
      </c>
      <c r="AS88" s="7">
        <f t="shared" si="97"/>
        <v>0</v>
      </c>
      <c r="AT88" s="7">
        <f t="shared" si="97"/>
        <v>0</v>
      </c>
      <c r="AU88" s="7">
        <f t="shared" si="97"/>
        <v>0</v>
      </c>
      <c r="AV88" s="7">
        <f t="shared" si="97"/>
        <v>0</v>
      </c>
      <c r="AW88" s="7">
        <f t="shared" si="97"/>
        <v>0</v>
      </c>
      <c r="AX88" s="7"/>
      <c r="AY88" s="7">
        <f>SUM($B$88:B88)</f>
        <v>0</v>
      </c>
      <c r="AZ88" s="7">
        <f>SUM($B$88:C88)</f>
        <v>0</v>
      </c>
      <c r="BA88" s="7">
        <f>SUM($B$88:D88)</f>
        <v>0</v>
      </c>
      <c r="BB88" s="7">
        <f>SUM($B$88:E88)</f>
        <v>0</v>
      </c>
      <c r="BC88" s="7">
        <f>SUM($B$88:F88)</f>
        <v>0</v>
      </c>
      <c r="BD88" s="7">
        <f>SUM($B$88:G88)</f>
        <v>0</v>
      </c>
      <c r="BE88" s="7">
        <f>SUM($B$88:H88)</f>
        <v>0</v>
      </c>
      <c r="BF88" s="7">
        <f>SUM($B$88:I88)</f>
        <v>0</v>
      </c>
      <c r="BG88" s="7">
        <f>SUM($B$88:J88)</f>
        <v>0</v>
      </c>
      <c r="BH88" s="7">
        <f>SUM($B$88:K88)</f>
        <v>0</v>
      </c>
      <c r="BI88" s="7">
        <f>SUM($B$88:L88)</f>
        <v>0</v>
      </c>
      <c r="BJ88" s="7">
        <f>SUM($B$88:M88)</f>
        <v>0</v>
      </c>
      <c r="BK88" s="7">
        <f>SUM($B$88:Q88)</f>
        <v>0</v>
      </c>
      <c r="BL88" s="7">
        <f>SUM($B$88:N88)</f>
        <v>0</v>
      </c>
      <c r="BM88" s="7">
        <f>SUM($B$88:O88)</f>
        <v>0</v>
      </c>
      <c r="BN88" s="7">
        <f>SUM($B$88:P88)</f>
        <v>0</v>
      </c>
      <c r="BO88" s="7">
        <f>SUM($B$88:R88)</f>
        <v>0</v>
      </c>
      <c r="BP88" s="7">
        <f>SUM($B$88:S88)</f>
        <v>0</v>
      </c>
      <c r="BQ88" s="7">
        <f>SUM($B$88:T88)</f>
        <v>0</v>
      </c>
      <c r="BR88" s="7">
        <f>SUM($B$88:V88)</f>
        <v>0</v>
      </c>
      <c r="BS88" s="7">
        <f>SUM($BR$88:BR88)</f>
        <v>0</v>
      </c>
      <c r="BT88">
        <f t="shared" si="83"/>
        <v>0</v>
      </c>
      <c r="BU88">
        <f>SUM($BT$88:BT88)</f>
        <v>0</v>
      </c>
    </row>
    <row r="89" spans="1:73" x14ac:dyDescent="0.35">
      <c r="A89" s="91" t="s">
        <v>23</v>
      </c>
      <c r="B89" s="7"/>
      <c r="C89" s="7"/>
      <c r="D89" s="7"/>
      <c r="E89" s="7"/>
      <c r="F89" s="7"/>
      <c r="G89" s="7"/>
      <c r="H89" s="7"/>
      <c r="I89" s="7"/>
      <c r="J89" s="7"/>
      <c r="K89" s="7"/>
      <c r="L89" s="7"/>
      <c r="M89" s="7"/>
      <c r="N89" s="7"/>
      <c r="O89" s="7"/>
      <c r="P89" s="7"/>
      <c r="Q89" s="7"/>
      <c r="R89" s="7"/>
      <c r="S89" s="7"/>
      <c r="T89" s="7"/>
      <c r="U89" s="7"/>
      <c r="V89" s="7"/>
      <c r="W89" s="7">
        <f t="shared" si="93"/>
        <v>0</v>
      </c>
      <c r="X89" s="7">
        <f t="shared" si="94"/>
        <v>0</v>
      </c>
      <c r="Y89" s="7">
        <f t="shared" si="95"/>
        <v>0</v>
      </c>
      <c r="Z89" s="46"/>
      <c r="AA89" s="192"/>
      <c r="AB89" s="7">
        <f t="shared" si="96"/>
        <v>0</v>
      </c>
      <c r="AC89" s="7" t="s">
        <v>23</v>
      </c>
      <c r="AD89" s="7">
        <f t="shared" ref="AD89:AM94" si="98">IF(B89 &gt; 0, IF(AD88 &gt; 0, AD88 + 1, 0.1), 0)</f>
        <v>0</v>
      </c>
      <c r="AE89" s="7">
        <f t="shared" si="98"/>
        <v>0</v>
      </c>
      <c r="AF89" s="7">
        <f t="shared" si="98"/>
        <v>0</v>
      </c>
      <c r="AG89" s="7">
        <f t="shared" si="98"/>
        <v>0</v>
      </c>
      <c r="AH89" s="7">
        <f t="shared" si="98"/>
        <v>0</v>
      </c>
      <c r="AI89" s="7">
        <f t="shared" si="98"/>
        <v>0</v>
      </c>
      <c r="AJ89" s="7">
        <f t="shared" si="98"/>
        <v>0</v>
      </c>
      <c r="AK89" s="7">
        <f t="shared" si="98"/>
        <v>0</v>
      </c>
      <c r="AL89" s="7">
        <f t="shared" si="98"/>
        <v>0</v>
      </c>
      <c r="AM89" s="7">
        <f t="shared" si="98"/>
        <v>0</v>
      </c>
      <c r="AN89" s="7">
        <f t="shared" ref="AN89:AT94" si="99">IF(L89 &gt; 0, IF(AN88 &gt; 0, AN88 + 1, 0.1), 0)</f>
        <v>0</v>
      </c>
      <c r="AO89" s="7">
        <f t="shared" si="99"/>
        <v>0</v>
      </c>
      <c r="AP89" s="7">
        <f t="shared" si="99"/>
        <v>0</v>
      </c>
      <c r="AQ89" s="7">
        <f t="shared" si="99"/>
        <v>0</v>
      </c>
      <c r="AR89" s="7">
        <f t="shared" si="99"/>
        <v>0</v>
      </c>
      <c r="AS89" s="7">
        <f t="shared" si="99"/>
        <v>0</v>
      </c>
      <c r="AT89" s="7">
        <f t="shared" si="99"/>
        <v>0</v>
      </c>
      <c r="AU89" s="7">
        <f t="shared" ref="AU89:AU94" si="100">IF(S89 &gt; 0, IF(AU81&gt; 0, AU81+ 1, 0.1), 0)</f>
        <v>0</v>
      </c>
      <c r="AV89" s="7">
        <f t="shared" ref="AV89:AW94" si="101">IF(T89 &gt; 0, IF(AV88 &gt; 0, AV88 + 1, 0.1), 0)</f>
        <v>0</v>
      </c>
      <c r="AW89" s="7">
        <f t="shared" si="101"/>
        <v>0</v>
      </c>
      <c r="AX89" s="7"/>
      <c r="AY89" s="7">
        <f>SUM($B$89:B89)</f>
        <v>0</v>
      </c>
      <c r="AZ89" s="7">
        <f>SUM($B$89:C89)</f>
        <v>0</v>
      </c>
      <c r="BA89" s="7">
        <f>SUM($B$89:D89)</f>
        <v>0</v>
      </c>
      <c r="BB89" s="7">
        <f>SUM($B$89:E89)</f>
        <v>0</v>
      </c>
      <c r="BC89" s="7">
        <f>SUM($B$89:F89)</f>
        <v>0</v>
      </c>
      <c r="BD89" s="7">
        <f>SUM($B$89:G89)</f>
        <v>0</v>
      </c>
      <c r="BE89" s="7">
        <f>SUM($B$89:H89)</f>
        <v>0</v>
      </c>
      <c r="BF89" s="7">
        <f>SUM($B$89:I89)</f>
        <v>0</v>
      </c>
      <c r="BG89" s="7">
        <f>SUM($B$89:J89)</f>
        <v>0</v>
      </c>
      <c r="BH89" s="7">
        <f>SUM($B$89:K89)</f>
        <v>0</v>
      </c>
      <c r="BI89" s="7">
        <f>SUM($B$89:L89)</f>
        <v>0</v>
      </c>
      <c r="BJ89" s="7">
        <f>SUM($B$89:M89)</f>
        <v>0</v>
      </c>
      <c r="BK89" s="7">
        <f>SUM($B$89:Q89)</f>
        <v>0</v>
      </c>
      <c r="BL89" s="7">
        <f>SUM($B$89:N89)</f>
        <v>0</v>
      </c>
      <c r="BM89" s="7">
        <f>SUM($B$89:O89)</f>
        <v>0</v>
      </c>
      <c r="BN89" s="7">
        <f>SUM($B$89:P89)</f>
        <v>0</v>
      </c>
      <c r="BO89" s="7">
        <f>SUM($B$89:R89)</f>
        <v>0</v>
      </c>
      <c r="BP89" s="7">
        <f>SUM($B$89:S89)</f>
        <v>0</v>
      </c>
      <c r="BQ89" s="7">
        <f>SUM($B$89:T89)</f>
        <v>0</v>
      </c>
      <c r="BR89" s="7">
        <f>SUM($B$89:V89)</f>
        <v>0</v>
      </c>
      <c r="BS89" s="7">
        <f>SUM($BR$88:BR89)</f>
        <v>0</v>
      </c>
      <c r="BT89">
        <f t="shared" si="83"/>
        <v>0</v>
      </c>
      <c r="BU89">
        <f>SUM($BT$88:BT89)</f>
        <v>0</v>
      </c>
    </row>
    <row r="90" spans="1:73" x14ac:dyDescent="0.35">
      <c r="A90" s="114" t="s">
        <v>24</v>
      </c>
      <c r="B90" s="7"/>
      <c r="C90" s="7"/>
      <c r="D90" s="7"/>
      <c r="E90" s="7"/>
      <c r="F90" s="7"/>
      <c r="G90" s="7"/>
      <c r="H90" s="7"/>
      <c r="I90" s="7"/>
      <c r="J90" s="7"/>
      <c r="K90" s="7"/>
      <c r="L90" s="7"/>
      <c r="M90" s="7"/>
      <c r="N90" s="7"/>
      <c r="O90" s="7"/>
      <c r="P90" s="7"/>
      <c r="Q90" s="7"/>
      <c r="R90" s="7"/>
      <c r="S90" s="7"/>
      <c r="T90" s="7"/>
      <c r="U90" s="7"/>
      <c r="V90" s="7"/>
      <c r="W90" s="7">
        <f t="shared" si="93"/>
        <v>0</v>
      </c>
      <c r="X90" s="7">
        <f t="shared" si="94"/>
        <v>0</v>
      </c>
      <c r="Y90" s="7">
        <f t="shared" si="95"/>
        <v>0</v>
      </c>
      <c r="Z90" s="46"/>
      <c r="AA90" s="192"/>
      <c r="AB90" s="7">
        <f t="shared" si="96"/>
        <v>0</v>
      </c>
      <c r="AC90" s="7" t="s">
        <v>24</v>
      </c>
      <c r="AD90" s="7">
        <f t="shared" si="98"/>
        <v>0</v>
      </c>
      <c r="AE90" s="7">
        <f t="shared" si="98"/>
        <v>0</v>
      </c>
      <c r="AF90" s="7">
        <f t="shared" si="98"/>
        <v>0</v>
      </c>
      <c r="AG90" s="7">
        <f t="shared" si="98"/>
        <v>0</v>
      </c>
      <c r="AH90" s="7">
        <f t="shared" si="98"/>
        <v>0</v>
      </c>
      <c r="AI90" s="7">
        <f t="shared" si="98"/>
        <v>0</v>
      </c>
      <c r="AJ90" s="7">
        <f t="shared" si="98"/>
        <v>0</v>
      </c>
      <c r="AK90" s="7">
        <f t="shared" si="98"/>
        <v>0</v>
      </c>
      <c r="AL90" s="7">
        <f t="shared" si="98"/>
        <v>0</v>
      </c>
      <c r="AM90" s="7">
        <f t="shared" si="98"/>
        <v>0</v>
      </c>
      <c r="AN90" s="7">
        <f t="shared" si="99"/>
        <v>0</v>
      </c>
      <c r="AO90" s="7">
        <f t="shared" si="99"/>
        <v>0</v>
      </c>
      <c r="AP90" s="7">
        <f t="shared" si="99"/>
        <v>0</v>
      </c>
      <c r="AQ90" s="7">
        <f t="shared" si="99"/>
        <v>0</v>
      </c>
      <c r="AR90" s="7">
        <f t="shared" si="99"/>
        <v>0</v>
      </c>
      <c r="AS90" s="7">
        <f t="shared" si="99"/>
        <v>0</v>
      </c>
      <c r="AT90" s="7">
        <f t="shared" si="99"/>
        <v>0</v>
      </c>
      <c r="AU90" s="7">
        <f t="shared" si="100"/>
        <v>0</v>
      </c>
      <c r="AV90" s="7">
        <f t="shared" si="101"/>
        <v>0</v>
      </c>
      <c r="AW90" s="7">
        <f t="shared" si="101"/>
        <v>0</v>
      </c>
      <c r="AX90" s="7"/>
      <c r="AY90" s="7">
        <f>SUM($B$90:B90)</f>
        <v>0</v>
      </c>
      <c r="AZ90" s="7">
        <f>SUM($B$90:C90)</f>
        <v>0</v>
      </c>
      <c r="BA90" s="7">
        <f>SUM($B$90:D90)</f>
        <v>0</v>
      </c>
      <c r="BB90" s="7">
        <f>SUM($B$90:E90)</f>
        <v>0</v>
      </c>
      <c r="BC90" s="7">
        <f>SUM($B$90:F90)</f>
        <v>0</v>
      </c>
      <c r="BD90" s="7">
        <f>SUM($B$90:G90)</f>
        <v>0</v>
      </c>
      <c r="BE90" s="7">
        <f>SUM($B$90:H90)</f>
        <v>0</v>
      </c>
      <c r="BF90" s="7">
        <f>SUM($B$90:I90)</f>
        <v>0</v>
      </c>
      <c r="BG90" s="7">
        <f>SUM($B$90:J90)</f>
        <v>0</v>
      </c>
      <c r="BH90" s="7">
        <f>SUM($B$90:K90)</f>
        <v>0</v>
      </c>
      <c r="BI90" s="7">
        <f>SUM($B$90:L90)</f>
        <v>0</v>
      </c>
      <c r="BJ90" s="7">
        <f>SUM($B$90:M90)</f>
        <v>0</v>
      </c>
      <c r="BK90" s="7">
        <f>SUM($B$90:Q90)</f>
        <v>0</v>
      </c>
      <c r="BL90" s="7">
        <f>SUM($B$90:N90)</f>
        <v>0</v>
      </c>
      <c r="BM90" s="7">
        <f>SUM($B$90:O90)</f>
        <v>0</v>
      </c>
      <c r="BN90" s="7">
        <f>SUM($B$90:P90)</f>
        <v>0</v>
      </c>
      <c r="BO90" s="7">
        <f>SUM($B$90:R90)</f>
        <v>0</v>
      </c>
      <c r="BP90" s="7">
        <f>SUM($B$90:S90)</f>
        <v>0</v>
      </c>
      <c r="BQ90" s="7">
        <f>SUM($B$90:T90)</f>
        <v>0</v>
      </c>
      <c r="BR90" s="7">
        <f>SUM($B$90:V90)</f>
        <v>0</v>
      </c>
      <c r="BS90" s="7">
        <f>SUM($BR$88:BR90)</f>
        <v>0</v>
      </c>
      <c r="BT90">
        <f t="shared" si="83"/>
        <v>0</v>
      </c>
      <c r="BU90">
        <f>SUM($BT$88:BT90)</f>
        <v>0</v>
      </c>
    </row>
    <row r="91" spans="1:73" x14ac:dyDescent="0.35">
      <c r="A91" s="125" t="s">
        <v>25</v>
      </c>
      <c r="B91" s="7"/>
      <c r="C91" s="7"/>
      <c r="D91" s="7"/>
      <c r="E91" s="7"/>
      <c r="F91" s="7"/>
      <c r="G91" s="7"/>
      <c r="H91" s="7"/>
      <c r="I91" s="7"/>
      <c r="J91" s="7"/>
      <c r="K91" s="7"/>
      <c r="L91" s="7"/>
      <c r="M91" s="7"/>
      <c r="N91" s="7"/>
      <c r="O91" s="7"/>
      <c r="P91" s="7"/>
      <c r="Q91" s="7"/>
      <c r="R91" s="7"/>
      <c r="S91" s="7"/>
      <c r="T91" s="7"/>
      <c r="U91" s="7"/>
      <c r="V91" s="7"/>
      <c r="W91" s="7">
        <f t="shared" si="93"/>
        <v>0</v>
      </c>
      <c r="X91" s="7">
        <f t="shared" si="94"/>
        <v>0</v>
      </c>
      <c r="Y91" s="7">
        <f t="shared" si="95"/>
        <v>0</v>
      </c>
      <c r="Z91" s="46"/>
      <c r="AA91" s="192"/>
      <c r="AB91" s="7">
        <f t="shared" si="96"/>
        <v>0</v>
      </c>
      <c r="AC91" s="7" t="s">
        <v>25</v>
      </c>
      <c r="AD91" s="7">
        <f t="shared" si="98"/>
        <v>0</v>
      </c>
      <c r="AE91" s="7">
        <f t="shared" si="98"/>
        <v>0</v>
      </c>
      <c r="AF91" s="7">
        <f t="shared" si="98"/>
        <v>0</v>
      </c>
      <c r="AG91" s="7">
        <f t="shared" si="98"/>
        <v>0</v>
      </c>
      <c r="AH91" s="7">
        <f t="shared" si="98"/>
        <v>0</v>
      </c>
      <c r="AI91" s="7">
        <f t="shared" si="98"/>
        <v>0</v>
      </c>
      <c r="AJ91" s="7">
        <f t="shared" si="98"/>
        <v>0</v>
      </c>
      <c r="AK91" s="7">
        <f t="shared" si="98"/>
        <v>0</v>
      </c>
      <c r="AL91" s="7">
        <f t="shared" si="98"/>
        <v>0</v>
      </c>
      <c r="AM91" s="7">
        <f t="shared" si="98"/>
        <v>0</v>
      </c>
      <c r="AN91" s="7">
        <f t="shared" si="99"/>
        <v>0</v>
      </c>
      <c r="AO91" s="7">
        <f t="shared" si="99"/>
        <v>0</v>
      </c>
      <c r="AP91" s="7">
        <f t="shared" si="99"/>
        <v>0</v>
      </c>
      <c r="AQ91" s="7">
        <f t="shared" si="99"/>
        <v>0</v>
      </c>
      <c r="AR91" s="7">
        <f t="shared" si="99"/>
        <v>0</v>
      </c>
      <c r="AS91" s="7">
        <f t="shared" si="99"/>
        <v>0</v>
      </c>
      <c r="AT91" s="7">
        <f t="shared" si="99"/>
        <v>0</v>
      </c>
      <c r="AU91" s="7">
        <f t="shared" si="100"/>
        <v>0</v>
      </c>
      <c r="AV91" s="7">
        <f t="shared" si="101"/>
        <v>0</v>
      </c>
      <c r="AW91" s="7">
        <f t="shared" si="101"/>
        <v>0</v>
      </c>
      <c r="AX91" s="7"/>
      <c r="AY91" s="7">
        <f>SUM($B$91:B91)</f>
        <v>0</v>
      </c>
      <c r="AZ91" s="7">
        <f>SUM($B$91:C91)</f>
        <v>0</v>
      </c>
      <c r="BA91" s="7">
        <f>SUM($B$91:D91)</f>
        <v>0</v>
      </c>
      <c r="BB91" s="7">
        <f>SUM($B$91:E91)</f>
        <v>0</v>
      </c>
      <c r="BC91" s="7">
        <f>SUM($B$91:F91)</f>
        <v>0</v>
      </c>
      <c r="BD91" s="7">
        <f>SUM($B$91:G91)</f>
        <v>0</v>
      </c>
      <c r="BE91" s="7">
        <f>SUM($B$91:H91)</f>
        <v>0</v>
      </c>
      <c r="BF91" s="7">
        <f>SUM($B$91:I91)</f>
        <v>0</v>
      </c>
      <c r="BG91" s="7">
        <f>SUM($B$91:J91)</f>
        <v>0</v>
      </c>
      <c r="BH91" s="7">
        <f>SUM($B$91:K91)</f>
        <v>0</v>
      </c>
      <c r="BI91" s="7">
        <f>SUM($B$91:L91)</f>
        <v>0</v>
      </c>
      <c r="BJ91" s="7">
        <f>SUM($B$91:M91)</f>
        <v>0</v>
      </c>
      <c r="BK91" s="7">
        <f>SUM($B$91:Q91)</f>
        <v>0</v>
      </c>
      <c r="BL91" s="7">
        <f>SUM($B$91:N91)</f>
        <v>0</v>
      </c>
      <c r="BM91" s="7">
        <f>SUM($B$91:O91)</f>
        <v>0</v>
      </c>
      <c r="BN91" s="7">
        <f>SUM($B$91:P91)</f>
        <v>0</v>
      </c>
      <c r="BO91" s="7">
        <f>SUM($B$91:R91)</f>
        <v>0</v>
      </c>
      <c r="BP91" s="7">
        <f>SUM($B$91:S91)</f>
        <v>0</v>
      </c>
      <c r="BQ91" s="7">
        <f>SUM($B$91:T91)</f>
        <v>0</v>
      </c>
      <c r="BR91" s="7">
        <f>SUM($B$91:V91)</f>
        <v>0</v>
      </c>
      <c r="BS91" s="7">
        <f>SUM($BR$88:BR91)</f>
        <v>0</v>
      </c>
      <c r="BT91">
        <f t="shared" si="83"/>
        <v>0</v>
      </c>
      <c r="BU91">
        <f>SUM($BT$88:BT91)</f>
        <v>0</v>
      </c>
    </row>
    <row r="92" spans="1:73" x14ac:dyDescent="0.35">
      <c r="A92" s="136" t="s">
        <v>26</v>
      </c>
      <c r="B92" s="7"/>
      <c r="C92" s="7"/>
      <c r="D92" s="7"/>
      <c r="E92" s="7"/>
      <c r="F92" s="7"/>
      <c r="G92" s="7"/>
      <c r="H92" s="7"/>
      <c r="I92" s="7"/>
      <c r="J92" s="7"/>
      <c r="K92" s="7"/>
      <c r="L92" s="7"/>
      <c r="M92" s="7"/>
      <c r="N92" s="7"/>
      <c r="O92" s="7"/>
      <c r="P92" s="7"/>
      <c r="Q92" s="7"/>
      <c r="R92" s="7"/>
      <c r="S92" s="7"/>
      <c r="T92" s="7"/>
      <c r="U92" s="7"/>
      <c r="V92" s="7"/>
      <c r="W92" s="7">
        <f t="shared" si="93"/>
        <v>0</v>
      </c>
      <c r="X92" s="7">
        <f t="shared" si="94"/>
        <v>0</v>
      </c>
      <c r="Y92" s="7">
        <f t="shared" si="95"/>
        <v>0</v>
      </c>
      <c r="Z92" s="46"/>
      <c r="AA92" s="192"/>
      <c r="AB92" s="7">
        <f t="shared" si="96"/>
        <v>0</v>
      </c>
      <c r="AC92" s="7" t="s">
        <v>26</v>
      </c>
      <c r="AD92" s="7">
        <f t="shared" si="98"/>
        <v>0</v>
      </c>
      <c r="AE92" s="7">
        <f t="shared" si="98"/>
        <v>0</v>
      </c>
      <c r="AF92" s="7">
        <f t="shared" si="98"/>
        <v>0</v>
      </c>
      <c r="AG92" s="7">
        <f t="shared" si="98"/>
        <v>0</v>
      </c>
      <c r="AH92" s="7">
        <f t="shared" si="98"/>
        <v>0</v>
      </c>
      <c r="AI92" s="7">
        <f t="shared" si="98"/>
        <v>0</v>
      </c>
      <c r="AJ92" s="7">
        <f t="shared" si="98"/>
        <v>0</v>
      </c>
      <c r="AK92" s="7">
        <f t="shared" si="98"/>
        <v>0</v>
      </c>
      <c r="AL92" s="7">
        <f t="shared" si="98"/>
        <v>0</v>
      </c>
      <c r="AM92" s="7">
        <f t="shared" si="98"/>
        <v>0</v>
      </c>
      <c r="AN92" s="7">
        <f t="shared" si="99"/>
        <v>0</v>
      </c>
      <c r="AO92" s="7">
        <f t="shared" si="99"/>
        <v>0</v>
      </c>
      <c r="AP92" s="7">
        <f t="shared" si="99"/>
        <v>0</v>
      </c>
      <c r="AQ92" s="7">
        <f t="shared" si="99"/>
        <v>0</v>
      </c>
      <c r="AR92" s="7">
        <f t="shared" si="99"/>
        <v>0</v>
      </c>
      <c r="AS92" s="7">
        <f t="shared" si="99"/>
        <v>0</v>
      </c>
      <c r="AT92" s="7">
        <f t="shared" si="99"/>
        <v>0</v>
      </c>
      <c r="AU92" s="7">
        <f t="shared" si="100"/>
        <v>0</v>
      </c>
      <c r="AV92" s="7">
        <f t="shared" si="101"/>
        <v>0</v>
      </c>
      <c r="AW92" s="7">
        <f t="shared" si="101"/>
        <v>0</v>
      </c>
      <c r="AX92" s="7"/>
      <c r="AY92" s="7">
        <f>SUM($B$92:B92)</f>
        <v>0</v>
      </c>
      <c r="AZ92" s="7">
        <f>SUM($B$92:C92)</f>
        <v>0</v>
      </c>
      <c r="BA92" s="7">
        <f>SUM($B$92:D92)</f>
        <v>0</v>
      </c>
      <c r="BB92" s="7">
        <f>SUM($B$92:E92)</f>
        <v>0</v>
      </c>
      <c r="BC92" s="7">
        <f>SUM($B$92:F92)</f>
        <v>0</v>
      </c>
      <c r="BD92" s="7">
        <f>SUM($B$92:G92)</f>
        <v>0</v>
      </c>
      <c r="BE92" s="7">
        <f>SUM($B$92:H92)</f>
        <v>0</v>
      </c>
      <c r="BF92" s="7">
        <f>SUM($B$92:I92)</f>
        <v>0</v>
      </c>
      <c r="BG92" s="7">
        <f>SUM($B$92:J92)</f>
        <v>0</v>
      </c>
      <c r="BH92" s="7">
        <f>SUM($B$92:K92)</f>
        <v>0</v>
      </c>
      <c r="BI92" s="7">
        <f>SUM($B$92:L92)</f>
        <v>0</v>
      </c>
      <c r="BJ92" s="7">
        <f>SUM($B$92:M92)</f>
        <v>0</v>
      </c>
      <c r="BK92" s="7">
        <f>SUM($B$92:Q92)</f>
        <v>0</v>
      </c>
      <c r="BL92" s="7">
        <f>SUM($B$92:N92)</f>
        <v>0</v>
      </c>
      <c r="BM92" s="7">
        <f>SUM($B$92:O92)</f>
        <v>0</v>
      </c>
      <c r="BN92" s="7">
        <f>SUM($B$92:P92)</f>
        <v>0</v>
      </c>
      <c r="BO92" s="7">
        <f>SUM($B$92:R92)</f>
        <v>0</v>
      </c>
      <c r="BP92" s="7">
        <f>SUM($B$92:S92)</f>
        <v>0</v>
      </c>
      <c r="BQ92" s="7">
        <f>SUM($B$92:T92)</f>
        <v>0</v>
      </c>
      <c r="BR92" s="7">
        <f>SUM($B$92:V92)</f>
        <v>0</v>
      </c>
      <c r="BS92" s="7">
        <f>SUM($BR$88:BR92)</f>
        <v>0</v>
      </c>
      <c r="BT92">
        <f t="shared" si="83"/>
        <v>0</v>
      </c>
      <c r="BU92">
        <f>SUM($BT$88:BT92)</f>
        <v>0</v>
      </c>
    </row>
    <row r="93" spans="1:73" x14ac:dyDescent="0.35">
      <c r="A93" s="147" t="s">
        <v>27</v>
      </c>
      <c r="B93" s="7"/>
      <c r="C93" s="7"/>
      <c r="D93" s="7"/>
      <c r="E93" s="7"/>
      <c r="F93" s="7"/>
      <c r="G93" s="7"/>
      <c r="H93" s="7"/>
      <c r="I93" s="7"/>
      <c r="J93" s="7"/>
      <c r="K93" s="7"/>
      <c r="L93" s="7"/>
      <c r="M93" s="7"/>
      <c r="N93" s="7"/>
      <c r="O93" s="7"/>
      <c r="P93" s="7"/>
      <c r="Q93" s="7"/>
      <c r="R93" s="7"/>
      <c r="S93" s="7"/>
      <c r="T93" s="7"/>
      <c r="U93" s="7"/>
      <c r="V93" s="7"/>
      <c r="W93" s="7">
        <f t="shared" si="93"/>
        <v>0</v>
      </c>
      <c r="X93" s="7">
        <f t="shared" si="94"/>
        <v>0</v>
      </c>
      <c r="Y93" s="7">
        <f t="shared" si="95"/>
        <v>0</v>
      </c>
      <c r="Z93" s="46"/>
      <c r="AA93" s="192"/>
      <c r="AB93" s="7">
        <f t="shared" si="96"/>
        <v>0</v>
      </c>
      <c r="AC93" s="7" t="s">
        <v>27</v>
      </c>
      <c r="AD93" s="7">
        <f t="shared" si="98"/>
        <v>0</v>
      </c>
      <c r="AE93" s="7">
        <f t="shared" si="98"/>
        <v>0</v>
      </c>
      <c r="AF93" s="7">
        <f t="shared" si="98"/>
        <v>0</v>
      </c>
      <c r="AG93" s="7">
        <f t="shared" si="98"/>
        <v>0</v>
      </c>
      <c r="AH93" s="7">
        <f t="shared" si="98"/>
        <v>0</v>
      </c>
      <c r="AI93" s="7">
        <f t="shared" si="98"/>
        <v>0</v>
      </c>
      <c r="AJ93" s="7">
        <f t="shared" si="98"/>
        <v>0</v>
      </c>
      <c r="AK93" s="7">
        <f t="shared" si="98"/>
        <v>0</v>
      </c>
      <c r="AL93" s="7">
        <f t="shared" si="98"/>
        <v>0</v>
      </c>
      <c r="AM93" s="7">
        <f t="shared" si="98"/>
        <v>0</v>
      </c>
      <c r="AN93" s="7">
        <f t="shared" si="99"/>
        <v>0</v>
      </c>
      <c r="AO93" s="7">
        <f t="shared" si="99"/>
        <v>0</v>
      </c>
      <c r="AP93" s="7">
        <f t="shared" si="99"/>
        <v>0</v>
      </c>
      <c r="AQ93" s="7">
        <f t="shared" si="99"/>
        <v>0</v>
      </c>
      <c r="AR93" s="7">
        <f t="shared" si="99"/>
        <v>0</v>
      </c>
      <c r="AS93" s="7">
        <f t="shared" si="99"/>
        <v>0</v>
      </c>
      <c r="AT93" s="7">
        <f t="shared" si="99"/>
        <v>0</v>
      </c>
      <c r="AU93" s="7">
        <f t="shared" si="100"/>
        <v>0</v>
      </c>
      <c r="AV93" s="7">
        <f t="shared" si="101"/>
        <v>0</v>
      </c>
      <c r="AW93" s="7">
        <f t="shared" si="101"/>
        <v>0</v>
      </c>
      <c r="AX93" s="7"/>
      <c r="AY93" s="7">
        <f>SUM($B$93:B93)</f>
        <v>0</v>
      </c>
      <c r="AZ93" s="7">
        <f>SUM($B$93:C93)</f>
        <v>0</v>
      </c>
      <c r="BA93" s="7">
        <f>SUM($B$93:D93)</f>
        <v>0</v>
      </c>
      <c r="BB93" s="7">
        <f>SUM($B$93:E93)</f>
        <v>0</v>
      </c>
      <c r="BC93" s="7">
        <f>SUM($B$93:F93)</f>
        <v>0</v>
      </c>
      <c r="BD93" s="7">
        <f>SUM($B$93:G93)</f>
        <v>0</v>
      </c>
      <c r="BE93" s="7">
        <f>SUM($B$93:H93)</f>
        <v>0</v>
      </c>
      <c r="BF93" s="7">
        <f>SUM($B$93:I93)</f>
        <v>0</v>
      </c>
      <c r="BG93" s="7">
        <f>SUM($B$93:J93)</f>
        <v>0</v>
      </c>
      <c r="BH93" s="7">
        <f>SUM($B$93:K93)</f>
        <v>0</v>
      </c>
      <c r="BI93" s="7">
        <f>SUM($B$93:L93)</f>
        <v>0</v>
      </c>
      <c r="BJ93" s="7">
        <f>SUM($B$93:M93)</f>
        <v>0</v>
      </c>
      <c r="BK93" s="7">
        <f>SUM($B$93:Q93)</f>
        <v>0</v>
      </c>
      <c r="BL93" s="7">
        <f>SUM($B$93:N93)</f>
        <v>0</v>
      </c>
      <c r="BM93" s="7">
        <f>SUM($B$93:O93)</f>
        <v>0</v>
      </c>
      <c r="BN93" s="7">
        <f>SUM($B$93:P93)</f>
        <v>0</v>
      </c>
      <c r="BO93" s="7">
        <f>SUM($B$93:R93)</f>
        <v>0</v>
      </c>
      <c r="BP93" s="7">
        <f>SUM($B$93:S93)</f>
        <v>0</v>
      </c>
      <c r="BQ93" s="7">
        <f>SUM($B$93:T93)</f>
        <v>0</v>
      </c>
      <c r="BR93" s="7">
        <f>SUM($B$93:V93)</f>
        <v>0</v>
      </c>
      <c r="BS93" s="7">
        <f>SUM($BR$88:BR93)</f>
        <v>0</v>
      </c>
      <c r="BT93">
        <f t="shared" si="83"/>
        <v>0</v>
      </c>
      <c r="BU93">
        <f>SUM($BT$88:BT93)</f>
        <v>0</v>
      </c>
    </row>
    <row r="94" spans="1:73" x14ac:dyDescent="0.35">
      <c r="A94" s="157" t="s">
        <v>28</v>
      </c>
      <c r="B94" s="7"/>
      <c r="C94" s="7"/>
      <c r="D94" s="7"/>
      <c r="E94" s="7"/>
      <c r="F94" s="7"/>
      <c r="G94" s="7"/>
      <c r="H94" s="7"/>
      <c r="I94" s="7"/>
      <c r="J94" s="7"/>
      <c r="K94" s="7"/>
      <c r="L94" s="7"/>
      <c r="M94" s="7"/>
      <c r="N94" s="7"/>
      <c r="O94" s="7"/>
      <c r="P94" s="7"/>
      <c r="Q94" s="7"/>
      <c r="R94" s="7"/>
      <c r="S94" s="7"/>
      <c r="T94" s="7"/>
      <c r="U94" s="7"/>
      <c r="V94" s="7"/>
      <c r="W94" s="7">
        <f t="shared" si="93"/>
        <v>0</v>
      </c>
      <c r="X94" s="7">
        <f t="shared" si="94"/>
        <v>0</v>
      </c>
      <c r="Y94" s="7">
        <f t="shared" si="95"/>
        <v>0</v>
      </c>
      <c r="Z94" s="46"/>
      <c r="AA94" s="192"/>
      <c r="AB94" s="7">
        <f t="shared" si="96"/>
        <v>0</v>
      </c>
      <c r="AC94" s="7" t="s">
        <v>28</v>
      </c>
      <c r="AD94" s="7">
        <f t="shared" si="98"/>
        <v>0</v>
      </c>
      <c r="AE94" s="7">
        <f t="shared" si="98"/>
        <v>0</v>
      </c>
      <c r="AF94" s="7">
        <f t="shared" si="98"/>
        <v>0</v>
      </c>
      <c r="AG94" s="7">
        <f t="shared" si="98"/>
        <v>0</v>
      </c>
      <c r="AH94" s="7">
        <f t="shared" si="98"/>
        <v>0</v>
      </c>
      <c r="AI94" s="7">
        <f t="shared" si="98"/>
        <v>0</v>
      </c>
      <c r="AJ94" s="7">
        <f t="shared" si="98"/>
        <v>0</v>
      </c>
      <c r="AK94" s="7">
        <f t="shared" si="98"/>
        <v>0</v>
      </c>
      <c r="AL94" s="7">
        <f t="shared" si="98"/>
        <v>0</v>
      </c>
      <c r="AM94" s="7">
        <f t="shared" si="98"/>
        <v>0</v>
      </c>
      <c r="AN94" s="7">
        <f t="shared" si="99"/>
        <v>0</v>
      </c>
      <c r="AO94" s="7">
        <f t="shared" si="99"/>
        <v>0</v>
      </c>
      <c r="AP94" s="7">
        <f t="shared" si="99"/>
        <v>0</v>
      </c>
      <c r="AQ94" s="7">
        <f t="shared" si="99"/>
        <v>0</v>
      </c>
      <c r="AR94" s="7">
        <f t="shared" si="99"/>
        <v>0</v>
      </c>
      <c r="AS94" s="7">
        <f t="shared" si="99"/>
        <v>0</v>
      </c>
      <c r="AT94" s="7">
        <f t="shared" si="99"/>
        <v>0</v>
      </c>
      <c r="AU94" s="7">
        <f t="shared" si="100"/>
        <v>0</v>
      </c>
      <c r="AV94" s="7">
        <f t="shared" si="101"/>
        <v>0</v>
      </c>
      <c r="AW94" s="7">
        <f t="shared" si="101"/>
        <v>0</v>
      </c>
      <c r="AX94" s="7"/>
      <c r="AY94" s="7">
        <f>SUM($B$94:B94)</f>
        <v>0</v>
      </c>
      <c r="AZ94" s="7">
        <f>SUM($B$94:C94)</f>
        <v>0</v>
      </c>
      <c r="BA94" s="7">
        <f>SUM($B$94:D94)</f>
        <v>0</v>
      </c>
      <c r="BB94" s="7">
        <f>SUM($B$94:E94)</f>
        <v>0</v>
      </c>
      <c r="BC94" s="7">
        <f>SUM($B$94:F94)</f>
        <v>0</v>
      </c>
      <c r="BD94" s="7">
        <f>SUM($B$94:G94)</f>
        <v>0</v>
      </c>
      <c r="BE94" s="7">
        <f>SUM($B$94:H94)</f>
        <v>0</v>
      </c>
      <c r="BF94" s="7">
        <f>SUM($B$94:I94)</f>
        <v>0</v>
      </c>
      <c r="BG94" s="7">
        <f>SUM($B$94:J94)</f>
        <v>0</v>
      </c>
      <c r="BH94" s="7">
        <f>SUM($B$94:K94)</f>
        <v>0</v>
      </c>
      <c r="BI94" s="7">
        <f>SUM($B$94:L94)</f>
        <v>0</v>
      </c>
      <c r="BJ94" s="7">
        <f>SUM($B$94:M94)</f>
        <v>0</v>
      </c>
      <c r="BK94" s="7">
        <f>SUM($B$94:Q94)</f>
        <v>0</v>
      </c>
      <c r="BL94" s="7">
        <f>SUM($B$94:N94)</f>
        <v>0</v>
      </c>
      <c r="BM94" s="7">
        <f>SUM($B$94:O94)</f>
        <v>0</v>
      </c>
      <c r="BN94" s="7">
        <f>SUM($B$94:P94)</f>
        <v>0</v>
      </c>
      <c r="BO94" s="7">
        <f>SUM($B$94:R94)</f>
        <v>0</v>
      </c>
      <c r="BP94" s="7">
        <f>SUM($B$94:S94)</f>
        <v>0</v>
      </c>
      <c r="BQ94" s="7">
        <f>SUM($B$94:T94)</f>
        <v>0</v>
      </c>
      <c r="BR94" s="7">
        <f>SUM($B$94:V94)</f>
        <v>0</v>
      </c>
      <c r="BS94" s="7">
        <f>SUM($BR$88:BR94)</f>
        <v>0</v>
      </c>
      <c r="BT94">
        <f t="shared" si="83"/>
        <v>0</v>
      </c>
      <c r="BU94">
        <f>SUM($BT$88:BT94)</f>
        <v>0</v>
      </c>
    </row>
    <row r="95" spans="1:73" x14ac:dyDescent="0.35">
      <c r="A95" s="47" t="s">
        <v>29</v>
      </c>
      <c r="B95" s="7">
        <f t="shared" ref="B95:T95" si="102">SUM(B88:B94)</f>
        <v>0</v>
      </c>
      <c r="C95" s="7">
        <f t="shared" si="102"/>
        <v>0</v>
      </c>
      <c r="D95" s="7">
        <f t="shared" si="102"/>
        <v>0</v>
      </c>
      <c r="E95" s="7">
        <f t="shared" si="102"/>
        <v>0</v>
      </c>
      <c r="F95" s="7">
        <f t="shared" si="102"/>
        <v>0</v>
      </c>
      <c r="G95" s="7">
        <f t="shared" si="102"/>
        <v>0</v>
      </c>
      <c r="H95" s="7">
        <f t="shared" si="102"/>
        <v>0</v>
      </c>
      <c r="I95" s="7">
        <f t="shared" si="102"/>
        <v>0</v>
      </c>
      <c r="J95" s="7">
        <f t="shared" si="102"/>
        <v>0</v>
      </c>
      <c r="K95" s="7">
        <f>SUM(K88:K94)</f>
        <v>0</v>
      </c>
      <c r="L95" s="7">
        <f t="shared" si="102"/>
        <v>0</v>
      </c>
      <c r="M95" s="7">
        <f t="shared" si="102"/>
        <v>0</v>
      </c>
      <c r="N95" s="7">
        <f t="shared" si="102"/>
        <v>0</v>
      </c>
      <c r="O95" s="7">
        <f t="shared" si="102"/>
        <v>0</v>
      </c>
      <c r="P95" s="7">
        <f t="shared" si="102"/>
        <v>0</v>
      </c>
      <c r="Q95" s="7">
        <f>SUM(Q88:Q94)</f>
        <v>0</v>
      </c>
      <c r="R95" s="7">
        <f t="shared" si="102"/>
        <v>0</v>
      </c>
      <c r="S95" s="7">
        <f t="shared" si="102"/>
        <v>0</v>
      </c>
      <c r="T95" s="7">
        <f t="shared" si="102"/>
        <v>0</v>
      </c>
      <c r="U95" s="7">
        <f t="shared" ref="U95" si="103">SUM(U88:U94)</f>
        <v>0</v>
      </c>
      <c r="V95" s="7">
        <f>SUM(V88:V94)</f>
        <v>0</v>
      </c>
      <c r="W95" s="31">
        <f>SUM(W88:W94)</f>
        <v>0</v>
      </c>
      <c r="X95" s="7"/>
      <c r="Y95" s="7"/>
      <c r="Z95" s="46" t="s">
        <v>174</v>
      </c>
      <c r="AA95" s="192"/>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row>
    <row r="96" spans="1:73" x14ac:dyDescent="0.35">
      <c r="A96" s="47" t="s">
        <v>33</v>
      </c>
      <c r="B96" s="7">
        <f t="shared" ref="B96:U96" si="104">B95-B81</f>
        <v>0</v>
      </c>
      <c r="C96" s="7">
        <f t="shared" si="104"/>
        <v>0</v>
      </c>
      <c r="D96" s="7">
        <f t="shared" si="104"/>
        <v>0</v>
      </c>
      <c r="E96" s="7">
        <f t="shared" si="104"/>
        <v>0</v>
      </c>
      <c r="F96" s="7">
        <f t="shared" si="104"/>
        <v>0</v>
      </c>
      <c r="G96" s="7">
        <f t="shared" si="104"/>
        <v>0</v>
      </c>
      <c r="H96" s="7">
        <f t="shared" si="104"/>
        <v>0</v>
      </c>
      <c r="I96" s="7">
        <f t="shared" si="104"/>
        <v>0</v>
      </c>
      <c r="J96" s="7">
        <f t="shared" si="104"/>
        <v>0</v>
      </c>
      <c r="K96" s="7">
        <f t="shared" si="104"/>
        <v>0</v>
      </c>
      <c r="L96" s="7">
        <f t="shared" si="104"/>
        <v>0</v>
      </c>
      <c r="M96" s="7">
        <f t="shared" si="104"/>
        <v>0</v>
      </c>
      <c r="N96" s="7">
        <f t="shared" si="104"/>
        <v>0</v>
      </c>
      <c r="O96" s="7">
        <f t="shared" si="104"/>
        <v>0</v>
      </c>
      <c r="P96" s="7">
        <f t="shared" si="104"/>
        <v>0</v>
      </c>
      <c r="Q96" s="7">
        <f t="shared" si="104"/>
        <v>0</v>
      </c>
      <c r="R96" s="7">
        <f t="shared" si="104"/>
        <v>0</v>
      </c>
      <c r="S96" s="7">
        <f t="shared" si="104"/>
        <v>0</v>
      </c>
      <c r="T96" s="7">
        <f t="shared" si="104"/>
        <v>0</v>
      </c>
      <c r="U96" s="7">
        <f t="shared" si="104"/>
        <v>0</v>
      </c>
      <c r="V96" s="7">
        <f>V95-V81</f>
        <v>0</v>
      </c>
      <c r="W96" s="7">
        <f>W95-W81</f>
        <v>0</v>
      </c>
      <c r="X96" s="7"/>
      <c r="Y96" s="7"/>
      <c r="Z96" s="46"/>
      <c r="AA96" s="192"/>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row>
    <row r="97" spans="1:73" x14ac:dyDescent="0.35">
      <c r="A97" s="47" t="s">
        <v>110</v>
      </c>
      <c r="B97" s="7" cm="1">
        <f t="array" ref="B97">IF(COUNTIF(AD87:AD93,0)=0,
    LOOKUP(2,1/(AD87:AD93&lt;&gt;""),AD87:AD93),
    MATCH(0,INDEX(AD87:AD93,MAX(ROW(AD87:AD93))-ROW(AD87:AD93)+1),0)-1
)</f>
        <v>0</v>
      </c>
      <c r="C97" s="7" cm="1">
        <f t="array" ref="C97">IF(COUNTIF(AE87:AE93,0)=0,
    LOOKUP(2,1/(AE87:AE93&lt;&gt;""),AE87:AE93),
    MATCH(0,INDEX(AE87:AE93,MAX(ROW(AE87:AE93))-ROW(AE87:AE93)+1),0)-1
)</f>
        <v>0</v>
      </c>
      <c r="D97" s="7" cm="1">
        <f t="array" ref="D97">IF(COUNTIF(AF87:AF93,0)=0,
    LOOKUP(2,1/(AF87:AF93&lt;&gt;""),AF87:AF93),
    MATCH(0,INDEX(AF87:AF93,MAX(ROW(AF87:AF93))-ROW(AF87:AF93)+1),0)-1
)</f>
        <v>0</v>
      </c>
      <c r="E97" s="7" cm="1">
        <f t="array" ref="E97">IF(COUNTIF(AG87:AG93,0)=0,
    LOOKUP(2,1/(AG87:AG93&lt;&gt;""),AG87:AG93),
    MATCH(0,INDEX(AG87:AG93,MAX(ROW(AG87:AG93))-ROW(AG87:AG93)+1),0)-1
)</f>
        <v>0</v>
      </c>
      <c r="F97" s="7" cm="1">
        <f t="array" ref="F97">IF(COUNTIF(AH87:AH93,0)=0,
    LOOKUP(2,1/(AH87:AH93&lt;&gt;""),AH87:AH93),
    MATCH(0,INDEX(AH87:AH93,MAX(ROW(AH87:AH93))-ROW(AH87:AH93)+1),0)-1
)</f>
        <v>0</v>
      </c>
      <c r="G97" s="7" cm="1">
        <f t="array" ref="G97">IF(COUNTIF(AI87:AI93,0)=0,
    LOOKUP(2,1/(AI87:AI93&lt;&gt;""),AI87:AI93),
    MATCH(0,INDEX(AI87:AI93,MAX(ROW(AI87:AI93))-ROW(AI87:AI93)+1),0)-1
)</f>
        <v>0</v>
      </c>
      <c r="H97" s="7" cm="1">
        <f t="array" ref="H97">IF(COUNTIF(AJ87:AJ93,0)=0,
    LOOKUP(2,1/(AJ87:AJ93&lt;&gt;""),AJ87:AJ93),
    MATCH(0,INDEX(AJ87:AJ93,MAX(ROW(AJ87:AJ93))-ROW(AJ87:AJ93)+1),0)-1
)</f>
        <v>0</v>
      </c>
      <c r="I97" s="7" cm="1">
        <f t="array" ref="I97">IF(COUNTIF(AK87:AK93,0)=0,
    LOOKUP(2,1/(AK87:AK93&lt;&gt;""),AK87:AK93),
    MATCH(0,INDEX(AK87:AK93,MAX(ROW(AK87:AK93))-ROW(AK87:AK93)+1),0)-1
)</f>
        <v>0</v>
      </c>
      <c r="J97" s="7" cm="1">
        <f t="array" ref="J97">IF(COUNTIF(AL87:AL93,0)=0,
    LOOKUP(2,1/(AL87:AL93&lt;&gt;""),AL87:AL93),
    MATCH(0,INDEX(AL87:AL93,MAX(ROW(AL87:AL93))-ROW(AL87:AL93)+1),0)-1
)</f>
        <v>0</v>
      </c>
      <c r="K97" s="7" cm="1">
        <f t="array" ref="K97">IF(COUNTIF(AM87:AM93,0)=0,
    LOOKUP(2,1/(AM87:AM93&lt;&gt;""),AM87:AM93),
    MATCH(0,INDEX(AM87:AM93,MAX(ROW(AM87:AM93))-ROW(AM87:AM93)+1),0)-1
)</f>
        <v>0</v>
      </c>
      <c r="L97" s="7" cm="1">
        <f t="array" ref="L97">IF(COUNTIF(AN87:AN93,0)=0,
    LOOKUP(2,1/(AN87:AN93&lt;&gt;""),AN87:AN93),
    MATCH(0,INDEX(AN87:AN93,MAX(ROW(AN87:AN93))-ROW(AN87:AN93)+1),0)-1
)</f>
        <v>0</v>
      </c>
      <c r="M97" s="7" cm="1">
        <f t="array" ref="M97">IF(COUNTIF(AO87:AO93,0)=0,
    LOOKUP(2,1/(AO87:AO93&lt;&gt;""),AO87:AO93),
    MATCH(0,INDEX(AO87:AO93,MAX(ROW(AO87:AO93))-ROW(AO87:AO93)+1),0)-1
)</f>
        <v>0</v>
      </c>
      <c r="N97" s="7" cm="1">
        <f t="array" ref="N97">IF(COUNTIF(AP87:AP93,0)=0,
    LOOKUP(2,1/(AP87:AP93&lt;&gt;""),AP87:AP93),
    MATCH(0,INDEX(AP87:AP93,MAX(ROW(AP87:AP93))-ROW(AP87:AP93)+1),0)-1
)</f>
        <v>0</v>
      </c>
      <c r="O97" s="7" cm="1">
        <f t="array" ref="O97">IF(COUNTIF(AQ87:AQ93,0)=0,
    LOOKUP(2,1/(AQ87:AQ93&lt;&gt;""),AQ87:AQ93),
    MATCH(0,INDEX(AQ87:AQ93,MAX(ROW(AQ87:AQ93))-ROW(AQ87:AQ93)+1),0)-1
)</f>
        <v>0</v>
      </c>
      <c r="P97" s="7" cm="1">
        <f t="array" ref="P97">IF(COUNTIF(AR87:AR93,0)=0,
    LOOKUP(2,1/(AR87:AR93&lt;&gt;""),AR87:AR93),
    MATCH(0,INDEX(AR87:AR93,MAX(ROW(AR87:AR93))-ROW(AR87:AR93)+1),0)-1
)</f>
        <v>0</v>
      </c>
      <c r="Q97" s="7" cm="1">
        <f t="array" ref="Q97">IF(COUNTIF(AS87:AS93,0)=0,
    LOOKUP(2,1/(AS87:AS93&lt;&gt;""),AS87:AS93),
    MATCH(0,INDEX(AS87:AS93,MAX(ROW(AS87:AS93))-ROW(AS87:AS93)+1),0)-1
)</f>
        <v>0</v>
      </c>
      <c r="R97" s="7" cm="1">
        <f t="array" ref="R97">IF(COUNTIF(AT87:AT93,0)=0,
    LOOKUP(2,1/(AT87:AT93&lt;&gt;""),AT87:AT93),
    MATCH(0,INDEX(AT87:AT93,MAX(ROW(AT87:AT93))-ROW(AT87:AT93)+1),0)-1
)</f>
        <v>0</v>
      </c>
      <c r="S97" s="7" cm="1">
        <f t="array" ref="S97">IF(COUNTIF(AU87:AU93,0)=0,
    LOOKUP(2,1/(AU87:AU93&lt;&gt;""),AU87:AU93),
    MATCH(0,INDEX(AU87:AU93,MAX(ROW(AU87:AU93))-ROW(AU87:AU93)+1),0)-1
)</f>
        <v>0</v>
      </c>
      <c r="T97" s="7" cm="1">
        <f t="array" ref="T97">IF(COUNTIF(AV87:AV93,0)=0,
    LOOKUP(2,1/(AV87:AV93&lt;&gt;""),AV87:AV93),
    MATCH(0,INDEX(AV87:AV93,MAX(ROW(AV87:AV93))-ROW(AV87:AV93)+1),0)-1
)</f>
        <v>0</v>
      </c>
      <c r="U97" s="7" cm="1">
        <f t="array" ref="U97">IF(COUNTIF(AW87:AW93,0)=0,
    LOOKUP(2,1/(AW87:AW93&lt;&gt;""),AW87:AW93),
    MATCH(0,INDEX(AW87:AW93,MAX(ROW(AW87:AW93))-ROW(AW87:AW93)+1),0)-1
)</f>
        <v>0</v>
      </c>
      <c r="V97" s="7"/>
      <c r="W97" s="7"/>
      <c r="X97" s="7"/>
      <c r="Y97" s="7"/>
      <c r="Z97" s="46"/>
      <c r="AA97" s="192"/>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row>
    <row r="98" spans="1:73" x14ac:dyDescent="0.35">
      <c r="A98" s="47" t="s">
        <v>99</v>
      </c>
      <c r="B98" s="7">
        <f t="shared" ref="B98:U98" si="105">B95+B84</f>
        <v>2</v>
      </c>
      <c r="C98" s="7">
        <f t="shared" si="105"/>
        <v>0</v>
      </c>
      <c r="D98" s="7">
        <f t="shared" si="105"/>
        <v>5</v>
      </c>
      <c r="E98" s="7">
        <f t="shared" si="105"/>
        <v>9</v>
      </c>
      <c r="F98" s="7">
        <f t="shared" si="105"/>
        <v>4</v>
      </c>
      <c r="G98" s="7">
        <f t="shared" si="105"/>
        <v>0</v>
      </c>
      <c r="H98" s="7">
        <f t="shared" si="105"/>
        <v>0</v>
      </c>
      <c r="I98" s="7">
        <f t="shared" si="105"/>
        <v>3</v>
      </c>
      <c r="J98" s="7">
        <f t="shared" si="105"/>
        <v>0</v>
      </c>
      <c r="K98" s="7">
        <f t="shared" si="105"/>
        <v>0.75</v>
      </c>
      <c r="L98" s="7">
        <f t="shared" si="105"/>
        <v>2</v>
      </c>
      <c r="M98" s="7">
        <f t="shared" si="105"/>
        <v>1</v>
      </c>
      <c r="N98" s="7">
        <f t="shared" si="105"/>
        <v>2.5</v>
      </c>
      <c r="O98" s="7">
        <f t="shared" si="105"/>
        <v>2</v>
      </c>
      <c r="P98" s="7">
        <f t="shared" si="105"/>
        <v>0</v>
      </c>
      <c r="Q98" s="7">
        <f t="shared" si="105"/>
        <v>0</v>
      </c>
      <c r="R98" s="7">
        <f t="shared" si="105"/>
        <v>1</v>
      </c>
      <c r="S98" s="7">
        <f t="shared" si="105"/>
        <v>3</v>
      </c>
      <c r="T98" s="7">
        <f t="shared" si="105"/>
        <v>0</v>
      </c>
      <c r="U98" s="7">
        <f t="shared" si="105"/>
        <v>-1</v>
      </c>
      <c r="V98" s="7">
        <f>V95+V84</f>
        <v>2</v>
      </c>
      <c r="W98" s="7">
        <f>SUM(W84,W95)</f>
        <v>36.25</v>
      </c>
      <c r="X98" s="7"/>
      <c r="Y98" s="7">
        <f>SUM(Y88:Y94)</f>
        <v>0</v>
      </c>
      <c r="Z98" s="46"/>
      <c r="AA98" s="192"/>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row>
    <row r="99" spans="1:73" x14ac:dyDescent="0.35">
      <c r="A99" s="47" t="s">
        <v>112</v>
      </c>
      <c r="B99" s="174">
        <f>(COUNTIF(B4:B10, "&gt;0")+COUNTIF(B18:B24, "&gt;0")+COUNTIF(B32:B38, "&gt;0")+COUNTIF(B46:B52, "&gt;0")+COUNTIF(B60:B66, "&gt;0")+COUNTIF(B74:B80, "&gt;0") + COUNTIF(B88:B94, "&gt;0")) / 49</f>
        <v>2.0408163265306121E-2</v>
      </c>
      <c r="C99" s="174">
        <f t="shared" ref="C99:O99" si="106">(COUNTIF(C4:C10, "&gt;0")+COUNTIF(C18:C24, "&gt;0")+COUNTIF(C32:C38, "&gt;0")+COUNTIF(C46:C52, "&gt;0")+COUNTIF(C60:C66, "&gt;0")+COUNTIF(C74:C80, "&gt;0") + COUNTIF(C88:C94, "&gt;0")) / 49</f>
        <v>0</v>
      </c>
      <c r="D99" s="174">
        <f t="shared" si="106"/>
        <v>2.0408163265306121E-2</v>
      </c>
      <c r="E99" s="174">
        <f t="shared" si="106"/>
        <v>2.0408163265306121E-2</v>
      </c>
      <c r="F99" s="174">
        <f t="shared" si="106"/>
        <v>2.0408163265306121E-2</v>
      </c>
      <c r="G99" s="174">
        <f t="shared" si="106"/>
        <v>0</v>
      </c>
      <c r="H99" s="174">
        <f t="shared" si="106"/>
        <v>0</v>
      </c>
      <c r="I99" s="174">
        <f t="shared" si="106"/>
        <v>2.0408163265306121E-2</v>
      </c>
      <c r="J99" s="174">
        <f t="shared" si="106"/>
        <v>0</v>
      </c>
      <c r="K99" s="174">
        <f t="shared" si="106"/>
        <v>2.0408163265306121E-2</v>
      </c>
      <c r="L99" s="174">
        <f t="shared" si="106"/>
        <v>2.0408163265306121E-2</v>
      </c>
      <c r="M99" s="174">
        <f t="shared" si="106"/>
        <v>2.0408163265306121E-2</v>
      </c>
      <c r="N99" s="174">
        <f t="shared" si="106"/>
        <v>2.0408163265306121E-2</v>
      </c>
      <c r="O99" s="174">
        <f t="shared" si="106"/>
        <v>2.0408163265306121E-2</v>
      </c>
      <c r="P99" s="7"/>
      <c r="Q99" s="7"/>
      <c r="R99" s="7"/>
      <c r="S99" s="7"/>
      <c r="T99" s="7"/>
      <c r="U99" s="47" t="s">
        <v>31</v>
      </c>
      <c r="V99" s="7">
        <f>SUMIF(B95:V95,"&lt;0",B95:V95)</f>
        <v>0</v>
      </c>
      <c r="W99" s="7">
        <f>SUMIF(B95:V95,"&gt;0",B95:V95)</f>
        <v>0</v>
      </c>
      <c r="Y99" s="7"/>
      <c r="Z99" s="46"/>
      <c r="AA99" s="192"/>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row>
    <row r="100" spans="1:73"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11"/>
      <c r="AA100" s="11"/>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t="s">
        <v>127</v>
      </c>
      <c r="AZ100" s="7"/>
      <c r="BA100" s="7"/>
      <c r="BB100" s="7"/>
      <c r="BC100" s="7"/>
      <c r="BD100" s="7"/>
      <c r="BE100" s="7"/>
      <c r="BF100" s="7"/>
      <c r="BG100" s="7"/>
      <c r="BH100" s="7"/>
      <c r="BI100" s="7"/>
      <c r="BJ100" s="7"/>
      <c r="BK100" s="7"/>
      <c r="BL100" s="7"/>
      <c r="BM100" s="7"/>
      <c r="BN100" s="7"/>
      <c r="BO100" s="7"/>
      <c r="BP100" s="7"/>
      <c r="BQ100" s="7"/>
      <c r="BR100" s="7"/>
      <c r="BS100" s="7"/>
    </row>
    <row r="101" spans="1:73" ht="29" x14ac:dyDescent="0.35">
      <c r="A101" s="103" t="s">
        <v>40</v>
      </c>
      <c r="B101" s="56">
        <f>C87+1</f>
        <v>46076</v>
      </c>
      <c r="C101" s="56">
        <f>B101+6</f>
        <v>46082</v>
      </c>
      <c r="D101" s="7"/>
      <c r="E101" s="7"/>
      <c r="F101" s="7"/>
      <c r="G101" s="7"/>
      <c r="H101" s="7"/>
      <c r="I101" s="7"/>
      <c r="J101" s="7"/>
      <c r="K101" s="7" t="s">
        <v>140</v>
      </c>
      <c r="L101" s="7"/>
      <c r="M101" s="7"/>
      <c r="N101" s="7"/>
      <c r="O101" s="7"/>
      <c r="P101" s="7"/>
      <c r="Q101" s="7"/>
      <c r="R101" s="7"/>
      <c r="S101" s="7"/>
      <c r="T101" s="7"/>
      <c r="U101" s="7"/>
      <c r="V101" s="7"/>
      <c r="W101" s="7"/>
      <c r="X101" s="7"/>
      <c r="Y101" s="7"/>
      <c r="Z101" s="11"/>
      <c r="AA101" s="11"/>
      <c r="AB101" s="7"/>
      <c r="AC101" s="7" t="s">
        <v>69</v>
      </c>
      <c r="AD101" s="7"/>
      <c r="AE101" s="7"/>
      <c r="AF101" s="7"/>
      <c r="AG101" s="7"/>
      <c r="AH101" s="7"/>
      <c r="AI101" s="7"/>
      <c r="AJ101" s="7"/>
      <c r="AK101" s="7"/>
      <c r="AL101" s="7"/>
      <c r="AM101" s="7"/>
      <c r="AN101" s="7"/>
      <c r="AO101" s="7"/>
      <c r="AP101" s="7"/>
      <c r="AQ101" s="7"/>
      <c r="AR101" s="7"/>
      <c r="AS101" s="7"/>
      <c r="AT101" s="7"/>
      <c r="AU101" s="7"/>
      <c r="AV101" s="7"/>
      <c r="AW101" s="7"/>
      <c r="AX101" s="7"/>
      <c r="AY101" s="12" t="s">
        <v>1</v>
      </c>
      <c r="AZ101" s="12" t="s">
        <v>2</v>
      </c>
      <c r="BA101" s="12" t="s">
        <v>3</v>
      </c>
      <c r="BB101" s="12" t="s">
        <v>4</v>
      </c>
      <c r="BC101" s="12" t="s">
        <v>5</v>
      </c>
      <c r="BD101" s="12" t="s">
        <v>6</v>
      </c>
      <c r="BE101" s="12" t="s">
        <v>7</v>
      </c>
      <c r="BF101" s="12" t="s">
        <v>8</v>
      </c>
      <c r="BG101" s="12" t="s">
        <v>9</v>
      </c>
      <c r="BH101" s="12" t="s">
        <v>10</v>
      </c>
      <c r="BI101" s="12" t="s">
        <v>11</v>
      </c>
      <c r="BJ101" s="12" t="s">
        <v>12</v>
      </c>
      <c r="BK101" s="12" t="s">
        <v>13</v>
      </c>
      <c r="BL101" s="12" t="s">
        <v>14</v>
      </c>
      <c r="BM101" s="12" t="s">
        <v>15</v>
      </c>
      <c r="BN101" s="12" t="s">
        <v>16</v>
      </c>
      <c r="BO101" s="12" t="s">
        <v>17</v>
      </c>
      <c r="BP101" s="12" t="s">
        <v>18</v>
      </c>
      <c r="BQ101" s="12" t="s">
        <v>19</v>
      </c>
      <c r="BR101" s="12" t="s">
        <v>20</v>
      </c>
      <c r="BS101" s="12">
        <v>0</v>
      </c>
      <c r="BU101">
        <v>0</v>
      </c>
    </row>
    <row r="102" spans="1:73" x14ac:dyDescent="0.35">
      <c r="A102" s="81" t="s">
        <v>22</v>
      </c>
      <c r="B102" s="7"/>
      <c r="C102" s="7"/>
      <c r="D102" s="7"/>
      <c r="E102" s="7"/>
      <c r="F102" s="7"/>
      <c r="G102" s="7"/>
      <c r="H102" s="7"/>
      <c r="I102" s="7"/>
      <c r="J102" s="7"/>
      <c r="K102" s="7"/>
      <c r="L102" s="7"/>
      <c r="M102" s="7"/>
      <c r="N102" s="7"/>
      <c r="O102" s="7"/>
      <c r="P102" s="7"/>
      <c r="Q102" s="7"/>
      <c r="R102" s="7"/>
      <c r="S102" s="7"/>
      <c r="T102" s="7"/>
      <c r="U102" s="7"/>
      <c r="V102" s="7"/>
      <c r="W102" s="7">
        <f t="shared" ref="W102:W108" si="107">SUM(B102:V102)</f>
        <v>0</v>
      </c>
      <c r="X102" s="7">
        <f t="shared" ref="X102:X108" si="108">SUM(AD102:AW102)*0.1</f>
        <v>0</v>
      </c>
      <c r="Y102" s="7">
        <f t="shared" ref="Y102:Y108" si="109">W102+X102</f>
        <v>0</v>
      </c>
      <c r="Z102" s="57"/>
      <c r="AA102" s="193"/>
      <c r="AB102" s="7">
        <f t="shared" ref="AB102:AB108" si="110">AB88+W102</f>
        <v>36.25</v>
      </c>
      <c r="AC102" s="7" t="s">
        <v>22</v>
      </c>
      <c r="AD102" s="7">
        <f t="shared" ref="AD102:AW102" si="111">IF(B102 &gt; 0, IF(AD94&gt; 0, AD94+ 1, 0.1), 0)</f>
        <v>0</v>
      </c>
      <c r="AE102" s="7">
        <f t="shared" si="111"/>
        <v>0</v>
      </c>
      <c r="AF102" s="7">
        <f t="shared" si="111"/>
        <v>0</v>
      </c>
      <c r="AG102" s="7">
        <f t="shared" si="111"/>
        <v>0</v>
      </c>
      <c r="AH102" s="7">
        <f t="shared" si="111"/>
        <v>0</v>
      </c>
      <c r="AI102" s="7">
        <f t="shared" si="111"/>
        <v>0</v>
      </c>
      <c r="AJ102" s="7">
        <f t="shared" si="111"/>
        <v>0</v>
      </c>
      <c r="AK102" s="7">
        <f t="shared" si="111"/>
        <v>0</v>
      </c>
      <c r="AL102" s="7">
        <f t="shared" si="111"/>
        <v>0</v>
      </c>
      <c r="AM102" s="7">
        <f t="shared" si="111"/>
        <v>0</v>
      </c>
      <c r="AN102" s="7">
        <f t="shared" si="111"/>
        <v>0</v>
      </c>
      <c r="AO102" s="7">
        <f t="shared" si="111"/>
        <v>0</v>
      </c>
      <c r="AP102" s="7">
        <f t="shared" si="111"/>
        <v>0</v>
      </c>
      <c r="AQ102" s="7">
        <f t="shared" si="111"/>
        <v>0</v>
      </c>
      <c r="AR102" s="7">
        <f t="shared" si="111"/>
        <v>0</v>
      </c>
      <c r="AS102" s="7">
        <f t="shared" si="111"/>
        <v>0</v>
      </c>
      <c r="AT102" s="7">
        <f t="shared" si="111"/>
        <v>0</v>
      </c>
      <c r="AU102" s="7">
        <f t="shared" si="111"/>
        <v>0</v>
      </c>
      <c r="AV102" s="7">
        <f t="shared" si="111"/>
        <v>0</v>
      </c>
      <c r="AW102" s="7">
        <f t="shared" si="111"/>
        <v>0</v>
      </c>
      <c r="AX102" s="7"/>
      <c r="AY102" s="7">
        <f>SUM($B$102:B102)</f>
        <v>0</v>
      </c>
      <c r="AZ102" s="7">
        <f>SUM($B$102:C102)</f>
        <v>0</v>
      </c>
      <c r="BA102" s="7">
        <f>SUM($B$102:D102)</f>
        <v>0</v>
      </c>
      <c r="BB102" s="7">
        <f>SUM($B$102:E102)</f>
        <v>0</v>
      </c>
      <c r="BC102" s="7">
        <f>SUM($B$102:F102)</f>
        <v>0</v>
      </c>
      <c r="BD102" s="7">
        <f>SUM($B$102:G102)</f>
        <v>0</v>
      </c>
      <c r="BE102" s="7">
        <f>SUM($B$102:H102)</f>
        <v>0</v>
      </c>
      <c r="BF102" s="7">
        <f>SUM($B$102:I102)</f>
        <v>0</v>
      </c>
      <c r="BG102" s="7">
        <f>SUM($B$102:J102)</f>
        <v>0</v>
      </c>
      <c r="BH102" s="7">
        <f>SUM($B$102:K102)</f>
        <v>0</v>
      </c>
      <c r="BI102" s="7">
        <f>SUM($B$102:L102)</f>
        <v>0</v>
      </c>
      <c r="BJ102" s="7">
        <f>SUM($B$102:M102)</f>
        <v>0</v>
      </c>
      <c r="BK102" s="7">
        <f>SUM($B$102:Q102)</f>
        <v>0</v>
      </c>
      <c r="BL102" s="7">
        <f>SUM($B$102:N102)</f>
        <v>0</v>
      </c>
      <c r="BM102" s="7">
        <f>SUM($B$102:O102)</f>
        <v>0</v>
      </c>
      <c r="BN102" s="7">
        <f>SUM($B$102:P102)</f>
        <v>0</v>
      </c>
      <c r="BO102" s="7">
        <f>SUM($B$102:R102)</f>
        <v>0</v>
      </c>
      <c r="BP102" s="7">
        <f>SUM($B$102:S102)</f>
        <v>0</v>
      </c>
      <c r="BQ102" s="7">
        <f>SUM($B$102:T102)</f>
        <v>0</v>
      </c>
      <c r="BR102" s="7">
        <f>SUM($B$102:V102)</f>
        <v>0</v>
      </c>
      <c r="BS102" s="7">
        <f>SUM($BR$102:BR102)</f>
        <v>0</v>
      </c>
      <c r="BT102">
        <f t="shared" si="83"/>
        <v>0</v>
      </c>
      <c r="BU102">
        <f>SUM($BT$102:BT102)</f>
        <v>0</v>
      </c>
    </row>
    <row r="103" spans="1:73" x14ac:dyDescent="0.35">
      <c r="A103" s="92" t="s">
        <v>23</v>
      </c>
      <c r="B103" s="7"/>
      <c r="C103" s="7"/>
      <c r="D103" s="7"/>
      <c r="E103" s="7"/>
      <c r="F103" s="7"/>
      <c r="G103" s="7"/>
      <c r="H103" s="7"/>
      <c r="I103" s="7"/>
      <c r="J103" s="7"/>
      <c r="K103" s="7"/>
      <c r="L103" s="7"/>
      <c r="M103" s="7"/>
      <c r="N103" s="7"/>
      <c r="O103" s="7"/>
      <c r="P103" s="7"/>
      <c r="Q103" s="7"/>
      <c r="R103" s="7"/>
      <c r="S103" s="7"/>
      <c r="T103" s="7"/>
      <c r="U103" s="7"/>
      <c r="V103" s="7"/>
      <c r="W103" s="7">
        <f t="shared" si="107"/>
        <v>0</v>
      </c>
      <c r="X103" s="7">
        <f t="shared" si="108"/>
        <v>0</v>
      </c>
      <c r="Y103" s="7">
        <f t="shared" si="109"/>
        <v>0</v>
      </c>
      <c r="Z103" s="57"/>
      <c r="AA103" s="193"/>
      <c r="AB103" s="7">
        <f t="shared" si="110"/>
        <v>0</v>
      </c>
      <c r="AC103" s="7" t="s">
        <v>23</v>
      </c>
      <c r="AD103" s="7">
        <f t="shared" ref="AD103:AM108" si="112">IF(B103 &gt; 0, IF(AD102 &gt; 0, AD102 + 1, 0.1), 0)</f>
        <v>0</v>
      </c>
      <c r="AE103" s="7">
        <f t="shared" si="112"/>
        <v>0</v>
      </c>
      <c r="AF103" s="7">
        <f t="shared" si="112"/>
        <v>0</v>
      </c>
      <c r="AG103" s="7">
        <f t="shared" si="112"/>
        <v>0</v>
      </c>
      <c r="AH103" s="7">
        <f t="shared" si="112"/>
        <v>0</v>
      </c>
      <c r="AI103" s="7">
        <f t="shared" si="112"/>
        <v>0</v>
      </c>
      <c r="AJ103" s="7">
        <f t="shared" si="112"/>
        <v>0</v>
      </c>
      <c r="AK103" s="7">
        <f t="shared" si="112"/>
        <v>0</v>
      </c>
      <c r="AL103" s="7">
        <f t="shared" si="112"/>
        <v>0</v>
      </c>
      <c r="AM103" s="7">
        <f t="shared" si="112"/>
        <v>0</v>
      </c>
      <c r="AN103" s="7">
        <f t="shared" ref="AN103:AT108" si="113">IF(L103 &gt; 0, IF(AN102 &gt; 0, AN102 + 1, 0.1), 0)</f>
        <v>0</v>
      </c>
      <c r="AO103" s="7">
        <f t="shared" si="113"/>
        <v>0</v>
      </c>
      <c r="AP103" s="7">
        <f t="shared" si="113"/>
        <v>0</v>
      </c>
      <c r="AQ103" s="7">
        <f t="shared" si="113"/>
        <v>0</v>
      </c>
      <c r="AR103" s="7">
        <f t="shared" si="113"/>
        <v>0</v>
      </c>
      <c r="AS103" s="7">
        <f t="shared" si="113"/>
        <v>0</v>
      </c>
      <c r="AT103" s="7">
        <f t="shared" si="113"/>
        <v>0</v>
      </c>
      <c r="AU103" s="7">
        <f t="shared" ref="AU103:AU108" si="114">IF(S103 &gt; 0, IF(AU95&gt; 0, AU95+ 1, 0.1), 0)</f>
        <v>0</v>
      </c>
      <c r="AV103" s="7">
        <f t="shared" ref="AV103:AW108" si="115">IF(T103 &gt; 0, IF(AV102 &gt; 0, AV102 + 1, 0.1), 0)</f>
        <v>0</v>
      </c>
      <c r="AW103" s="7">
        <f t="shared" si="115"/>
        <v>0</v>
      </c>
      <c r="AX103" s="7"/>
      <c r="AY103" s="7">
        <f>SUM($B$103:B103)</f>
        <v>0</v>
      </c>
      <c r="AZ103" s="7">
        <f>SUM($B$103:C103)</f>
        <v>0</v>
      </c>
      <c r="BA103" s="7">
        <f>SUM($B$103:D103)</f>
        <v>0</v>
      </c>
      <c r="BB103" s="7">
        <f>SUM($B$103:E103)</f>
        <v>0</v>
      </c>
      <c r="BC103" s="7">
        <f>SUM($B$103:F103)</f>
        <v>0</v>
      </c>
      <c r="BD103" s="7">
        <f>SUM($B$103:G103)</f>
        <v>0</v>
      </c>
      <c r="BE103" s="7">
        <f>SUM($B$103:H103)</f>
        <v>0</v>
      </c>
      <c r="BF103" s="7">
        <f>SUM($B$103:I103)</f>
        <v>0</v>
      </c>
      <c r="BG103" s="7">
        <f>SUM($B$103:J103)</f>
        <v>0</v>
      </c>
      <c r="BH103" s="7">
        <f>SUM($B$103:K103)</f>
        <v>0</v>
      </c>
      <c r="BI103" s="7">
        <f>SUM($B$103:L103)</f>
        <v>0</v>
      </c>
      <c r="BJ103" s="7">
        <f>SUM($B$103:M103)</f>
        <v>0</v>
      </c>
      <c r="BK103" s="7">
        <f>SUM($B$103:Q103)</f>
        <v>0</v>
      </c>
      <c r="BL103" s="7">
        <f>SUM($B$103:N103)</f>
        <v>0</v>
      </c>
      <c r="BM103" s="7">
        <f>SUM($B$103:O103)</f>
        <v>0</v>
      </c>
      <c r="BN103" s="7">
        <f>SUM($B$103:P103)</f>
        <v>0</v>
      </c>
      <c r="BO103" s="7">
        <f>SUM($B$103:R103)</f>
        <v>0</v>
      </c>
      <c r="BP103" s="7">
        <f>SUM($B$103:S103)</f>
        <v>0</v>
      </c>
      <c r="BQ103" s="7">
        <f>SUM($B$103:T103)</f>
        <v>0</v>
      </c>
      <c r="BR103" s="7">
        <f>SUM($B$103:V103)</f>
        <v>0</v>
      </c>
      <c r="BS103" s="7">
        <f>SUM($BR$102:BR103)</f>
        <v>0</v>
      </c>
      <c r="BT103">
        <f t="shared" si="83"/>
        <v>0</v>
      </c>
      <c r="BU103">
        <f>SUM($BT$102:BT103)</f>
        <v>0</v>
      </c>
    </row>
    <row r="104" spans="1:73" x14ac:dyDescent="0.35">
      <c r="A104" s="115" t="s">
        <v>24</v>
      </c>
      <c r="B104" s="7"/>
      <c r="C104" s="7"/>
      <c r="D104" s="7"/>
      <c r="E104" s="7"/>
      <c r="F104" s="7"/>
      <c r="G104" s="7"/>
      <c r="H104" s="7"/>
      <c r="I104" s="7"/>
      <c r="J104" s="7"/>
      <c r="K104" s="7"/>
      <c r="L104" s="7"/>
      <c r="M104" s="7"/>
      <c r="N104" s="7"/>
      <c r="O104" s="7"/>
      <c r="P104" s="7"/>
      <c r="Q104" s="7"/>
      <c r="R104" s="7"/>
      <c r="S104" s="7"/>
      <c r="T104" s="7"/>
      <c r="U104" s="7"/>
      <c r="V104" s="7"/>
      <c r="W104" s="7">
        <f t="shared" si="107"/>
        <v>0</v>
      </c>
      <c r="X104" s="7">
        <f t="shared" si="108"/>
        <v>0</v>
      </c>
      <c r="Y104" s="7">
        <f t="shared" si="109"/>
        <v>0</v>
      </c>
      <c r="Z104" s="57"/>
      <c r="AA104" s="193"/>
      <c r="AB104" s="7">
        <f t="shared" si="110"/>
        <v>0</v>
      </c>
      <c r="AC104" s="7" t="s">
        <v>24</v>
      </c>
      <c r="AD104" s="7">
        <f t="shared" si="112"/>
        <v>0</v>
      </c>
      <c r="AE104" s="7">
        <f t="shared" si="112"/>
        <v>0</v>
      </c>
      <c r="AF104" s="7">
        <f t="shared" si="112"/>
        <v>0</v>
      </c>
      <c r="AG104" s="7">
        <f t="shared" si="112"/>
        <v>0</v>
      </c>
      <c r="AH104" s="7">
        <f t="shared" si="112"/>
        <v>0</v>
      </c>
      <c r="AI104" s="7">
        <f t="shared" si="112"/>
        <v>0</v>
      </c>
      <c r="AJ104" s="7">
        <f t="shared" si="112"/>
        <v>0</v>
      </c>
      <c r="AK104" s="7">
        <f t="shared" si="112"/>
        <v>0</v>
      </c>
      <c r="AL104" s="7">
        <f t="shared" si="112"/>
        <v>0</v>
      </c>
      <c r="AM104" s="7">
        <f t="shared" si="112"/>
        <v>0</v>
      </c>
      <c r="AN104" s="7">
        <f t="shared" si="113"/>
        <v>0</v>
      </c>
      <c r="AO104" s="7">
        <f t="shared" si="113"/>
        <v>0</v>
      </c>
      <c r="AP104" s="7">
        <f t="shared" si="113"/>
        <v>0</v>
      </c>
      <c r="AQ104" s="7">
        <f t="shared" si="113"/>
        <v>0</v>
      </c>
      <c r="AR104" s="7">
        <f t="shared" si="113"/>
        <v>0</v>
      </c>
      <c r="AS104" s="7">
        <f t="shared" si="113"/>
        <v>0</v>
      </c>
      <c r="AT104" s="7">
        <f t="shared" si="113"/>
        <v>0</v>
      </c>
      <c r="AU104" s="7">
        <f t="shared" si="114"/>
        <v>0</v>
      </c>
      <c r="AV104" s="7">
        <f t="shared" si="115"/>
        <v>0</v>
      </c>
      <c r="AW104" s="7">
        <f t="shared" si="115"/>
        <v>0</v>
      </c>
      <c r="AX104" s="7"/>
      <c r="AY104" s="7">
        <f>SUM($B$104:B104)</f>
        <v>0</v>
      </c>
      <c r="AZ104" s="7">
        <f>SUM($B$104:C104)</f>
        <v>0</v>
      </c>
      <c r="BA104" s="7">
        <f>SUM($B$104:D104)</f>
        <v>0</v>
      </c>
      <c r="BB104" s="7">
        <f>SUM($B$104:E104)</f>
        <v>0</v>
      </c>
      <c r="BC104" s="7">
        <f>SUM($B$104:F104)</f>
        <v>0</v>
      </c>
      <c r="BD104" s="7">
        <f>SUM($B$104:G104)</f>
        <v>0</v>
      </c>
      <c r="BE104" s="7">
        <f>SUM($B$104:H104)</f>
        <v>0</v>
      </c>
      <c r="BF104" s="7">
        <f>SUM($B$104:I104)</f>
        <v>0</v>
      </c>
      <c r="BG104" s="7">
        <f>SUM($B$104:J104)</f>
        <v>0</v>
      </c>
      <c r="BH104" s="7">
        <f>SUM($B$104:K104)</f>
        <v>0</v>
      </c>
      <c r="BI104" s="7">
        <f>SUM($B$104:L104)</f>
        <v>0</v>
      </c>
      <c r="BJ104" s="7">
        <f>SUM($B$104:M104)</f>
        <v>0</v>
      </c>
      <c r="BK104" s="7">
        <f>SUM($B$104:Q104)</f>
        <v>0</v>
      </c>
      <c r="BL104" s="7">
        <f>SUM($B$104:N104)</f>
        <v>0</v>
      </c>
      <c r="BM104" s="7">
        <f>SUM($B$104:O104)</f>
        <v>0</v>
      </c>
      <c r="BN104" s="7">
        <f>SUM($B$104:P104)</f>
        <v>0</v>
      </c>
      <c r="BO104" s="7">
        <f>SUM($B$104:R104)</f>
        <v>0</v>
      </c>
      <c r="BP104" s="7">
        <f>SUM($B$104:S104)</f>
        <v>0</v>
      </c>
      <c r="BQ104" s="7">
        <f>SUM($B$104:T104)</f>
        <v>0</v>
      </c>
      <c r="BR104" s="7">
        <f>SUM($B$104:V104)</f>
        <v>0</v>
      </c>
      <c r="BS104" s="7">
        <f>SUM($BR$102:BR104)</f>
        <v>0</v>
      </c>
      <c r="BT104">
        <f t="shared" si="83"/>
        <v>0</v>
      </c>
      <c r="BU104">
        <f>SUM($BT$102:BT104)</f>
        <v>0</v>
      </c>
    </row>
    <row r="105" spans="1:73" x14ac:dyDescent="0.35">
      <c r="A105" s="126" t="s">
        <v>25</v>
      </c>
      <c r="B105" s="7"/>
      <c r="C105" s="7"/>
      <c r="D105" s="7"/>
      <c r="E105" s="7"/>
      <c r="F105" s="7"/>
      <c r="G105" s="7"/>
      <c r="H105" s="7"/>
      <c r="I105" s="7"/>
      <c r="J105" s="7"/>
      <c r="K105" s="7"/>
      <c r="L105" s="7"/>
      <c r="M105" s="7"/>
      <c r="N105" s="7"/>
      <c r="O105" s="7"/>
      <c r="P105" s="7"/>
      <c r="Q105" s="7"/>
      <c r="R105" s="7"/>
      <c r="S105" s="7"/>
      <c r="T105" s="7"/>
      <c r="U105" s="7"/>
      <c r="V105" s="7"/>
      <c r="W105" s="7">
        <f t="shared" si="107"/>
        <v>0</v>
      </c>
      <c r="X105" s="7">
        <f t="shared" si="108"/>
        <v>0</v>
      </c>
      <c r="Y105" s="7">
        <f t="shared" si="109"/>
        <v>0</v>
      </c>
      <c r="Z105" s="57"/>
      <c r="AA105" s="193"/>
      <c r="AB105" s="7">
        <f t="shared" si="110"/>
        <v>0</v>
      </c>
      <c r="AC105" s="7" t="s">
        <v>25</v>
      </c>
      <c r="AD105" s="7">
        <f t="shared" si="112"/>
        <v>0</v>
      </c>
      <c r="AE105" s="7">
        <f t="shared" si="112"/>
        <v>0</v>
      </c>
      <c r="AF105" s="7">
        <f t="shared" si="112"/>
        <v>0</v>
      </c>
      <c r="AG105" s="7">
        <f t="shared" si="112"/>
        <v>0</v>
      </c>
      <c r="AH105" s="7">
        <f t="shared" si="112"/>
        <v>0</v>
      </c>
      <c r="AI105" s="7">
        <f t="shared" si="112"/>
        <v>0</v>
      </c>
      <c r="AJ105" s="7">
        <f t="shared" si="112"/>
        <v>0</v>
      </c>
      <c r="AK105" s="7">
        <f t="shared" si="112"/>
        <v>0</v>
      </c>
      <c r="AL105" s="7">
        <f t="shared" si="112"/>
        <v>0</v>
      </c>
      <c r="AM105" s="7">
        <f t="shared" si="112"/>
        <v>0</v>
      </c>
      <c r="AN105" s="7">
        <f t="shared" si="113"/>
        <v>0</v>
      </c>
      <c r="AO105" s="7">
        <f t="shared" si="113"/>
        <v>0</v>
      </c>
      <c r="AP105" s="7">
        <f t="shared" si="113"/>
        <v>0</v>
      </c>
      <c r="AQ105" s="7">
        <f t="shared" si="113"/>
        <v>0</v>
      </c>
      <c r="AR105" s="7">
        <f t="shared" si="113"/>
        <v>0</v>
      </c>
      <c r="AS105" s="7">
        <f t="shared" si="113"/>
        <v>0</v>
      </c>
      <c r="AT105" s="7">
        <f t="shared" si="113"/>
        <v>0</v>
      </c>
      <c r="AU105" s="7">
        <f t="shared" si="114"/>
        <v>0</v>
      </c>
      <c r="AV105" s="7">
        <f t="shared" si="115"/>
        <v>0</v>
      </c>
      <c r="AW105" s="7">
        <f t="shared" si="115"/>
        <v>0</v>
      </c>
      <c r="AX105" s="7"/>
      <c r="AY105" s="7">
        <f>SUM($B$105:B105)</f>
        <v>0</v>
      </c>
      <c r="AZ105" s="7">
        <f>SUM($B$105:C105)</f>
        <v>0</v>
      </c>
      <c r="BA105" s="7">
        <f>SUM($B$105:D105)</f>
        <v>0</v>
      </c>
      <c r="BB105" s="7">
        <f>SUM($B$105:E105)</f>
        <v>0</v>
      </c>
      <c r="BC105" s="7">
        <f>SUM($B$105:F105)</f>
        <v>0</v>
      </c>
      <c r="BD105" s="7">
        <f>SUM($B$105:G105)</f>
        <v>0</v>
      </c>
      <c r="BE105" s="7">
        <f>SUM($B$105:H105)</f>
        <v>0</v>
      </c>
      <c r="BF105" s="7">
        <f>SUM($B$105:I105)</f>
        <v>0</v>
      </c>
      <c r="BG105" s="7">
        <f>SUM($B$105:J105)</f>
        <v>0</v>
      </c>
      <c r="BH105" s="7">
        <f>SUM($B$105:K105)</f>
        <v>0</v>
      </c>
      <c r="BI105" s="7">
        <f>SUM($B$105:L105)</f>
        <v>0</v>
      </c>
      <c r="BJ105" s="7">
        <f>SUM($B$105:M105)</f>
        <v>0</v>
      </c>
      <c r="BK105" s="7">
        <f>SUM($B$105:Q105)</f>
        <v>0</v>
      </c>
      <c r="BL105" s="7">
        <f>SUM($B$105:N105)</f>
        <v>0</v>
      </c>
      <c r="BM105" s="7">
        <f>SUM($B$105:O105)</f>
        <v>0</v>
      </c>
      <c r="BN105" s="7">
        <f>SUM($B$105:P105)</f>
        <v>0</v>
      </c>
      <c r="BO105" s="7">
        <f>SUM($B$105:R105)</f>
        <v>0</v>
      </c>
      <c r="BP105" s="7">
        <f>SUM($B$105:S105)</f>
        <v>0</v>
      </c>
      <c r="BQ105" s="7">
        <f>SUM($B$105:T105)</f>
        <v>0</v>
      </c>
      <c r="BR105" s="7">
        <f>SUM($B$105:V105)</f>
        <v>0</v>
      </c>
      <c r="BS105" s="7">
        <f>SUM($BR$102:BR105)</f>
        <v>0</v>
      </c>
      <c r="BT105">
        <f t="shared" si="83"/>
        <v>0</v>
      </c>
      <c r="BU105">
        <f>SUM($BT$102:BT105)</f>
        <v>0</v>
      </c>
    </row>
    <row r="106" spans="1:73" x14ac:dyDescent="0.35">
      <c r="A106" s="137" t="s">
        <v>26</v>
      </c>
      <c r="B106" s="7"/>
      <c r="C106" s="7"/>
      <c r="D106" s="7"/>
      <c r="E106" s="7"/>
      <c r="F106" s="7"/>
      <c r="G106" s="7"/>
      <c r="H106" s="7"/>
      <c r="I106" s="7"/>
      <c r="J106" s="7"/>
      <c r="K106" s="7"/>
      <c r="L106" s="7"/>
      <c r="M106" s="7"/>
      <c r="N106" s="7"/>
      <c r="O106" s="7"/>
      <c r="P106" s="7"/>
      <c r="Q106" s="7"/>
      <c r="R106" s="7"/>
      <c r="S106" s="7"/>
      <c r="T106" s="7"/>
      <c r="U106" s="7"/>
      <c r="V106" s="7"/>
      <c r="W106" s="7">
        <f t="shared" si="107"/>
        <v>0</v>
      </c>
      <c r="X106" s="7">
        <f t="shared" si="108"/>
        <v>0</v>
      </c>
      <c r="Y106" s="7">
        <f t="shared" si="109"/>
        <v>0</v>
      </c>
      <c r="Z106" s="57"/>
      <c r="AA106" s="193"/>
      <c r="AB106" s="7">
        <f t="shared" si="110"/>
        <v>0</v>
      </c>
      <c r="AC106" s="7" t="s">
        <v>26</v>
      </c>
      <c r="AD106" s="7">
        <f t="shared" si="112"/>
        <v>0</v>
      </c>
      <c r="AE106" s="7">
        <f t="shared" si="112"/>
        <v>0</v>
      </c>
      <c r="AF106" s="7">
        <f t="shared" si="112"/>
        <v>0</v>
      </c>
      <c r="AG106" s="7">
        <f t="shared" si="112"/>
        <v>0</v>
      </c>
      <c r="AH106" s="7">
        <f t="shared" si="112"/>
        <v>0</v>
      </c>
      <c r="AI106" s="7">
        <f t="shared" si="112"/>
        <v>0</v>
      </c>
      <c r="AJ106" s="7">
        <f t="shared" si="112"/>
        <v>0</v>
      </c>
      <c r="AK106" s="7">
        <f t="shared" si="112"/>
        <v>0</v>
      </c>
      <c r="AL106" s="7">
        <f t="shared" si="112"/>
        <v>0</v>
      </c>
      <c r="AM106" s="7">
        <f t="shared" si="112"/>
        <v>0</v>
      </c>
      <c r="AN106" s="7">
        <f t="shared" si="113"/>
        <v>0</v>
      </c>
      <c r="AO106" s="7">
        <f t="shared" si="113"/>
        <v>0</v>
      </c>
      <c r="AP106" s="7">
        <f t="shared" si="113"/>
        <v>0</v>
      </c>
      <c r="AQ106" s="7">
        <f t="shared" si="113"/>
        <v>0</v>
      </c>
      <c r="AR106" s="7">
        <f t="shared" si="113"/>
        <v>0</v>
      </c>
      <c r="AS106" s="7">
        <f t="shared" si="113"/>
        <v>0</v>
      </c>
      <c r="AT106" s="7">
        <f t="shared" si="113"/>
        <v>0</v>
      </c>
      <c r="AU106" s="7">
        <f t="shared" si="114"/>
        <v>0</v>
      </c>
      <c r="AV106" s="7">
        <f t="shared" si="115"/>
        <v>0</v>
      </c>
      <c r="AW106" s="7">
        <f t="shared" si="115"/>
        <v>0</v>
      </c>
      <c r="AX106" s="7"/>
      <c r="AY106" s="7">
        <f>SUM($B$106:B106)</f>
        <v>0</v>
      </c>
      <c r="AZ106" s="7">
        <f>SUM($B$106:C106)</f>
        <v>0</v>
      </c>
      <c r="BA106" s="7">
        <f>SUM($B$106:D106)</f>
        <v>0</v>
      </c>
      <c r="BB106" s="7">
        <f>SUM($B$106:E106)</f>
        <v>0</v>
      </c>
      <c r="BC106" s="7">
        <f>SUM($B$106:F106)</f>
        <v>0</v>
      </c>
      <c r="BD106" s="7">
        <f>SUM($B$106:G106)</f>
        <v>0</v>
      </c>
      <c r="BE106" s="7">
        <f>SUM($B$106:H106)</f>
        <v>0</v>
      </c>
      <c r="BF106" s="7">
        <f>SUM($B$106:I106)</f>
        <v>0</v>
      </c>
      <c r="BG106" s="7">
        <f>SUM($B$106:J106)</f>
        <v>0</v>
      </c>
      <c r="BH106" s="7">
        <f>SUM($B$106:K106)</f>
        <v>0</v>
      </c>
      <c r="BI106" s="7">
        <f>SUM($B$106:L106)</f>
        <v>0</v>
      </c>
      <c r="BJ106" s="7">
        <f>SUM($B$106:M106)</f>
        <v>0</v>
      </c>
      <c r="BK106" s="7">
        <f>SUM($B$106:Q106)</f>
        <v>0</v>
      </c>
      <c r="BL106" s="7">
        <f>SUM($B$106:N106)</f>
        <v>0</v>
      </c>
      <c r="BM106" s="7">
        <f>SUM($B$106:O106)</f>
        <v>0</v>
      </c>
      <c r="BN106" s="7">
        <f>SUM($B$106:P106)</f>
        <v>0</v>
      </c>
      <c r="BO106" s="7">
        <f>SUM($B$106:R106)</f>
        <v>0</v>
      </c>
      <c r="BP106" s="7">
        <f>SUM($B$106:S106)</f>
        <v>0</v>
      </c>
      <c r="BQ106" s="7">
        <f>SUM($B$106:T106)</f>
        <v>0</v>
      </c>
      <c r="BR106" s="7">
        <f>SUM($B$106:V106)</f>
        <v>0</v>
      </c>
      <c r="BS106" s="7">
        <f>SUM($BR$102:BR106)</f>
        <v>0</v>
      </c>
      <c r="BT106">
        <f t="shared" si="83"/>
        <v>0</v>
      </c>
      <c r="BU106">
        <f>SUM($BT$102:BT106)</f>
        <v>0</v>
      </c>
    </row>
    <row r="107" spans="1:73" x14ac:dyDescent="0.35">
      <c r="A107" s="148" t="s">
        <v>27</v>
      </c>
      <c r="B107" s="7"/>
      <c r="C107" s="7"/>
      <c r="D107" s="7"/>
      <c r="E107" s="7"/>
      <c r="F107" s="7"/>
      <c r="G107" s="7"/>
      <c r="H107" s="7"/>
      <c r="I107" s="7"/>
      <c r="J107" s="7"/>
      <c r="K107" s="7"/>
      <c r="L107" s="7"/>
      <c r="M107" s="7"/>
      <c r="N107" s="7"/>
      <c r="O107" s="7"/>
      <c r="P107" s="7"/>
      <c r="Q107" s="7"/>
      <c r="R107" s="7"/>
      <c r="S107" s="7"/>
      <c r="T107" s="7"/>
      <c r="U107" s="7"/>
      <c r="V107" s="7"/>
      <c r="W107" s="7">
        <f t="shared" si="107"/>
        <v>0</v>
      </c>
      <c r="X107" s="7">
        <f t="shared" si="108"/>
        <v>0</v>
      </c>
      <c r="Y107" s="7">
        <f t="shared" si="109"/>
        <v>0</v>
      </c>
      <c r="Z107" s="57"/>
      <c r="AA107" s="193"/>
      <c r="AB107" s="7">
        <f t="shared" si="110"/>
        <v>0</v>
      </c>
      <c r="AC107" s="7" t="s">
        <v>27</v>
      </c>
      <c r="AD107" s="7">
        <f t="shared" si="112"/>
        <v>0</v>
      </c>
      <c r="AE107" s="7">
        <f t="shared" si="112"/>
        <v>0</v>
      </c>
      <c r="AF107" s="7">
        <f t="shared" si="112"/>
        <v>0</v>
      </c>
      <c r="AG107" s="7">
        <f t="shared" si="112"/>
        <v>0</v>
      </c>
      <c r="AH107" s="7">
        <f t="shared" si="112"/>
        <v>0</v>
      </c>
      <c r="AI107" s="7">
        <f t="shared" si="112"/>
        <v>0</v>
      </c>
      <c r="AJ107" s="7">
        <f t="shared" si="112"/>
        <v>0</v>
      </c>
      <c r="AK107" s="7">
        <f t="shared" si="112"/>
        <v>0</v>
      </c>
      <c r="AL107" s="7">
        <f t="shared" si="112"/>
        <v>0</v>
      </c>
      <c r="AM107" s="7">
        <f t="shared" si="112"/>
        <v>0</v>
      </c>
      <c r="AN107" s="7">
        <f t="shared" si="113"/>
        <v>0</v>
      </c>
      <c r="AO107" s="7">
        <f t="shared" si="113"/>
        <v>0</v>
      </c>
      <c r="AP107" s="7">
        <f t="shared" si="113"/>
        <v>0</v>
      </c>
      <c r="AQ107" s="7">
        <f t="shared" si="113"/>
        <v>0</v>
      </c>
      <c r="AR107" s="7">
        <f t="shared" si="113"/>
        <v>0</v>
      </c>
      <c r="AS107" s="7">
        <f t="shared" si="113"/>
        <v>0</v>
      </c>
      <c r="AT107" s="7">
        <f t="shared" si="113"/>
        <v>0</v>
      </c>
      <c r="AU107" s="7">
        <f t="shared" si="114"/>
        <v>0</v>
      </c>
      <c r="AV107" s="7">
        <f t="shared" si="115"/>
        <v>0</v>
      </c>
      <c r="AW107" s="7">
        <f t="shared" si="115"/>
        <v>0</v>
      </c>
      <c r="AX107" s="7"/>
      <c r="AY107" s="7">
        <f>SUM($B$107:B107)</f>
        <v>0</v>
      </c>
      <c r="AZ107" s="7">
        <f>SUM($B$107:C107)</f>
        <v>0</v>
      </c>
      <c r="BA107" s="7">
        <f>SUM($B$107:D107)</f>
        <v>0</v>
      </c>
      <c r="BB107" s="7">
        <f>SUM($B$107:E107)</f>
        <v>0</v>
      </c>
      <c r="BC107" s="7">
        <f>SUM($B$107:F107)</f>
        <v>0</v>
      </c>
      <c r="BD107" s="7">
        <f>SUM($B$107:G107)</f>
        <v>0</v>
      </c>
      <c r="BE107" s="7">
        <f>SUM($B$107:H107)</f>
        <v>0</v>
      </c>
      <c r="BF107" s="7">
        <f>SUM($B$107:I107)</f>
        <v>0</v>
      </c>
      <c r="BG107" s="7">
        <f>SUM($B$107:J107)</f>
        <v>0</v>
      </c>
      <c r="BH107" s="7">
        <f>SUM($B$107:K107)</f>
        <v>0</v>
      </c>
      <c r="BI107" s="7">
        <f>SUM($B$107:L107)</f>
        <v>0</v>
      </c>
      <c r="BJ107" s="7">
        <f>SUM($B$107:M107)</f>
        <v>0</v>
      </c>
      <c r="BK107" s="7">
        <f>SUM($B$107:Q107)</f>
        <v>0</v>
      </c>
      <c r="BL107" s="7">
        <f>SUM($B$107:N107)</f>
        <v>0</v>
      </c>
      <c r="BM107" s="7">
        <f>SUM($B$107:O107)</f>
        <v>0</v>
      </c>
      <c r="BN107" s="7">
        <f>SUM($B$107:P107)</f>
        <v>0</v>
      </c>
      <c r="BO107" s="7">
        <f>SUM($B$107:R107)</f>
        <v>0</v>
      </c>
      <c r="BP107" s="7">
        <f>SUM($B$107:S107)</f>
        <v>0</v>
      </c>
      <c r="BQ107" s="7">
        <f>SUM($B$107:T107)</f>
        <v>0</v>
      </c>
      <c r="BR107" s="7">
        <f>SUM($B$107:V107)</f>
        <v>0</v>
      </c>
      <c r="BS107" s="7">
        <f>SUM($BR$102:BR107)</f>
        <v>0</v>
      </c>
      <c r="BT107">
        <f t="shared" si="83"/>
        <v>0</v>
      </c>
      <c r="BU107">
        <f>SUM($BT$102:BT107)</f>
        <v>0</v>
      </c>
    </row>
    <row r="108" spans="1:73" x14ac:dyDescent="0.35">
      <c r="A108" s="158" t="s">
        <v>28</v>
      </c>
      <c r="B108" s="7"/>
      <c r="C108" s="7"/>
      <c r="D108" s="7"/>
      <c r="E108" s="7"/>
      <c r="F108" s="7"/>
      <c r="G108" s="7"/>
      <c r="H108" s="7"/>
      <c r="I108" s="7"/>
      <c r="J108" s="7"/>
      <c r="K108" s="7"/>
      <c r="L108" s="7"/>
      <c r="M108" s="7"/>
      <c r="N108" s="7"/>
      <c r="O108" s="7"/>
      <c r="P108" s="7"/>
      <c r="Q108" s="7"/>
      <c r="R108" s="7"/>
      <c r="S108" s="7"/>
      <c r="T108" s="7"/>
      <c r="U108" s="7"/>
      <c r="V108" s="7"/>
      <c r="W108" s="7">
        <f t="shared" si="107"/>
        <v>0</v>
      </c>
      <c r="X108" s="7">
        <f t="shared" si="108"/>
        <v>0</v>
      </c>
      <c r="Y108" s="7">
        <f t="shared" si="109"/>
        <v>0</v>
      </c>
      <c r="Z108" s="57"/>
      <c r="AA108" s="193"/>
      <c r="AB108" s="7">
        <f t="shared" si="110"/>
        <v>0</v>
      </c>
      <c r="AC108" s="7" t="s">
        <v>28</v>
      </c>
      <c r="AD108" s="7">
        <f t="shared" si="112"/>
        <v>0</v>
      </c>
      <c r="AE108" s="7">
        <f t="shared" si="112"/>
        <v>0</v>
      </c>
      <c r="AF108" s="7">
        <f t="shared" si="112"/>
        <v>0</v>
      </c>
      <c r="AG108" s="7">
        <f t="shared" si="112"/>
        <v>0</v>
      </c>
      <c r="AH108" s="7">
        <f t="shared" si="112"/>
        <v>0</v>
      </c>
      <c r="AI108" s="7">
        <f t="shared" si="112"/>
        <v>0</v>
      </c>
      <c r="AJ108" s="7">
        <f t="shared" si="112"/>
        <v>0</v>
      </c>
      <c r="AK108" s="7">
        <f t="shared" si="112"/>
        <v>0</v>
      </c>
      <c r="AL108" s="7">
        <f t="shared" si="112"/>
        <v>0</v>
      </c>
      <c r="AM108" s="7">
        <f t="shared" si="112"/>
        <v>0</v>
      </c>
      <c r="AN108" s="7">
        <f t="shared" si="113"/>
        <v>0</v>
      </c>
      <c r="AO108" s="7">
        <f t="shared" si="113"/>
        <v>0</v>
      </c>
      <c r="AP108" s="7">
        <f t="shared" si="113"/>
        <v>0</v>
      </c>
      <c r="AQ108" s="7">
        <f t="shared" si="113"/>
        <v>0</v>
      </c>
      <c r="AR108" s="7">
        <f t="shared" si="113"/>
        <v>0</v>
      </c>
      <c r="AS108" s="7">
        <f t="shared" si="113"/>
        <v>0</v>
      </c>
      <c r="AT108" s="7">
        <f t="shared" si="113"/>
        <v>0</v>
      </c>
      <c r="AU108" s="7">
        <f t="shared" si="114"/>
        <v>0</v>
      </c>
      <c r="AV108" s="7">
        <f t="shared" si="115"/>
        <v>0</v>
      </c>
      <c r="AW108" s="7">
        <f t="shared" si="115"/>
        <v>0</v>
      </c>
      <c r="AX108" s="7"/>
      <c r="AY108" s="7">
        <f>SUM($B$108:B108)</f>
        <v>0</v>
      </c>
      <c r="AZ108" s="7">
        <f>SUM($B$108:C108)</f>
        <v>0</v>
      </c>
      <c r="BA108" s="7">
        <f>SUM($B$108:D108)</f>
        <v>0</v>
      </c>
      <c r="BB108" s="7">
        <f>SUM($B$108:E108)</f>
        <v>0</v>
      </c>
      <c r="BC108" s="7">
        <f>SUM($B$108:F108)</f>
        <v>0</v>
      </c>
      <c r="BD108" s="7">
        <f>SUM($B$108:G108)</f>
        <v>0</v>
      </c>
      <c r="BE108" s="7">
        <f>SUM($B$108:H108)</f>
        <v>0</v>
      </c>
      <c r="BF108" s="7">
        <f>SUM($B$108:I108)</f>
        <v>0</v>
      </c>
      <c r="BG108" s="7">
        <f>SUM($B$108:J108)</f>
        <v>0</v>
      </c>
      <c r="BH108" s="7">
        <f>SUM($B$108:K108)</f>
        <v>0</v>
      </c>
      <c r="BI108" s="7">
        <f>SUM($B$108:L108)</f>
        <v>0</v>
      </c>
      <c r="BJ108" s="7">
        <f>SUM($B$108:M108)</f>
        <v>0</v>
      </c>
      <c r="BK108" s="7">
        <f>SUM($B$108:Q108)</f>
        <v>0</v>
      </c>
      <c r="BL108" s="7">
        <f>SUM($B$108:N108)</f>
        <v>0</v>
      </c>
      <c r="BM108" s="7">
        <f>SUM($B$108:O108)</f>
        <v>0</v>
      </c>
      <c r="BN108" s="7">
        <f>SUM($B$108:P108)</f>
        <v>0</v>
      </c>
      <c r="BO108" s="7">
        <f>SUM($B$108:R108)</f>
        <v>0</v>
      </c>
      <c r="BP108" s="7">
        <f>SUM($B$108:S108)</f>
        <v>0</v>
      </c>
      <c r="BQ108" s="7">
        <f>SUM($B$108:T108)</f>
        <v>0</v>
      </c>
      <c r="BR108" s="7">
        <f>SUM($B$108:V108)</f>
        <v>0</v>
      </c>
      <c r="BS108" s="7">
        <f>SUM($BR$102:BR108)</f>
        <v>0</v>
      </c>
      <c r="BT108">
        <f t="shared" si="83"/>
        <v>0</v>
      </c>
      <c r="BU108">
        <f>SUM($BT$102:BT108)</f>
        <v>0</v>
      </c>
    </row>
    <row r="109" spans="1:73" x14ac:dyDescent="0.35">
      <c r="A109" s="55" t="s">
        <v>29</v>
      </c>
      <c r="B109" s="7">
        <f t="shared" ref="B109:T109" si="116">SUM(B102:B108)</f>
        <v>0</v>
      </c>
      <c r="C109" s="7">
        <f t="shared" si="116"/>
        <v>0</v>
      </c>
      <c r="D109" s="7">
        <f t="shared" si="116"/>
        <v>0</v>
      </c>
      <c r="E109" s="7">
        <f t="shared" si="116"/>
        <v>0</v>
      </c>
      <c r="F109" s="7">
        <f t="shared" si="116"/>
        <v>0</v>
      </c>
      <c r="G109" s="7">
        <f t="shared" si="116"/>
        <v>0</v>
      </c>
      <c r="H109" s="7">
        <f t="shared" si="116"/>
        <v>0</v>
      </c>
      <c r="I109" s="7">
        <f t="shared" si="116"/>
        <v>0</v>
      </c>
      <c r="J109" s="7">
        <f t="shared" si="116"/>
        <v>0</v>
      </c>
      <c r="K109" s="7">
        <f>SUM(K102:K108)</f>
        <v>0</v>
      </c>
      <c r="L109" s="7">
        <f t="shared" si="116"/>
        <v>0</v>
      </c>
      <c r="M109" s="7">
        <f t="shared" si="116"/>
        <v>0</v>
      </c>
      <c r="N109" s="7">
        <f t="shared" si="116"/>
        <v>0</v>
      </c>
      <c r="O109" s="7">
        <f t="shared" si="116"/>
        <v>0</v>
      </c>
      <c r="P109" s="7">
        <f t="shared" si="116"/>
        <v>0</v>
      </c>
      <c r="Q109" s="7">
        <f>SUM(Q102:Q108)</f>
        <v>0</v>
      </c>
      <c r="R109" s="7">
        <f t="shared" si="116"/>
        <v>0</v>
      </c>
      <c r="S109" s="7">
        <f t="shared" si="116"/>
        <v>0</v>
      </c>
      <c r="T109" s="7">
        <f t="shared" si="116"/>
        <v>0</v>
      </c>
      <c r="U109" s="7">
        <f t="shared" ref="U109" si="117">SUM(U102:U108)</f>
        <v>0</v>
      </c>
      <c r="V109" s="7">
        <f>SUM(V102:V108)</f>
        <v>0</v>
      </c>
      <c r="W109" s="31">
        <f>SUM(W102:W108)</f>
        <v>0</v>
      </c>
      <c r="X109" s="7"/>
      <c r="Y109" s="7"/>
      <c r="Z109" s="57" t="s">
        <v>171</v>
      </c>
      <c r="AA109" s="193"/>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row>
    <row r="110" spans="1:73" x14ac:dyDescent="0.35">
      <c r="A110" s="55" t="s">
        <v>33</v>
      </c>
      <c r="B110" s="7">
        <f>B109-B95</f>
        <v>0</v>
      </c>
      <c r="C110" s="7">
        <f>C109-C95</f>
        <v>0</v>
      </c>
      <c r="D110" s="7">
        <f t="shared" ref="D110:T110" si="118">D109-D95</f>
        <v>0</v>
      </c>
      <c r="E110" s="7">
        <f t="shared" si="118"/>
        <v>0</v>
      </c>
      <c r="F110" s="7">
        <f t="shared" si="118"/>
        <v>0</v>
      </c>
      <c r="G110" s="7">
        <f t="shared" si="118"/>
        <v>0</v>
      </c>
      <c r="H110" s="7">
        <f t="shared" si="118"/>
        <v>0</v>
      </c>
      <c r="I110" s="7">
        <f t="shared" si="118"/>
        <v>0</v>
      </c>
      <c r="J110" s="7">
        <f t="shared" si="118"/>
        <v>0</v>
      </c>
      <c r="K110" s="7">
        <f>K109-K95</f>
        <v>0</v>
      </c>
      <c r="L110" s="7">
        <f t="shared" si="118"/>
        <v>0</v>
      </c>
      <c r="M110" s="7">
        <f t="shared" si="118"/>
        <v>0</v>
      </c>
      <c r="N110" s="7">
        <f t="shared" si="118"/>
        <v>0</v>
      </c>
      <c r="O110" s="7">
        <f t="shared" si="118"/>
        <v>0</v>
      </c>
      <c r="P110" s="7">
        <f t="shared" si="118"/>
        <v>0</v>
      </c>
      <c r="Q110" s="7">
        <f>Q109-Q95</f>
        <v>0</v>
      </c>
      <c r="R110" s="7">
        <f t="shared" si="118"/>
        <v>0</v>
      </c>
      <c r="S110" s="7">
        <f t="shared" si="118"/>
        <v>0</v>
      </c>
      <c r="T110" s="7">
        <f t="shared" si="118"/>
        <v>0</v>
      </c>
      <c r="U110" s="7">
        <f t="shared" ref="U110" si="119">U109-U95</f>
        <v>0</v>
      </c>
      <c r="V110" s="7">
        <f>V109-V95</f>
        <v>0</v>
      </c>
      <c r="W110" s="7">
        <f>W109-W95</f>
        <v>0</v>
      </c>
      <c r="X110" s="7"/>
      <c r="Y110" s="7"/>
      <c r="Z110" s="57"/>
      <c r="AA110" s="193"/>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row>
    <row r="111" spans="1:73" x14ac:dyDescent="0.35">
      <c r="A111" s="55" t="s">
        <v>110</v>
      </c>
      <c r="B111" s="7" cm="1">
        <f t="array" ref="B111">IF(COUNTIF(AD101:AD107,0)=0,
    LOOKUP(2,1/(AD101:AD107&lt;&gt;""),AD101:AD107),
    MATCH(0,INDEX(AD101:AD107,MAX(ROW(AD101:AD107))-ROW(AD101:AD107)+1),0)-1
)</f>
        <v>0</v>
      </c>
      <c r="C111" s="7" cm="1">
        <f t="array" ref="C111">IF(COUNTIF(AE101:AE107,0)=0,
    LOOKUP(2,1/(AE101:AE107&lt;&gt;""),AE101:AE107),
    MATCH(0,INDEX(AE101:AE107,MAX(ROW(AE101:AE107))-ROW(AE101:AE107)+1),0)-1
)</f>
        <v>0</v>
      </c>
      <c r="D111" s="7" cm="1">
        <f t="array" ref="D111">IF(COUNTIF(AF101:AF107,0)=0,
    LOOKUP(2,1/(AF101:AF107&lt;&gt;""),AF101:AF107),
    MATCH(0,INDEX(AF101:AF107,MAX(ROW(AF101:AF107))-ROW(AF101:AF107)+1),0)-1
)</f>
        <v>0</v>
      </c>
      <c r="E111" s="7" cm="1">
        <f t="array" ref="E111">IF(COUNTIF(AG101:AG107,0)=0,
    LOOKUP(2,1/(AG101:AG107&lt;&gt;""),AG101:AG107),
    MATCH(0,INDEX(AG101:AG107,MAX(ROW(AG101:AG107))-ROW(AG101:AG107)+1),0)-1
)</f>
        <v>0</v>
      </c>
      <c r="F111" s="7" cm="1">
        <f t="array" ref="F111">IF(COUNTIF(AH101:AH107,0)=0,
    LOOKUP(2,1/(AH101:AH107&lt;&gt;""),AH101:AH107),
    MATCH(0,INDEX(AH101:AH107,MAX(ROW(AH101:AH107))-ROW(AH101:AH107)+1),0)-1
)</f>
        <v>0</v>
      </c>
      <c r="G111" s="7" cm="1">
        <f t="array" ref="G111">IF(COUNTIF(AI101:AI107,0)=0,
    LOOKUP(2,1/(AI101:AI107&lt;&gt;""),AI101:AI107),
    MATCH(0,INDEX(AI101:AI107,MAX(ROW(AI101:AI107))-ROW(AI101:AI107)+1),0)-1
)</f>
        <v>0</v>
      </c>
      <c r="H111" s="7" cm="1">
        <f t="array" ref="H111">IF(COUNTIF(AJ101:AJ107,0)=0,
    LOOKUP(2,1/(AJ101:AJ107&lt;&gt;""),AJ101:AJ107),
    MATCH(0,INDEX(AJ101:AJ107,MAX(ROW(AJ101:AJ107))-ROW(AJ101:AJ107)+1),0)-1
)</f>
        <v>0</v>
      </c>
      <c r="I111" s="7" cm="1">
        <f t="array" ref="I111">IF(COUNTIF(AK101:AK107,0)=0,
    LOOKUP(2,1/(AK101:AK107&lt;&gt;""),AK101:AK107),
    MATCH(0,INDEX(AK101:AK107,MAX(ROW(AK101:AK107))-ROW(AK101:AK107)+1),0)-1
)</f>
        <v>0</v>
      </c>
      <c r="J111" s="7" cm="1">
        <f t="array" ref="J111">IF(COUNTIF(AL101:AL107,0)=0,
    LOOKUP(2,1/(AL101:AL107&lt;&gt;""),AL101:AL107),
    MATCH(0,INDEX(AL101:AL107,MAX(ROW(AL101:AL107))-ROW(AL101:AL107)+1),0)-1
)</f>
        <v>0</v>
      </c>
      <c r="K111" s="7" cm="1">
        <f t="array" ref="K111">IF(COUNTIF(AM101:AM107,0)=0,
    LOOKUP(2,1/(AM101:AM107&lt;&gt;""),AM101:AM107),
    MATCH(0,INDEX(AM101:AM107,MAX(ROW(AM101:AM107))-ROW(AM101:AM107)+1),0)-1
)</f>
        <v>0</v>
      </c>
      <c r="L111" s="7" cm="1">
        <f t="array" ref="L111">IF(COUNTIF(AN101:AN107,0)=0,
    LOOKUP(2,1/(AN101:AN107&lt;&gt;""),AN101:AN107),
    MATCH(0,INDEX(AN101:AN107,MAX(ROW(AN101:AN107))-ROW(AN101:AN107)+1),0)-1
)</f>
        <v>0</v>
      </c>
      <c r="M111" s="7" cm="1">
        <f t="array" ref="M111">IF(COUNTIF(AO101:AO107,0)=0,
    LOOKUP(2,1/(AO101:AO107&lt;&gt;""),AO101:AO107),
    MATCH(0,INDEX(AO101:AO107,MAX(ROW(AO101:AO107))-ROW(AO101:AO107)+1),0)-1
)</f>
        <v>0</v>
      </c>
      <c r="N111" s="7" cm="1">
        <f t="array" ref="N111">IF(COUNTIF(AP101:AP107,0)=0,
    LOOKUP(2,1/(AP101:AP107&lt;&gt;""),AP101:AP107),
    MATCH(0,INDEX(AP101:AP107,MAX(ROW(AP101:AP107))-ROW(AP101:AP107)+1),0)-1
)</f>
        <v>0</v>
      </c>
      <c r="O111" s="7" cm="1">
        <f t="array" ref="O111">IF(COUNTIF(AQ101:AQ107,0)=0,
    LOOKUP(2,1/(AQ101:AQ107&lt;&gt;""),AQ101:AQ107),
    MATCH(0,INDEX(AQ101:AQ107,MAX(ROW(AQ101:AQ107))-ROW(AQ101:AQ107)+1),0)-1
)</f>
        <v>0</v>
      </c>
      <c r="P111" s="7" cm="1">
        <f t="array" ref="P111">IF(COUNTIF(AR101:AR107,0)=0,
    LOOKUP(2,1/(AR101:AR107&lt;&gt;""),AR101:AR107),
    MATCH(0,INDEX(AR101:AR107,MAX(ROW(AR101:AR107))-ROW(AR101:AR107)+1),0)-1
)</f>
        <v>0</v>
      </c>
      <c r="Q111" s="7" cm="1">
        <f t="array" ref="Q111">IF(COUNTIF(AS101:AS107,0)=0,
    LOOKUP(2,1/(AS101:AS107&lt;&gt;""),AS101:AS107),
    MATCH(0,INDEX(AS101:AS107,MAX(ROW(AS101:AS107))-ROW(AS101:AS107)+1),0)-1
)</f>
        <v>0</v>
      </c>
      <c r="R111" s="7" cm="1">
        <f t="array" ref="R111">IF(COUNTIF(AT101:AT107,0)=0,
    LOOKUP(2,1/(AT101:AT107&lt;&gt;""),AT101:AT107),
    MATCH(0,INDEX(AT101:AT107,MAX(ROW(AT101:AT107))-ROW(AT101:AT107)+1),0)-1
)</f>
        <v>0</v>
      </c>
      <c r="S111" s="7" cm="1">
        <f t="array" ref="S111">IF(COUNTIF(AU101:AU107,0)=0,
    LOOKUP(2,1/(AU101:AU107&lt;&gt;""),AU101:AU107),
    MATCH(0,INDEX(AU101:AU107,MAX(ROW(AU101:AU107))-ROW(AU101:AU107)+1),0)-1
)</f>
        <v>0</v>
      </c>
      <c r="T111" s="7" cm="1">
        <f t="array" ref="T111">IF(COUNTIF(AV101:AV107,0)=0,
    LOOKUP(2,1/(AV101:AV107&lt;&gt;""),AV101:AV107),
    MATCH(0,INDEX(AV101:AV107,MAX(ROW(AV101:AV107))-ROW(AV101:AV107)+1),0)-1
)</f>
        <v>0</v>
      </c>
      <c r="U111" s="7" cm="1">
        <f t="array" ref="U111">IF(COUNTIF(AW101:AW107,0)=0,
    LOOKUP(2,1/(AW101:AW107&lt;&gt;""),AW101:AW107),
    MATCH(0,INDEX(AW101:AW107,MAX(ROW(AW101:AW107))-ROW(AW101:AW107)+1),0)-1
)</f>
        <v>0</v>
      </c>
      <c r="V111" s="7"/>
      <c r="W111" s="7"/>
      <c r="X111" s="7"/>
      <c r="Y111" s="7"/>
      <c r="Z111" s="57"/>
      <c r="AA111" s="193"/>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row>
    <row r="112" spans="1:73" x14ac:dyDescent="0.35">
      <c r="A112" s="55" t="s">
        <v>99</v>
      </c>
      <c r="B112" s="7">
        <f>B109+B98</f>
        <v>2</v>
      </c>
      <c r="C112" s="7">
        <f t="shared" ref="C112:T112" si="120">C109+C98</f>
        <v>0</v>
      </c>
      <c r="D112" s="7">
        <f t="shared" si="120"/>
        <v>5</v>
      </c>
      <c r="E112" s="7">
        <f t="shared" si="120"/>
        <v>9</v>
      </c>
      <c r="F112" s="7">
        <f t="shared" si="120"/>
        <v>4</v>
      </c>
      <c r="G112" s="7">
        <f t="shared" si="120"/>
        <v>0</v>
      </c>
      <c r="H112" s="7">
        <f t="shared" si="120"/>
        <v>0</v>
      </c>
      <c r="I112" s="7">
        <f t="shared" si="120"/>
        <v>3</v>
      </c>
      <c r="J112" s="7">
        <f t="shared" si="120"/>
        <v>0</v>
      </c>
      <c r="K112" s="7">
        <f>K109+K98</f>
        <v>0.75</v>
      </c>
      <c r="L112" s="7">
        <f t="shared" si="120"/>
        <v>2</v>
      </c>
      <c r="M112" s="7">
        <f t="shared" si="120"/>
        <v>1</v>
      </c>
      <c r="N112" s="7">
        <f t="shared" si="120"/>
        <v>2.5</v>
      </c>
      <c r="O112" s="7">
        <f t="shared" si="120"/>
        <v>2</v>
      </c>
      <c r="P112" s="7">
        <f t="shared" si="120"/>
        <v>0</v>
      </c>
      <c r="Q112" s="7">
        <f>Q109+Q98</f>
        <v>0</v>
      </c>
      <c r="R112" s="7">
        <f t="shared" si="120"/>
        <v>1</v>
      </c>
      <c r="S112" s="7">
        <f t="shared" si="120"/>
        <v>3</v>
      </c>
      <c r="T112" s="7">
        <f t="shared" si="120"/>
        <v>0</v>
      </c>
      <c r="U112" s="7">
        <f t="shared" ref="U112" si="121">U109+U98</f>
        <v>-1</v>
      </c>
      <c r="V112" s="7">
        <f>V109+V98</f>
        <v>2</v>
      </c>
      <c r="W112" s="7">
        <f>W109+W98</f>
        <v>36.25</v>
      </c>
      <c r="X112" s="7"/>
      <c r="Y112" s="7">
        <f>SUM(Y102:Y108)</f>
        <v>0</v>
      </c>
      <c r="Z112" s="57"/>
      <c r="AA112" s="193"/>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row>
    <row r="113" spans="1:73" x14ac:dyDescent="0.35">
      <c r="A113" s="55" t="s">
        <v>112</v>
      </c>
      <c r="B113" s="174">
        <f>(COUNTIF(B4:B10, "&gt;0")+COUNTIF(B18:B24, "&gt;0")+COUNTIF(B32:B38, "&gt;0")+COUNTIF(B46:B52, "&gt;0")+COUNTIF(B60:B66, "&gt;0")+COUNTIF(B74:B80, "&gt;0")+COUNTIF(B88:B94, "&gt;0") + COUNTIF(B102:B108, "&gt;0")) / 56</f>
        <v>1.7857142857142856E-2</v>
      </c>
      <c r="C113" s="174">
        <f t="shared" ref="C113:O113" si="122">(COUNTIF(C4:C10, "&gt;0")+COUNTIF(C18:C24, "&gt;0")+COUNTIF(C32:C38, "&gt;0")+COUNTIF(C46:C52, "&gt;0")+COUNTIF(C60:C66, "&gt;0")+COUNTIF(C74:C80, "&gt;0")+COUNTIF(C88:C94, "&gt;0") + COUNTIF(C102:C108, "&gt;0")) / 56</f>
        <v>0</v>
      </c>
      <c r="D113" s="174">
        <f t="shared" si="122"/>
        <v>1.7857142857142856E-2</v>
      </c>
      <c r="E113" s="174">
        <f t="shared" si="122"/>
        <v>1.7857142857142856E-2</v>
      </c>
      <c r="F113" s="174">
        <f t="shared" si="122"/>
        <v>1.7857142857142856E-2</v>
      </c>
      <c r="G113" s="174">
        <f t="shared" si="122"/>
        <v>0</v>
      </c>
      <c r="H113" s="174">
        <f t="shared" si="122"/>
        <v>0</v>
      </c>
      <c r="I113" s="174">
        <f t="shared" si="122"/>
        <v>1.7857142857142856E-2</v>
      </c>
      <c r="J113" s="174">
        <f t="shared" si="122"/>
        <v>0</v>
      </c>
      <c r="K113" s="174">
        <f t="shared" si="122"/>
        <v>1.7857142857142856E-2</v>
      </c>
      <c r="L113" s="174">
        <f t="shared" si="122"/>
        <v>1.7857142857142856E-2</v>
      </c>
      <c r="M113" s="174">
        <f t="shared" si="122"/>
        <v>1.7857142857142856E-2</v>
      </c>
      <c r="N113" s="174">
        <f t="shared" si="122"/>
        <v>1.7857142857142856E-2</v>
      </c>
      <c r="O113" s="174">
        <f t="shared" si="122"/>
        <v>1.7857142857142856E-2</v>
      </c>
      <c r="P113" s="7"/>
      <c r="Q113" s="7"/>
      <c r="R113" s="7"/>
      <c r="S113" s="7"/>
      <c r="T113" s="7"/>
      <c r="U113" s="55" t="s">
        <v>31</v>
      </c>
      <c r="V113" s="7">
        <f>SUMIF(B109:V109,"&lt;0",B109:V109)</f>
        <v>0</v>
      </c>
      <c r="W113" s="7">
        <f>SUMIF(B109:V109,"&gt;0",B109:V109)</f>
        <v>0</v>
      </c>
      <c r="Y113" s="7"/>
      <c r="Z113" s="57"/>
      <c r="AA113" s="193"/>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row>
    <row r="114" spans="1:73"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11"/>
      <c r="AA114" s="11"/>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t="s">
        <v>128</v>
      </c>
      <c r="AZ114" s="7"/>
      <c r="BA114" s="7"/>
      <c r="BB114" s="7"/>
      <c r="BC114" s="7"/>
      <c r="BD114" s="7"/>
      <c r="BE114" s="7"/>
      <c r="BF114" s="7"/>
      <c r="BG114" s="7"/>
      <c r="BH114" s="7"/>
      <c r="BI114" s="7"/>
      <c r="BJ114" s="7"/>
      <c r="BK114" s="7"/>
      <c r="BL114" s="7"/>
      <c r="BM114" s="7"/>
      <c r="BN114" s="7"/>
      <c r="BO114" s="7"/>
      <c r="BP114" s="7"/>
      <c r="BQ114" s="7"/>
      <c r="BR114" s="7"/>
      <c r="BS114" s="7"/>
    </row>
    <row r="115" spans="1:73" ht="29" x14ac:dyDescent="0.35">
      <c r="A115" s="104" t="s">
        <v>60</v>
      </c>
      <c r="B115" s="61">
        <f>C101+1</f>
        <v>46083</v>
      </c>
      <c r="C115" s="61">
        <f>B115+6</f>
        <v>46089</v>
      </c>
      <c r="D115" s="7"/>
      <c r="E115" s="7"/>
      <c r="F115" s="7"/>
      <c r="G115" s="7"/>
      <c r="H115" s="7"/>
      <c r="I115" s="7"/>
      <c r="J115" s="7"/>
      <c r="K115" s="7"/>
      <c r="L115" s="7"/>
      <c r="M115" s="7"/>
      <c r="N115" s="7"/>
      <c r="O115" s="7"/>
      <c r="P115" s="7"/>
      <c r="Q115" s="7"/>
      <c r="R115" s="7"/>
      <c r="S115" s="7"/>
      <c r="T115" s="7"/>
      <c r="U115" s="7"/>
      <c r="V115" s="7"/>
      <c r="W115" s="7"/>
      <c r="X115" s="7"/>
      <c r="Y115" s="7"/>
      <c r="Z115" s="11"/>
      <c r="AA115" s="11"/>
      <c r="AB115" s="7"/>
      <c r="AC115" s="7" t="s">
        <v>70</v>
      </c>
      <c r="AD115" s="7"/>
      <c r="AE115" s="7"/>
      <c r="AF115" s="7"/>
      <c r="AG115" s="7"/>
      <c r="AH115" s="7"/>
      <c r="AI115" s="7"/>
      <c r="AJ115" s="7"/>
      <c r="AK115" s="7"/>
      <c r="AL115" s="7"/>
      <c r="AM115" s="7"/>
      <c r="AN115" s="7"/>
      <c r="AO115" s="7"/>
      <c r="AP115" s="7"/>
      <c r="AQ115" s="7"/>
      <c r="AR115" s="7"/>
      <c r="AS115" s="7"/>
      <c r="AT115" s="7"/>
      <c r="AU115" s="7"/>
      <c r="AV115" s="7"/>
      <c r="AW115" s="7"/>
      <c r="AX115" s="7"/>
      <c r="AY115" s="12" t="s">
        <v>1</v>
      </c>
      <c r="AZ115" s="12" t="s">
        <v>2</v>
      </c>
      <c r="BA115" s="12" t="s">
        <v>3</v>
      </c>
      <c r="BB115" s="12" t="s">
        <v>4</v>
      </c>
      <c r="BC115" s="12" t="s">
        <v>5</v>
      </c>
      <c r="BD115" s="12" t="s">
        <v>6</v>
      </c>
      <c r="BE115" s="12" t="s">
        <v>7</v>
      </c>
      <c r="BF115" s="12" t="s">
        <v>8</v>
      </c>
      <c r="BG115" s="12" t="s">
        <v>9</v>
      </c>
      <c r="BH115" s="12" t="s">
        <v>10</v>
      </c>
      <c r="BI115" s="12" t="s">
        <v>11</v>
      </c>
      <c r="BJ115" s="12" t="s">
        <v>12</v>
      </c>
      <c r="BK115" s="12" t="s">
        <v>13</v>
      </c>
      <c r="BL115" s="12" t="s">
        <v>14</v>
      </c>
      <c r="BM115" s="12" t="s">
        <v>15</v>
      </c>
      <c r="BN115" s="12" t="s">
        <v>16</v>
      </c>
      <c r="BO115" s="12" t="s">
        <v>17</v>
      </c>
      <c r="BP115" s="12" t="s">
        <v>18</v>
      </c>
      <c r="BQ115" s="12" t="s">
        <v>19</v>
      </c>
      <c r="BR115" s="12" t="s">
        <v>20</v>
      </c>
      <c r="BS115" s="12">
        <v>0</v>
      </c>
      <c r="BU115">
        <v>0</v>
      </c>
    </row>
    <row r="116" spans="1:73" x14ac:dyDescent="0.35">
      <c r="A116" s="82" t="s">
        <v>22</v>
      </c>
      <c r="B116" s="7"/>
      <c r="C116" s="7"/>
      <c r="D116" s="7"/>
      <c r="E116" s="7"/>
      <c r="F116" s="7"/>
      <c r="G116" s="7"/>
      <c r="H116" s="7"/>
      <c r="I116" s="7"/>
      <c r="J116" s="7"/>
      <c r="K116" s="7"/>
      <c r="L116" s="7"/>
      <c r="M116" s="7"/>
      <c r="N116" s="7"/>
      <c r="O116" s="7"/>
      <c r="P116" s="7"/>
      <c r="Q116" s="7"/>
      <c r="R116" s="7"/>
      <c r="S116" s="7"/>
      <c r="T116" s="7"/>
      <c r="U116" s="7"/>
      <c r="V116" s="7"/>
      <c r="W116" s="7">
        <f t="shared" ref="W116:W122" si="123">SUM(B116:V116)</f>
        <v>0</v>
      </c>
      <c r="X116" s="7">
        <f t="shared" ref="X116:X122" si="124">SUM(AD116:AW116)*0.1</f>
        <v>0</v>
      </c>
      <c r="Y116" s="7">
        <f t="shared" ref="Y116:Y122" si="125">W116+X116</f>
        <v>0</v>
      </c>
      <c r="Z116" s="58"/>
      <c r="AA116" s="59"/>
      <c r="AB116" s="7">
        <f>W116+AB102</f>
        <v>36.25</v>
      </c>
      <c r="AC116" s="7" t="s">
        <v>22</v>
      </c>
      <c r="AD116" s="7">
        <f t="shared" ref="AD116:AW116" si="126">IF(B116 &gt; 0, IF(AD108&gt; 0, AD108+ 1, 0.1), 0)</f>
        <v>0</v>
      </c>
      <c r="AE116" s="7">
        <f t="shared" si="126"/>
        <v>0</v>
      </c>
      <c r="AF116" s="7">
        <f t="shared" si="126"/>
        <v>0</v>
      </c>
      <c r="AG116" s="7">
        <f t="shared" si="126"/>
        <v>0</v>
      </c>
      <c r="AH116" s="7">
        <f t="shared" si="126"/>
        <v>0</v>
      </c>
      <c r="AI116" s="7">
        <f t="shared" si="126"/>
        <v>0</v>
      </c>
      <c r="AJ116" s="7">
        <f t="shared" si="126"/>
        <v>0</v>
      </c>
      <c r="AK116" s="7">
        <f t="shared" si="126"/>
        <v>0</v>
      </c>
      <c r="AL116" s="7">
        <f t="shared" si="126"/>
        <v>0</v>
      </c>
      <c r="AM116" s="7">
        <f t="shared" si="126"/>
        <v>0</v>
      </c>
      <c r="AN116" s="7">
        <f t="shared" si="126"/>
        <v>0</v>
      </c>
      <c r="AO116" s="7">
        <f t="shared" si="126"/>
        <v>0</v>
      </c>
      <c r="AP116" s="7">
        <f t="shared" si="126"/>
        <v>0</v>
      </c>
      <c r="AQ116" s="7">
        <f t="shared" si="126"/>
        <v>0</v>
      </c>
      <c r="AR116" s="7">
        <f t="shared" si="126"/>
        <v>0</v>
      </c>
      <c r="AS116" s="7">
        <f t="shared" si="126"/>
        <v>0</v>
      </c>
      <c r="AT116" s="7">
        <f t="shared" si="126"/>
        <v>0</v>
      </c>
      <c r="AU116" s="7">
        <f t="shared" si="126"/>
        <v>0</v>
      </c>
      <c r="AV116" s="7">
        <f t="shared" si="126"/>
        <v>0</v>
      </c>
      <c r="AW116" s="7">
        <f t="shared" si="126"/>
        <v>0</v>
      </c>
      <c r="AX116" s="7"/>
      <c r="AY116" s="7">
        <f>SUM($B$116:B116)</f>
        <v>0</v>
      </c>
      <c r="AZ116" s="7">
        <f>SUM($B$116:C116)</f>
        <v>0</v>
      </c>
      <c r="BA116" s="7">
        <f>SUM($B$116:D116)</f>
        <v>0</v>
      </c>
      <c r="BB116" s="7">
        <f>SUM($B$116:E116)</f>
        <v>0</v>
      </c>
      <c r="BC116" s="7">
        <f>SUM($B$116:F116)</f>
        <v>0</v>
      </c>
      <c r="BD116" s="7">
        <f>SUM($B$116:G116)</f>
        <v>0</v>
      </c>
      <c r="BE116" s="7">
        <f>SUM($B$116:H116)</f>
        <v>0</v>
      </c>
      <c r="BF116" s="7">
        <f>SUM($B$116:I116)</f>
        <v>0</v>
      </c>
      <c r="BG116" s="7">
        <f>SUM($B$116:J116)</f>
        <v>0</v>
      </c>
      <c r="BH116" s="7">
        <f>SUM($B$116:K116)</f>
        <v>0</v>
      </c>
      <c r="BI116" s="7">
        <f>SUM($B$116:L116)</f>
        <v>0</v>
      </c>
      <c r="BJ116" s="7">
        <f>SUM($B$116:M116)</f>
        <v>0</v>
      </c>
      <c r="BK116" s="7">
        <f>SUM($B$116:Q116)</f>
        <v>0</v>
      </c>
      <c r="BL116" s="7">
        <f>SUM($B$116:N116)</f>
        <v>0</v>
      </c>
      <c r="BM116" s="7">
        <f>SUM($B$116:O116)</f>
        <v>0</v>
      </c>
      <c r="BN116" s="7">
        <f>SUM($B$116:P116)</f>
        <v>0</v>
      </c>
      <c r="BO116" s="7">
        <f>SUM($B$116:R116)</f>
        <v>0</v>
      </c>
      <c r="BP116" s="7">
        <f>SUM($B$116:S116)</f>
        <v>0</v>
      </c>
      <c r="BQ116" s="7">
        <f>SUM($B$116:T116)</f>
        <v>0</v>
      </c>
      <c r="BR116" s="7">
        <f>SUM($B$116:V116)</f>
        <v>0</v>
      </c>
      <c r="BS116" s="7">
        <f>SUM($BR$116:BR116)</f>
        <v>0</v>
      </c>
      <c r="BT116">
        <f t="shared" si="83"/>
        <v>0</v>
      </c>
      <c r="BU116">
        <f>SUM($BT$116:BT116)</f>
        <v>0</v>
      </c>
    </row>
    <row r="117" spans="1:73" x14ac:dyDescent="0.35">
      <c r="A117" s="93" t="s">
        <v>23</v>
      </c>
      <c r="B117" s="7"/>
      <c r="C117" s="7"/>
      <c r="D117" s="7"/>
      <c r="E117" s="7"/>
      <c r="F117" s="7"/>
      <c r="G117" s="7"/>
      <c r="H117" s="7"/>
      <c r="I117" s="7"/>
      <c r="J117" s="7"/>
      <c r="K117" s="7"/>
      <c r="L117" s="7"/>
      <c r="M117" s="7"/>
      <c r="N117" s="7"/>
      <c r="O117" s="7"/>
      <c r="P117" s="7"/>
      <c r="Q117" s="7"/>
      <c r="R117" s="7"/>
      <c r="S117" s="7"/>
      <c r="T117" s="7"/>
      <c r="U117" s="7"/>
      <c r="V117" s="7"/>
      <c r="W117" s="7">
        <f t="shared" si="123"/>
        <v>0</v>
      </c>
      <c r="X117" s="7">
        <f t="shared" si="124"/>
        <v>0</v>
      </c>
      <c r="Y117" s="7">
        <f t="shared" si="125"/>
        <v>0</v>
      </c>
      <c r="Z117" s="58"/>
      <c r="AA117" s="59"/>
      <c r="AB117" s="7">
        <f t="shared" ref="AB117:AB122" si="127">AB103+W117</f>
        <v>0</v>
      </c>
      <c r="AC117" s="7" t="s">
        <v>23</v>
      </c>
      <c r="AD117" s="7">
        <f t="shared" ref="AD117:AM122" si="128">IF(B117 &gt; 0, IF(AD116 &gt; 0, AD116 + 1, 0.1), 0)</f>
        <v>0</v>
      </c>
      <c r="AE117" s="7">
        <f t="shared" si="128"/>
        <v>0</v>
      </c>
      <c r="AF117" s="7">
        <f t="shared" si="128"/>
        <v>0</v>
      </c>
      <c r="AG117" s="7">
        <f t="shared" si="128"/>
        <v>0</v>
      </c>
      <c r="AH117" s="7">
        <f t="shared" si="128"/>
        <v>0</v>
      </c>
      <c r="AI117" s="7">
        <f t="shared" si="128"/>
        <v>0</v>
      </c>
      <c r="AJ117" s="7">
        <f t="shared" si="128"/>
        <v>0</v>
      </c>
      <c r="AK117" s="7">
        <f t="shared" si="128"/>
        <v>0</v>
      </c>
      <c r="AL117" s="7">
        <f t="shared" si="128"/>
        <v>0</v>
      </c>
      <c r="AM117" s="7">
        <f t="shared" si="128"/>
        <v>0</v>
      </c>
      <c r="AN117" s="7">
        <f t="shared" ref="AN117:AT122" si="129">IF(L117 &gt; 0, IF(AN116 &gt; 0, AN116 + 1, 0.1), 0)</f>
        <v>0</v>
      </c>
      <c r="AO117" s="7">
        <f t="shared" si="129"/>
        <v>0</v>
      </c>
      <c r="AP117" s="7">
        <f t="shared" si="129"/>
        <v>0</v>
      </c>
      <c r="AQ117" s="7">
        <f t="shared" si="129"/>
        <v>0</v>
      </c>
      <c r="AR117" s="7">
        <f t="shared" si="129"/>
        <v>0</v>
      </c>
      <c r="AS117" s="7">
        <f t="shared" si="129"/>
        <v>0</v>
      </c>
      <c r="AT117" s="7">
        <f t="shared" si="129"/>
        <v>0</v>
      </c>
      <c r="AU117" s="7">
        <f t="shared" ref="AU117:AU122" si="130">IF(S117 &gt; 0, IF(AU109&gt; 0, AU109+ 1, 0.1), 0)</f>
        <v>0</v>
      </c>
      <c r="AV117" s="7">
        <f t="shared" ref="AV117:AW122" si="131">IF(T117 &gt; 0, IF(AV116 &gt; 0, AV116 + 1, 0.1), 0)</f>
        <v>0</v>
      </c>
      <c r="AW117" s="7">
        <f t="shared" si="131"/>
        <v>0</v>
      </c>
      <c r="AX117" s="7"/>
      <c r="AY117" s="7">
        <f>SUM($B$117:B117)</f>
        <v>0</v>
      </c>
      <c r="AZ117" s="7">
        <f>SUM($B$117:C117)</f>
        <v>0</v>
      </c>
      <c r="BA117" s="7">
        <f>SUM($B$117:D117)</f>
        <v>0</v>
      </c>
      <c r="BB117" s="7">
        <f>SUM($B$117:E117)</f>
        <v>0</v>
      </c>
      <c r="BC117" s="7">
        <f>SUM($B$117:F117)</f>
        <v>0</v>
      </c>
      <c r="BD117" s="7">
        <f>SUM($B$117:G117)</f>
        <v>0</v>
      </c>
      <c r="BE117" s="7">
        <f>SUM($B$117:H117)</f>
        <v>0</v>
      </c>
      <c r="BF117" s="7">
        <f>SUM($B$117:I117)</f>
        <v>0</v>
      </c>
      <c r="BG117" s="7">
        <f>SUM($B$117:J117)</f>
        <v>0</v>
      </c>
      <c r="BH117" s="7">
        <f>SUM($B$117:K117)</f>
        <v>0</v>
      </c>
      <c r="BI117" s="7">
        <f>SUM($B$117:L117)</f>
        <v>0</v>
      </c>
      <c r="BJ117" s="7">
        <f>SUM($B$117:M117)</f>
        <v>0</v>
      </c>
      <c r="BK117" s="7">
        <f>SUM($B$117:Q117)</f>
        <v>0</v>
      </c>
      <c r="BL117" s="7">
        <f>SUM($B$117:N117)</f>
        <v>0</v>
      </c>
      <c r="BM117" s="7">
        <f>SUM($B$117:O117)</f>
        <v>0</v>
      </c>
      <c r="BN117" s="7">
        <f>SUM($B$117:P117)</f>
        <v>0</v>
      </c>
      <c r="BO117" s="7">
        <f>SUM($B$117:R117)</f>
        <v>0</v>
      </c>
      <c r="BP117" s="7">
        <f>SUM($B$117:S117)</f>
        <v>0</v>
      </c>
      <c r="BQ117" s="7">
        <f>SUM($B$117:T117)</f>
        <v>0</v>
      </c>
      <c r="BR117" s="7">
        <f>SUM($B$117:V117)</f>
        <v>0</v>
      </c>
      <c r="BS117" s="7">
        <f>SUM($BR$116:BR117)</f>
        <v>0</v>
      </c>
      <c r="BT117">
        <f t="shared" si="83"/>
        <v>0</v>
      </c>
      <c r="BU117">
        <f>SUM($BT$116:BT117)</f>
        <v>0</v>
      </c>
    </row>
    <row r="118" spans="1:73" x14ac:dyDescent="0.35">
      <c r="A118" s="116" t="s">
        <v>24</v>
      </c>
      <c r="B118" s="7"/>
      <c r="C118" s="7"/>
      <c r="D118" s="7"/>
      <c r="E118" s="7"/>
      <c r="F118" s="7"/>
      <c r="G118" s="7"/>
      <c r="H118" s="7"/>
      <c r="I118" s="7"/>
      <c r="J118" s="7"/>
      <c r="K118" s="7"/>
      <c r="L118" s="7"/>
      <c r="M118" s="7"/>
      <c r="N118" s="7"/>
      <c r="O118" s="7"/>
      <c r="P118" s="7"/>
      <c r="Q118" s="7"/>
      <c r="R118" s="7"/>
      <c r="S118" s="7"/>
      <c r="T118" s="7"/>
      <c r="U118" s="7"/>
      <c r="V118" s="7"/>
      <c r="W118" s="7">
        <f t="shared" si="123"/>
        <v>0</v>
      </c>
      <c r="X118" s="7">
        <f t="shared" si="124"/>
        <v>0</v>
      </c>
      <c r="Y118" s="7">
        <f t="shared" si="125"/>
        <v>0</v>
      </c>
      <c r="Z118" s="58"/>
      <c r="AA118" s="59"/>
      <c r="AB118" s="7">
        <f t="shared" si="127"/>
        <v>0</v>
      </c>
      <c r="AC118" s="7" t="s">
        <v>24</v>
      </c>
      <c r="AD118" s="7">
        <f t="shared" si="128"/>
        <v>0</v>
      </c>
      <c r="AE118" s="7">
        <f t="shared" si="128"/>
        <v>0</v>
      </c>
      <c r="AF118" s="7">
        <f t="shared" si="128"/>
        <v>0</v>
      </c>
      <c r="AG118" s="7">
        <f t="shared" si="128"/>
        <v>0</v>
      </c>
      <c r="AH118" s="7">
        <f t="shared" si="128"/>
        <v>0</v>
      </c>
      <c r="AI118" s="7">
        <f t="shared" si="128"/>
        <v>0</v>
      </c>
      <c r="AJ118" s="7">
        <f t="shared" si="128"/>
        <v>0</v>
      </c>
      <c r="AK118" s="7">
        <f t="shared" si="128"/>
        <v>0</v>
      </c>
      <c r="AL118" s="7">
        <f t="shared" si="128"/>
        <v>0</v>
      </c>
      <c r="AM118" s="7">
        <f t="shared" si="128"/>
        <v>0</v>
      </c>
      <c r="AN118" s="7">
        <f t="shared" si="129"/>
        <v>0</v>
      </c>
      <c r="AO118" s="7">
        <f t="shared" si="129"/>
        <v>0</v>
      </c>
      <c r="AP118" s="7">
        <f t="shared" si="129"/>
        <v>0</v>
      </c>
      <c r="AQ118" s="7">
        <f t="shared" si="129"/>
        <v>0</v>
      </c>
      <c r="AR118" s="7">
        <f t="shared" si="129"/>
        <v>0</v>
      </c>
      <c r="AS118" s="7">
        <f t="shared" si="129"/>
        <v>0</v>
      </c>
      <c r="AT118" s="7">
        <f t="shared" si="129"/>
        <v>0</v>
      </c>
      <c r="AU118" s="7">
        <f t="shared" si="130"/>
        <v>0</v>
      </c>
      <c r="AV118" s="7">
        <f t="shared" si="131"/>
        <v>0</v>
      </c>
      <c r="AW118" s="7">
        <f t="shared" si="131"/>
        <v>0</v>
      </c>
      <c r="AX118" s="7"/>
      <c r="AY118" s="7">
        <f>SUM($B$118:B118)</f>
        <v>0</v>
      </c>
      <c r="AZ118" s="7">
        <f>SUM($B$118:C118)</f>
        <v>0</v>
      </c>
      <c r="BA118" s="7">
        <f>SUM($B$118:D118)</f>
        <v>0</v>
      </c>
      <c r="BB118" s="7">
        <f>SUM($B$118:E118)</f>
        <v>0</v>
      </c>
      <c r="BC118" s="7">
        <f>SUM($B$118:F118)</f>
        <v>0</v>
      </c>
      <c r="BD118" s="7">
        <f>SUM($B$118:G118)</f>
        <v>0</v>
      </c>
      <c r="BE118" s="7">
        <f>SUM($B$118:H118)</f>
        <v>0</v>
      </c>
      <c r="BF118" s="7">
        <f>SUM($B$118:I118)</f>
        <v>0</v>
      </c>
      <c r="BG118" s="7">
        <f>SUM($B$118:J118)</f>
        <v>0</v>
      </c>
      <c r="BH118" s="7">
        <f>SUM($B$118:K118)</f>
        <v>0</v>
      </c>
      <c r="BI118" s="7">
        <f>SUM($B$118:L118)</f>
        <v>0</v>
      </c>
      <c r="BJ118" s="7">
        <f>SUM($B$118:M118)</f>
        <v>0</v>
      </c>
      <c r="BK118" s="7">
        <f>SUM($B$118:Q118)</f>
        <v>0</v>
      </c>
      <c r="BL118" s="7">
        <f>SUM($B$118:N118)</f>
        <v>0</v>
      </c>
      <c r="BM118" s="7">
        <f>SUM($B$118:O118)</f>
        <v>0</v>
      </c>
      <c r="BN118" s="7">
        <f>SUM($B$118:P118)</f>
        <v>0</v>
      </c>
      <c r="BO118" s="7">
        <f>SUM($B$118:R118)</f>
        <v>0</v>
      </c>
      <c r="BP118" s="7">
        <f>SUM($B$118:S118)</f>
        <v>0</v>
      </c>
      <c r="BQ118" s="7">
        <f>SUM($B$118:T118)</f>
        <v>0</v>
      </c>
      <c r="BR118" s="7">
        <f>SUM($B$118:V118)</f>
        <v>0</v>
      </c>
      <c r="BS118" s="7">
        <f>SUM($BR$116:BR118)</f>
        <v>0</v>
      </c>
      <c r="BT118">
        <f t="shared" si="83"/>
        <v>0</v>
      </c>
      <c r="BU118">
        <f>SUM($BT$116:BT118)</f>
        <v>0</v>
      </c>
    </row>
    <row r="119" spans="1:73" x14ac:dyDescent="0.35">
      <c r="A119" s="127" t="s">
        <v>25</v>
      </c>
      <c r="B119" s="7"/>
      <c r="C119" s="7"/>
      <c r="D119" s="7"/>
      <c r="E119" s="7"/>
      <c r="F119" s="7"/>
      <c r="G119" s="7"/>
      <c r="H119" s="7"/>
      <c r="I119" s="7"/>
      <c r="J119" s="7"/>
      <c r="K119" s="7"/>
      <c r="L119" s="7"/>
      <c r="M119" s="7"/>
      <c r="N119" s="7"/>
      <c r="O119" s="7"/>
      <c r="P119" s="7"/>
      <c r="Q119" s="7"/>
      <c r="R119" s="7"/>
      <c r="S119" s="7"/>
      <c r="T119" s="7"/>
      <c r="U119" s="7"/>
      <c r="V119" s="7"/>
      <c r="W119" s="7">
        <f t="shared" si="123"/>
        <v>0</v>
      </c>
      <c r="X119" s="7">
        <f t="shared" si="124"/>
        <v>0</v>
      </c>
      <c r="Y119" s="7">
        <f t="shared" si="125"/>
        <v>0</v>
      </c>
      <c r="Z119" s="58"/>
      <c r="AA119" s="194"/>
      <c r="AB119" s="7">
        <f t="shared" si="127"/>
        <v>0</v>
      </c>
      <c r="AC119" s="7" t="s">
        <v>25</v>
      </c>
      <c r="AD119" s="7">
        <f t="shared" si="128"/>
        <v>0</v>
      </c>
      <c r="AE119" s="7">
        <f t="shared" si="128"/>
        <v>0</v>
      </c>
      <c r="AF119" s="7">
        <f t="shared" si="128"/>
        <v>0</v>
      </c>
      <c r="AG119" s="7">
        <f t="shared" si="128"/>
        <v>0</v>
      </c>
      <c r="AH119" s="7">
        <f t="shared" si="128"/>
        <v>0</v>
      </c>
      <c r="AI119" s="7">
        <f t="shared" si="128"/>
        <v>0</v>
      </c>
      <c r="AJ119" s="7">
        <f t="shared" si="128"/>
        <v>0</v>
      </c>
      <c r="AK119" s="7">
        <f t="shared" si="128"/>
        <v>0</v>
      </c>
      <c r="AL119" s="7">
        <f t="shared" si="128"/>
        <v>0</v>
      </c>
      <c r="AM119" s="7">
        <f t="shared" si="128"/>
        <v>0</v>
      </c>
      <c r="AN119" s="7">
        <f t="shared" si="129"/>
        <v>0</v>
      </c>
      <c r="AO119" s="7">
        <f t="shared" si="129"/>
        <v>0</v>
      </c>
      <c r="AP119" s="7">
        <f t="shared" si="129"/>
        <v>0</v>
      </c>
      <c r="AQ119" s="7">
        <f t="shared" si="129"/>
        <v>0</v>
      </c>
      <c r="AR119" s="7">
        <f t="shared" si="129"/>
        <v>0</v>
      </c>
      <c r="AS119" s="7">
        <f t="shared" si="129"/>
        <v>0</v>
      </c>
      <c r="AT119" s="7">
        <f t="shared" si="129"/>
        <v>0</v>
      </c>
      <c r="AU119" s="7">
        <f t="shared" si="130"/>
        <v>0</v>
      </c>
      <c r="AV119" s="7">
        <f t="shared" si="131"/>
        <v>0</v>
      </c>
      <c r="AW119" s="7">
        <f t="shared" si="131"/>
        <v>0</v>
      </c>
      <c r="AX119" s="7"/>
      <c r="AY119" s="7">
        <f>SUM($B$119:B119)</f>
        <v>0</v>
      </c>
      <c r="AZ119" s="7">
        <f>SUM($B$119:C119)</f>
        <v>0</v>
      </c>
      <c r="BA119" s="7">
        <f>SUM($B$119:D119)</f>
        <v>0</v>
      </c>
      <c r="BB119" s="7">
        <f>SUM($B$119:E119)</f>
        <v>0</v>
      </c>
      <c r="BC119" s="7">
        <f>SUM($B$119:F119)</f>
        <v>0</v>
      </c>
      <c r="BD119" s="7">
        <f>SUM($B$119:G119)</f>
        <v>0</v>
      </c>
      <c r="BE119" s="7">
        <f>SUM($B$119:H119)</f>
        <v>0</v>
      </c>
      <c r="BF119" s="7">
        <f>SUM($B$119:I119)</f>
        <v>0</v>
      </c>
      <c r="BG119" s="7">
        <f>SUM($B$119:J119)</f>
        <v>0</v>
      </c>
      <c r="BH119" s="7">
        <f>SUM($B$119:K119)</f>
        <v>0</v>
      </c>
      <c r="BI119" s="7">
        <f>SUM($B$119:L119)</f>
        <v>0</v>
      </c>
      <c r="BJ119" s="7">
        <f>SUM($B$119:M119)</f>
        <v>0</v>
      </c>
      <c r="BK119" s="7">
        <f>SUM($B$119:Q119)</f>
        <v>0</v>
      </c>
      <c r="BL119" s="7">
        <f>SUM($B$119:N119)</f>
        <v>0</v>
      </c>
      <c r="BM119" s="7">
        <f>SUM($B$119:O119)</f>
        <v>0</v>
      </c>
      <c r="BN119" s="7">
        <f>SUM($B$119:P119)</f>
        <v>0</v>
      </c>
      <c r="BO119" s="7">
        <f>SUM($B$119:R119)</f>
        <v>0</v>
      </c>
      <c r="BP119" s="7">
        <f>SUM($B$119:S119)</f>
        <v>0</v>
      </c>
      <c r="BQ119" s="7">
        <f>SUM($B$119:T119)</f>
        <v>0</v>
      </c>
      <c r="BR119" s="7">
        <f>SUM($B$119:V119)</f>
        <v>0</v>
      </c>
      <c r="BS119" s="7">
        <f>SUM($BR$116:BR119)</f>
        <v>0</v>
      </c>
      <c r="BT119">
        <f t="shared" si="83"/>
        <v>0</v>
      </c>
      <c r="BU119">
        <f>SUM($BT$116:BT119)</f>
        <v>0</v>
      </c>
    </row>
    <row r="120" spans="1:73" x14ac:dyDescent="0.35">
      <c r="A120" s="138" t="s">
        <v>26</v>
      </c>
      <c r="B120" s="7"/>
      <c r="C120" s="7"/>
      <c r="D120" s="7"/>
      <c r="E120" s="7"/>
      <c r="F120" s="7"/>
      <c r="G120" s="7"/>
      <c r="H120" s="7"/>
      <c r="I120" s="7"/>
      <c r="J120" s="7"/>
      <c r="K120" s="7"/>
      <c r="L120" s="7"/>
      <c r="M120" s="7"/>
      <c r="N120" s="7"/>
      <c r="O120" s="7"/>
      <c r="P120" s="7"/>
      <c r="Q120" s="7"/>
      <c r="R120" s="7"/>
      <c r="S120" s="7"/>
      <c r="T120" s="7"/>
      <c r="U120" s="7"/>
      <c r="V120" s="7"/>
      <c r="W120" s="7">
        <f t="shared" si="123"/>
        <v>0</v>
      </c>
      <c r="X120" s="7">
        <f t="shared" si="124"/>
        <v>0</v>
      </c>
      <c r="Y120" s="7">
        <f t="shared" si="125"/>
        <v>0</v>
      </c>
      <c r="Z120" s="58"/>
      <c r="AA120" s="59"/>
      <c r="AB120" s="7">
        <f t="shared" si="127"/>
        <v>0</v>
      </c>
      <c r="AC120" s="7" t="s">
        <v>26</v>
      </c>
      <c r="AD120" s="7">
        <f t="shared" si="128"/>
        <v>0</v>
      </c>
      <c r="AE120" s="7">
        <f t="shared" si="128"/>
        <v>0</v>
      </c>
      <c r="AF120" s="7">
        <f t="shared" si="128"/>
        <v>0</v>
      </c>
      <c r="AG120" s="7">
        <f t="shared" si="128"/>
        <v>0</v>
      </c>
      <c r="AH120" s="7">
        <f t="shared" si="128"/>
        <v>0</v>
      </c>
      <c r="AI120" s="7">
        <f t="shared" si="128"/>
        <v>0</v>
      </c>
      <c r="AJ120" s="7">
        <f t="shared" si="128"/>
        <v>0</v>
      </c>
      <c r="AK120" s="7">
        <f t="shared" si="128"/>
        <v>0</v>
      </c>
      <c r="AL120" s="7">
        <f t="shared" si="128"/>
        <v>0</v>
      </c>
      <c r="AM120" s="7">
        <f t="shared" si="128"/>
        <v>0</v>
      </c>
      <c r="AN120" s="7">
        <f t="shared" si="129"/>
        <v>0</v>
      </c>
      <c r="AO120" s="7">
        <f t="shared" si="129"/>
        <v>0</v>
      </c>
      <c r="AP120" s="7">
        <f t="shared" si="129"/>
        <v>0</v>
      </c>
      <c r="AQ120" s="7">
        <f t="shared" si="129"/>
        <v>0</v>
      </c>
      <c r="AR120" s="7">
        <f t="shared" si="129"/>
        <v>0</v>
      </c>
      <c r="AS120" s="7">
        <f t="shared" si="129"/>
        <v>0</v>
      </c>
      <c r="AT120" s="7">
        <f t="shared" si="129"/>
        <v>0</v>
      </c>
      <c r="AU120" s="7">
        <f t="shared" si="130"/>
        <v>0</v>
      </c>
      <c r="AV120" s="7">
        <f t="shared" si="131"/>
        <v>0</v>
      </c>
      <c r="AW120" s="7">
        <f t="shared" si="131"/>
        <v>0</v>
      </c>
      <c r="AX120" s="7"/>
      <c r="AY120" s="7">
        <f>SUM($B$120:B120)</f>
        <v>0</v>
      </c>
      <c r="AZ120" s="7">
        <f>SUM($B$120:C120)</f>
        <v>0</v>
      </c>
      <c r="BA120" s="7">
        <f>SUM($B$120:D120)</f>
        <v>0</v>
      </c>
      <c r="BB120" s="7">
        <f>SUM($B$120:E120)</f>
        <v>0</v>
      </c>
      <c r="BC120" s="7">
        <f>SUM($B$120:F120)</f>
        <v>0</v>
      </c>
      <c r="BD120" s="7">
        <f>SUM($B$120:G120)</f>
        <v>0</v>
      </c>
      <c r="BE120" s="7">
        <f>SUM($B$120:H120)</f>
        <v>0</v>
      </c>
      <c r="BF120" s="7">
        <f>SUM($B$120:I120)</f>
        <v>0</v>
      </c>
      <c r="BG120" s="7">
        <f>SUM($B$120:J120)</f>
        <v>0</v>
      </c>
      <c r="BH120" s="7">
        <f>SUM($B$120:K120)</f>
        <v>0</v>
      </c>
      <c r="BI120" s="7">
        <f>SUM($B$120:L120)</f>
        <v>0</v>
      </c>
      <c r="BJ120" s="7">
        <f>SUM($B$120:M120)</f>
        <v>0</v>
      </c>
      <c r="BK120" s="7">
        <f>SUM($B$120:Q120)</f>
        <v>0</v>
      </c>
      <c r="BL120" s="7">
        <f>SUM($B$120:N120)</f>
        <v>0</v>
      </c>
      <c r="BM120" s="7">
        <f>SUM($B$120:O120)</f>
        <v>0</v>
      </c>
      <c r="BN120" s="7">
        <f>SUM($B$120:P120)</f>
        <v>0</v>
      </c>
      <c r="BO120" s="7">
        <f>SUM($B$120:R120)</f>
        <v>0</v>
      </c>
      <c r="BP120" s="7">
        <f>SUM($B$120:S120)</f>
        <v>0</v>
      </c>
      <c r="BQ120" s="7">
        <f>SUM($B$120:T120)</f>
        <v>0</v>
      </c>
      <c r="BR120" s="7">
        <f>SUM($B$120:V120)</f>
        <v>0</v>
      </c>
      <c r="BS120" s="7">
        <f>SUM($BR$116:BR120)</f>
        <v>0</v>
      </c>
      <c r="BT120">
        <f t="shared" si="83"/>
        <v>0</v>
      </c>
      <c r="BU120">
        <f>SUM($BT$116:BT120)</f>
        <v>0</v>
      </c>
    </row>
    <row r="121" spans="1:73" x14ac:dyDescent="0.35">
      <c r="A121" s="149" t="s">
        <v>27</v>
      </c>
      <c r="B121" s="7"/>
      <c r="C121" s="7"/>
      <c r="D121" s="7"/>
      <c r="E121" s="7"/>
      <c r="F121" s="7"/>
      <c r="G121" s="7"/>
      <c r="H121" s="7"/>
      <c r="I121" s="7"/>
      <c r="J121" s="7"/>
      <c r="K121" s="7"/>
      <c r="L121" s="7"/>
      <c r="M121" s="7"/>
      <c r="N121" s="7"/>
      <c r="O121" s="7"/>
      <c r="P121" s="7"/>
      <c r="Q121" s="7"/>
      <c r="R121" s="7"/>
      <c r="S121" s="7"/>
      <c r="T121" s="7"/>
      <c r="U121" s="7"/>
      <c r="V121" s="7"/>
      <c r="W121" s="7">
        <f t="shared" si="123"/>
        <v>0</v>
      </c>
      <c r="X121" s="7">
        <f t="shared" si="124"/>
        <v>0</v>
      </c>
      <c r="Y121" s="7">
        <f t="shared" si="125"/>
        <v>0</v>
      </c>
      <c r="Z121" s="58"/>
      <c r="AA121" s="59"/>
      <c r="AB121" s="7">
        <f t="shared" si="127"/>
        <v>0</v>
      </c>
      <c r="AC121" s="7" t="s">
        <v>27</v>
      </c>
      <c r="AD121" s="7">
        <f t="shared" si="128"/>
        <v>0</v>
      </c>
      <c r="AE121" s="7">
        <f t="shared" si="128"/>
        <v>0</v>
      </c>
      <c r="AF121" s="7">
        <f t="shared" si="128"/>
        <v>0</v>
      </c>
      <c r="AG121" s="7">
        <f t="shared" si="128"/>
        <v>0</v>
      </c>
      <c r="AH121" s="7">
        <f t="shared" si="128"/>
        <v>0</v>
      </c>
      <c r="AI121" s="7">
        <f t="shared" si="128"/>
        <v>0</v>
      </c>
      <c r="AJ121" s="7">
        <f t="shared" si="128"/>
        <v>0</v>
      </c>
      <c r="AK121" s="7">
        <f t="shared" si="128"/>
        <v>0</v>
      </c>
      <c r="AL121" s="7">
        <f t="shared" si="128"/>
        <v>0</v>
      </c>
      <c r="AM121" s="7">
        <f t="shared" si="128"/>
        <v>0</v>
      </c>
      <c r="AN121" s="7">
        <f t="shared" si="129"/>
        <v>0</v>
      </c>
      <c r="AO121" s="7">
        <f t="shared" si="129"/>
        <v>0</v>
      </c>
      <c r="AP121" s="7">
        <f t="shared" si="129"/>
        <v>0</v>
      </c>
      <c r="AQ121" s="7">
        <f t="shared" si="129"/>
        <v>0</v>
      </c>
      <c r="AR121" s="7">
        <f t="shared" si="129"/>
        <v>0</v>
      </c>
      <c r="AS121" s="7">
        <f t="shared" si="129"/>
        <v>0</v>
      </c>
      <c r="AT121" s="7">
        <f t="shared" si="129"/>
        <v>0</v>
      </c>
      <c r="AU121" s="7">
        <f t="shared" si="130"/>
        <v>0</v>
      </c>
      <c r="AV121" s="7">
        <f t="shared" si="131"/>
        <v>0</v>
      </c>
      <c r="AW121" s="7">
        <f t="shared" si="131"/>
        <v>0</v>
      </c>
      <c r="AX121" s="7"/>
      <c r="AY121" s="7">
        <f>SUM($B$121:B121)</f>
        <v>0</v>
      </c>
      <c r="AZ121" s="7">
        <f>SUM($B$121:C121)</f>
        <v>0</v>
      </c>
      <c r="BA121" s="7">
        <f>SUM($B$121:D121)</f>
        <v>0</v>
      </c>
      <c r="BB121" s="7">
        <f>SUM($B$121:E121)</f>
        <v>0</v>
      </c>
      <c r="BC121" s="7">
        <f>SUM($B$121:F121)</f>
        <v>0</v>
      </c>
      <c r="BD121" s="7">
        <f>SUM($B$121:G121)</f>
        <v>0</v>
      </c>
      <c r="BE121" s="7">
        <f>SUM($B$121:H121)</f>
        <v>0</v>
      </c>
      <c r="BF121" s="7">
        <f>SUM($B$121:I121)</f>
        <v>0</v>
      </c>
      <c r="BG121" s="7">
        <f>SUM($B$121:J121)</f>
        <v>0</v>
      </c>
      <c r="BH121" s="7">
        <f>SUM($B$121:K121)</f>
        <v>0</v>
      </c>
      <c r="BI121" s="7">
        <f>SUM($B$121:L121)</f>
        <v>0</v>
      </c>
      <c r="BJ121" s="7">
        <f>SUM($B$121:M121)</f>
        <v>0</v>
      </c>
      <c r="BK121" s="7">
        <f>SUM($B$121:Q121)</f>
        <v>0</v>
      </c>
      <c r="BL121" s="7">
        <f>SUM($B$121:N121)</f>
        <v>0</v>
      </c>
      <c r="BM121" s="7">
        <f>SUM($B$121:O121)</f>
        <v>0</v>
      </c>
      <c r="BN121" s="7">
        <f>SUM($B$121:P121)</f>
        <v>0</v>
      </c>
      <c r="BO121" s="7">
        <f>SUM($B$121:R121)</f>
        <v>0</v>
      </c>
      <c r="BP121" s="7">
        <f>SUM($B$121:S121)</f>
        <v>0</v>
      </c>
      <c r="BQ121" s="7">
        <f>SUM($B$121:T121)</f>
        <v>0</v>
      </c>
      <c r="BR121" s="7">
        <f>SUM($B$121:V121)</f>
        <v>0</v>
      </c>
      <c r="BS121" s="7">
        <f>SUM($BR$116:BR121)</f>
        <v>0</v>
      </c>
      <c r="BT121">
        <f t="shared" si="83"/>
        <v>0</v>
      </c>
      <c r="BU121">
        <f>SUM($BT$116:BT121)</f>
        <v>0</v>
      </c>
    </row>
    <row r="122" spans="1:73" x14ac:dyDescent="0.35">
      <c r="A122" s="159" t="s">
        <v>28</v>
      </c>
      <c r="B122" s="7"/>
      <c r="C122" s="7"/>
      <c r="D122" s="7"/>
      <c r="E122" s="7"/>
      <c r="F122" s="7"/>
      <c r="G122" s="7"/>
      <c r="H122" s="7"/>
      <c r="I122" s="7"/>
      <c r="J122" s="7"/>
      <c r="K122" s="7"/>
      <c r="L122" s="7"/>
      <c r="M122" s="7"/>
      <c r="N122" s="7"/>
      <c r="O122" s="7"/>
      <c r="P122" s="7"/>
      <c r="Q122" s="7"/>
      <c r="R122" s="7"/>
      <c r="S122" s="7"/>
      <c r="T122" s="7"/>
      <c r="U122" s="7"/>
      <c r="V122" s="7"/>
      <c r="W122" s="7">
        <f t="shared" si="123"/>
        <v>0</v>
      </c>
      <c r="X122" s="7">
        <f t="shared" si="124"/>
        <v>0</v>
      </c>
      <c r="Y122" s="7">
        <f t="shared" si="125"/>
        <v>0</v>
      </c>
      <c r="Z122" s="58"/>
      <c r="AA122" s="59"/>
      <c r="AB122" s="7">
        <f t="shared" si="127"/>
        <v>0</v>
      </c>
      <c r="AC122" s="7" t="s">
        <v>28</v>
      </c>
      <c r="AD122" s="7">
        <f t="shared" si="128"/>
        <v>0</v>
      </c>
      <c r="AE122" s="7">
        <f t="shared" si="128"/>
        <v>0</v>
      </c>
      <c r="AF122" s="7">
        <f t="shared" si="128"/>
        <v>0</v>
      </c>
      <c r="AG122" s="7">
        <f t="shared" si="128"/>
        <v>0</v>
      </c>
      <c r="AH122" s="7">
        <f t="shared" si="128"/>
        <v>0</v>
      </c>
      <c r="AI122" s="7">
        <f t="shared" si="128"/>
        <v>0</v>
      </c>
      <c r="AJ122" s="7">
        <f t="shared" si="128"/>
        <v>0</v>
      </c>
      <c r="AK122" s="7">
        <f t="shared" si="128"/>
        <v>0</v>
      </c>
      <c r="AL122" s="7">
        <f t="shared" si="128"/>
        <v>0</v>
      </c>
      <c r="AM122" s="7">
        <f t="shared" si="128"/>
        <v>0</v>
      </c>
      <c r="AN122" s="7">
        <f t="shared" si="129"/>
        <v>0</v>
      </c>
      <c r="AO122" s="7">
        <f t="shared" si="129"/>
        <v>0</v>
      </c>
      <c r="AP122" s="7">
        <f t="shared" si="129"/>
        <v>0</v>
      </c>
      <c r="AQ122" s="7">
        <f t="shared" si="129"/>
        <v>0</v>
      </c>
      <c r="AR122" s="7">
        <f t="shared" si="129"/>
        <v>0</v>
      </c>
      <c r="AS122" s="7">
        <f t="shared" si="129"/>
        <v>0</v>
      </c>
      <c r="AT122" s="7">
        <f t="shared" si="129"/>
        <v>0</v>
      </c>
      <c r="AU122" s="7">
        <f t="shared" si="130"/>
        <v>0</v>
      </c>
      <c r="AV122" s="7">
        <f t="shared" si="131"/>
        <v>0</v>
      </c>
      <c r="AW122" s="7">
        <f t="shared" si="131"/>
        <v>0</v>
      </c>
      <c r="AX122" s="7"/>
      <c r="AY122" s="7">
        <f>SUM($B$122:B122)</f>
        <v>0</v>
      </c>
      <c r="AZ122" s="7">
        <f>SUM($B$122:C122)</f>
        <v>0</v>
      </c>
      <c r="BA122" s="7">
        <f>SUM($B$122:D122)</f>
        <v>0</v>
      </c>
      <c r="BB122" s="7">
        <f>SUM($B$122:E122)</f>
        <v>0</v>
      </c>
      <c r="BC122" s="7">
        <f>SUM($B$122:F122)</f>
        <v>0</v>
      </c>
      <c r="BD122" s="7">
        <f>SUM($B$122:G122)</f>
        <v>0</v>
      </c>
      <c r="BE122" s="7">
        <f>SUM($B$122:H122)</f>
        <v>0</v>
      </c>
      <c r="BF122" s="7">
        <f>SUM($B$122:I122)</f>
        <v>0</v>
      </c>
      <c r="BG122" s="7">
        <f>SUM($B$122:J122)</f>
        <v>0</v>
      </c>
      <c r="BH122" s="7">
        <f>SUM($B$122:K122)</f>
        <v>0</v>
      </c>
      <c r="BI122" s="7">
        <f>SUM($B$122:L122)</f>
        <v>0</v>
      </c>
      <c r="BJ122" s="7">
        <f>SUM($B$122:M122)</f>
        <v>0</v>
      </c>
      <c r="BK122" s="7">
        <f>SUM($B$122:Q122)</f>
        <v>0</v>
      </c>
      <c r="BL122" s="7">
        <f>SUM($B$122:N122)</f>
        <v>0</v>
      </c>
      <c r="BM122" s="7">
        <f>SUM($B$122:O122)</f>
        <v>0</v>
      </c>
      <c r="BN122" s="7">
        <f>SUM($B$122:P122)</f>
        <v>0</v>
      </c>
      <c r="BO122" s="7">
        <f>SUM($B$122:R122)</f>
        <v>0</v>
      </c>
      <c r="BP122" s="7">
        <f>SUM($B$122:S122)</f>
        <v>0</v>
      </c>
      <c r="BQ122" s="7">
        <f>SUM($B$122:T122)</f>
        <v>0</v>
      </c>
      <c r="BR122" s="7">
        <f>SUM($B$122:V122)</f>
        <v>0</v>
      </c>
      <c r="BS122" s="7">
        <f>SUM($BR$116:BR122)</f>
        <v>0</v>
      </c>
      <c r="BT122">
        <f t="shared" si="83"/>
        <v>0</v>
      </c>
      <c r="BU122">
        <f>SUM($BT$116:BT122)</f>
        <v>0</v>
      </c>
    </row>
    <row r="123" spans="1:73" x14ac:dyDescent="0.35">
      <c r="A123" s="60" t="s">
        <v>29</v>
      </c>
      <c r="B123" s="7">
        <f t="shared" ref="B123:T123" si="132">SUM(B116:B122)</f>
        <v>0</v>
      </c>
      <c r="C123" s="7">
        <f t="shared" si="132"/>
        <v>0</v>
      </c>
      <c r="D123" s="7">
        <f t="shared" si="132"/>
        <v>0</v>
      </c>
      <c r="E123" s="7">
        <f t="shared" si="132"/>
        <v>0</v>
      </c>
      <c r="F123" s="7">
        <f t="shared" si="132"/>
        <v>0</v>
      </c>
      <c r="G123" s="7">
        <f t="shared" si="132"/>
        <v>0</v>
      </c>
      <c r="H123" s="7">
        <f t="shared" si="132"/>
        <v>0</v>
      </c>
      <c r="I123" s="7">
        <f t="shared" si="132"/>
        <v>0</v>
      </c>
      <c r="J123" s="7">
        <f t="shared" si="132"/>
        <v>0</v>
      </c>
      <c r="K123" s="7">
        <f>SUM(K116:K122)</f>
        <v>0</v>
      </c>
      <c r="L123" s="7">
        <f t="shared" si="132"/>
        <v>0</v>
      </c>
      <c r="M123" s="7">
        <f t="shared" si="132"/>
        <v>0</v>
      </c>
      <c r="N123" s="7">
        <f t="shared" si="132"/>
        <v>0</v>
      </c>
      <c r="O123" s="7">
        <f t="shared" si="132"/>
        <v>0</v>
      </c>
      <c r="P123" s="7">
        <f t="shared" si="132"/>
        <v>0</v>
      </c>
      <c r="Q123" s="7">
        <f>SUM(Q116:Q122)</f>
        <v>0</v>
      </c>
      <c r="R123" s="7">
        <f t="shared" si="132"/>
        <v>0</v>
      </c>
      <c r="S123" s="7">
        <f t="shared" si="132"/>
        <v>0</v>
      </c>
      <c r="T123" s="7">
        <f t="shared" si="132"/>
        <v>0</v>
      </c>
      <c r="U123" s="7">
        <f t="shared" ref="U123" si="133">SUM(U116:U122)</f>
        <v>0</v>
      </c>
      <c r="V123" s="7">
        <f>SUM(V116:V122)</f>
        <v>0</v>
      </c>
      <c r="W123" s="31">
        <f>SUM(W116:W122)</f>
        <v>0</v>
      </c>
      <c r="X123" s="7"/>
      <c r="Y123" s="7"/>
      <c r="Z123" s="58" t="s">
        <v>173</v>
      </c>
      <c r="AA123" s="59"/>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row>
    <row r="124" spans="1:73" x14ac:dyDescent="0.35">
      <c r="A124" s="60" t="s">
        <v>33</v>
      </c>
      <c r="B124" s="7">
        <f t="shared" ref="B124:U124" si="134">B123-B109</f>
        <v>0</v>
      </c>
      <c r="C124" s="7">
        <f t="shared" si="134"/>
        <v>0</v>
      </c>
      <c r="D124" s="7">
        <f t="shared" si="134"/>
        <v>0</v>
      </c>
      <c r="E124" s="7">
        <f t="shared" si="134"/>
        <v>0</v>
      </c>
      <c r="F124" s="7">
        <f t="shared" si="134"/>
        <v>0</v>
      </c>
      <c r="G124" s="7">
        <f t="shared" si="134"/>
        <v>0</v>
      </c>
      <c r="H124" s="7">
        <f t="shared" si="134"/>
        <v>0</v>
      </c>
      <c r="I124" s="7">
        <f t="shared" si="134"/>
        <v>0</v>
      </c>
      <c r="J124" s="7">
        <f t="shared" si="134"/>
        <v>0</v>
      </c>
      <c r="K124" s="7">
        <f t="shared" si="134"/>
        <v>0</v>
      </c>
      <c r="L124" s="7">
        <f t="shared" si="134"/>
        <v>0</v>
      </c>
      <c r="M124" s="7">
        <f t="shared" si="134"/>
        <v>0</v>
      </c>
      <c r="N124" s="7">
        <f t="shared" si="134"/>
        <v>0</v>
      </c>
      <c r="O124" s="7">
        <f t="shared" si="134"/>
        <v>0</v>
      </c>
      <c r="P124" s="7">
        <f t="shared" si="134"/>
        <v>0</v>
      </c>
      <c r="Q124" s="7">
        <f t="shared" si="134"/>
        <v>0</v>
      </c>
      <c r="R124" s="7">
        <f t="shared" si="134"/>
        <v>0</v>
      </c>
      <c r="S124" s="7">
        <f t="shared" si="134"/>
        <v>0</v>
      </c>
      <c r="T124" s="7">
        <f t="shared" si="134"/>
        <v>0</v>
      </c>
      <c r="U124" s="7">
        <f t="shared" si="134"/>
        <v>0</v>
      </c>
      <c r="V124" s="7">
        <f>V123-V109</f>
        <v>0</v>
      </c>
      <c r="W124" s="7">
        <f>W123-W113</f>
        <v>0</v>
      </c>
      <c r="X124" s="7"/>
      <c r="Y124" s="7"/>
      <c r="Z124" s="58"/>
      <c r="AA124" s="59"/>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row>
    <row r="125" spans="1:73" x14ac:dyDescent="0.35">
      <c r="A125" s="60" t="s">
        <v>110</v>
      </c>
      <c r="B125" s="7" cm="1">
        <f t="array" ref="B125">IF(COUNTIF(AD115:AD121,0)=0,
    LOOKUP(2,1/(AD115:AD121&lt;&gt;""),AD115:AD121),
    MATCH(0,INDEX(AD115:AD121,MAX(ROW(AD115:AD121))-ROW(AD115:AD121)+1),0)-1
)</f>
        <v>0</v>
      </c>
      <c r="C125" s="7" cm="1">
        <f t="array" ref="C125">IF(COUNTIF(AE115:AE121,0)=0,
    LOOKUP(2,1/(AE115:AE121&lt;&gt;""),AE115:AE121),
    MATCH(0,INDEX(AE115:AE121,MAX(ROW(AE115:AE121))-ROW(AE115:AE121)+1),0)-1
)</f>
        <v>0</v>
      </c>
      <c r="D125" s="7" cm="1">
        <f t="array" ref="D125">IF(COUNTIF(AF115:AF121,0)=0,
    LOOKUP(2,1/(AF115:AF121&lt;&gt;""),AF115:AF121),
    MATCH(0,INDEX(AF115:AF121,MAX(ROW(AF115:AF121))-ROW(AF115:AF121)+1),0)-1
)</f>
        <v>0</v>
      </c>
      <c r="E125" s="7" cm="1">
        <f t="array" ref="E125">IF(COUNTIF(AG115:AG121,0)=0,
    LOOKUP(2,1/(AG115:AG121&lt;&gt;""),AG115:AG121),
    MATCH(0,INDEX(AG115:AG121,MAX(ROW(AG115:AG121))-ROW(AG115:AG121)+1),0)-1
)</f>
        <v>0</v>
      </c>
      <c r="F125" s="7" cm="1">
        <f t="array" ref="F125">IF(COUNTIF(AH115:AH121,0)=0,
    LOOKUP(2,1/(AH115:AH121&lt;&gt;""),AH115:AH121),
    MATCH(0,INDEX(AH115:AH121,MAX(ROW(AH115:AH121))-ROW(AH115:AH121)+1),0)-1
)</f>
        <v>0</v>
      </c>
      <c r="G125" s="7" cm="1">
        <f t="array" ref="G125">IF(COUNTIF(AI115:AI121,0)=0,
    LOOKUP(2,1/(AI115:AI121&lt;&gt;""),AI115:AI121),
    MATCH(0,INDEX(AI115:AI121,MAX(ROW(AI115:AI121))-ROW(AI115:AI121)+1),0)-1
)</f>
        <v>0</v>
      </c>
      <c r="H125" s="7" cm="1">
        <f t="array" ref="H125">IF(COUNTIF(AJ115:AJ121,0)=0,
    LOOKUP(2,1/(AJ115:AJ121&lt;&gt;""),AJ115:AJ121),
    MATCH(0,INDEX(AJ115:AJ121,MAX(ROW(AJ115:AJ121))-ROW(AJ115:AJ121)+1),0)-1
)</f>
        <v>0</v>
      </c>
      <c r="I125" s="7" cm="1">
        <f t="array" ref="I125">IF(COUNTIF(AK115:AK121,0)=0,
    LOOKUP(2,1/(AK115:AK121&lt;&gt;""),AK115:AK121),
    MATCH(0,INDEX(AK115:AK121,MAX(ROW(AK115:AK121))-ROW(AK115:AK121)+1),0)-1
)</f>
        <v>0</v>
      </c>
      <c r="J125" s="7" cm="1">
        <f t="array" ref="J125">IF(COUNTIF(AL115:AL121,0)=0,
    LOOKUP(2,1/(AL115:AL121&lt;&gt;""),AL115:AL121),
    MATCH(0,INDEX(AL115:AL121,MAX(ROW(AL115:AL121))-ROW(AL115:AL121)+1),0)-1
)</f>
        <v>0</v>
      </c>
      <c r="K125" s="7" cm="1">
        <f t="array" ref="K125">IF(COUNTIF(AM115:AM121,0)=0,
    LOOKUP(2,1/(AM115:AM121&lt;&gt;""),AM115:AM121),
    MATCH(0,INDEX(AM115:AM121,MAX(ROW(AM115:AM121))-ROW(AM115:AM121)+1),0)-1
)</f>
        <v>0</v>
      </c>
      <c r="L125" s="7" cm="1">
        <f t="array" ref="L125">IF(COUNTIF(AN115:AN121,0)=0,
    LOOKUP(2,1/(AN115:AN121&lt;&gt;""),AN115:AN121),
    MATCH(0,INDEX(AN115:AN121,MAX(ROW(AN115:AN121))-ROW(AN115:AN121)+1),0)-1
)</f>
        <v>0</v>
      </c>
      <c r="M125" s="7" cm="1">
        <f t="array" ref="M125">IF(COUNTIF(AO115:AO121,0)=0,
    LOOKUP(2,1/(AO115:AO121&lt;&gt;""),AO115:AO121),
    MATCH(0,INDEX(AO115:AO121,MAX(ROW(AO115:AO121))-ROW(AO115:AO121)+1),0)-1
)</f>
        <v>0</v>
      </c>
      <c r="N125" s="7" cm="1">
        <f t="array" ref="N125">IF(COUNTIF(AP115:AP121,0)=0,
    LOOKUP(2,1/(AP115:AP121&lt;&gt;""),AP115:AP121),
    MATCH(0,INDEX(AP115:AP121,MAX(ROW(AP115:AP121))-ROW(AP115:AP121)+1),0)-1
)</f>
        <v>0</v>
      </c>
      <c r="O125" s="7" cm="1">
        <f t="array" ref="O125">IF(COUNTIF(AQ115:AQ121,0)=0,
    LOOKUP(2,1/(AQ115:AQ121&lt;&gt;""),AQ115:AQ121),
    MATCH(0,INDEX(AQ115:AQ121,MAX(ROW(AQ115:AQ121))-ROW(AQ115:AQ121)+1),0)-1
)</f>
        <v>0</v>
      </c>
      <c r="P125" s="7" cm="1">
        <f t="array" ref="P125">IF(COUNTIF(AR115:AR121,0)=0,
    LOOKUP(2,1/(AR115:AR121&lt;&gt;""),AR115:AR121),
    MATCH(0,INDEX(AR115:AR121,MAX(ROW(AR115:AR121))-ROW(AR115:AR121)+1),0)-1
)</f>
        <v>0</v>
      </c>
      <c r="Q125" s="7" cm="1">
        <f t="array" ref="Q125">IF(COUNTIF(AS115:AS121,0)=0,
    LOOKUP(2,1/(AS115:AS121&lt;&gt;""),AS115:AS121),
    MATCH(0,INDEX(AS115:AS121,MAX(ROW(AS115:AS121))-ROW(AS115:AS121)+1),0)-1
)</f>
        <v>0</v>
      </c>
      <c r="R125" s="7" cm="1">
        <f t="array" ref="R125">IF(COUNTIF(AT115:AT121,0)=0,
    LOOKUP(2,1/(AT115:AT121&lt;&gt;""),AT115:AT121),
    MATCH(0,INDEX(AT115:AT121,MAX(ROW(AT115:AT121))-ROW(AT115:AT121)+1),0)-1
)</f>
        <v>0</v>
      </c>
      <c r="S125" s="7" cm="1">
        <f t="array" ref="S125">IF(COUNTIF(AU115:AU121,0)=0,
    LOOKUP(2,1/(AU115:AU121&lt;&gt;""),AU115:AU121),
    MATCH(0,INDEX(AU115:AU121,MAX(ROW(AU115:AU121))-ROW(AU115:AU121)+1),0)-1
)</f>
        <v>0</v>
      </c>
      <c r="T125" s="7" cm="1">
        <f t="array" ref="T125">IF(COUNTIF(AV115:AV121,0)=0,
    LOOKUP(2,1/(AV115:AV121&lt;&gt;""),AV115:AV121),
    MATCH(0,INDEX(AV115:AV121,MAX(ROW(AV115:AV121))-ROW(AV115:AV121)+1),0)-1
)</f>
        <v>0</v>
      </c>
      <c r="U125" s="7" cm="1">
        <f t="array" ref="U125">IF(COUNTIF(AW115:AW121,0)=0,
    LOOKUP(2,1/(AW115:AW121&lt;&gt;""),AW115:AW121),
    MATCH(0,INDEX(AW115:AW121,MAX(ROW(AW115:AW121))-ROW(AW115:AW121)+1),0)-1
)</f>
        <v>0</v>
      </c>
      <c r="V125" s="7" cm="1">
        <f t="array" ref="V125">IF(COUNTIF(AY115:AY121,0)=0,
    LOOKUP(2,1/(AY115:AY121&lt;&gt;""),AY115:AY121),
    MATCH(0,INDEX(AY115:AY121,MAX(ROW(AY115:AY121))-ROW(AY115:AY121)+1),0)-1
)</f>
        <v>0</v>
      </c>
      <c r="W125" s="7"/>
      <c r="X125" s="7"/>
      <c r="Y125" s="7"/>
      <c r="Z125" s="58"/>
      <c r="AA125" s="59"/>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row>
    <row r="126" spans="1:73" x14ac:dyDescent="0.35">
      <c r="A126" s="60" t="s">
        <v>99</v>
      </c>
      <c r="B126" s="7">
        <f t="shared" ref="B126:U126" si="135">B123+B112</f>
        <v>2</v>
      </c>
      <c r="C126" s="7">
        <f t="shared" si="135"/>
        <v>0</v>
      </c>
      <c r="D126" s="7">
        <f t="shared" si="135"/>
        <v>5</v>
      </c>
      <c r="E126" s="7">
        <f t="shared" si="135"/>
        <v>9</v>
      </c>
      <c r="F126" s="7">
        <f t="shared" si="135"/>
        <v>4</v>
      </c>
      <c r="G126" s="7">
        <f t="shared" si="135"/>
        <v>0</v>
      </c>
      <c r="H126" s="7">
        <f t="shared" si="135"/>
        <v>0</v>
      </c>
      <c r="I126" s="7">
        <f t="shared" si="135"/>
        <v>3</v>
      </c>
      <c r="J126" s="7">
        <f t="shared" si="135"/>
        <v>0</v>
      </c>
      <c r="K126" s="7">
        <f t="shared" si="135"/>
        <v>0.75</v>
      </c>
      <c r="L126" s="7">
        <f t="shared" si="135"/>
        <v>2</v>
      </c>
      <c r="M126" s="7">
        <f t="shared" si="135"/>
        <v>1</v>
      </c>
      <c r="N126" s="7">
        <f t="shared" si="135"/>
        <v>2.5</v>
      </c>
      <c r="O126" s="7">
        <f t="shared" si="135"/>
        <v>2</v>
      </c>
      <c r="P126" s="7">
        <f t="shared" si="135"/>
        <v>0</v>
      </c>
      <c r="Q126" s="7">
        <f t="shared" si="135"/>
        <v>0</v>
      </c>
      <c r="R126" s="7">
        <f t="shared" si="135"/>
        <v>1</v>
      </c>
      <c r="S126" s="7">
        <f t="shared" si="135"/>
        <v>3</v>
      </c>
      <c r="T126" s="7">
        <f t="shared" si="135"/>
        <v>0</v>
      </c>
      <c r="U126" s="7">
        <f t="shared" si="135"/>
        <v>-1</v>
      </c>
      <c r="V126" s="7">
        <f>V123+V112</f>
        <v>2</v>
      </c>
      <c r="W126" s="7">
        <f>W123+W112</f>
        <v>36.25</v>
      </c>
      <c r="X126" s="7"/>
      <c r="Y126" s="7">
        <f>SUM(Y116:Y122)</f>
        <v>0</v>
      </c>
      <c r="Z126" s="58"/>
      <c r="AA126" s="59"/>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row>
    <row r="127" spans="1:73" x14ac:dyDescent="0.35">
      <c r="A127" s="60" t="s">
        <v>112</v>
      </c>
      <c r="B127" s="174">
        <f>(COUNTIF(B4:B10, "&gt;0")+COUNTIF(B18:B24, "&gt;0")+COUNTIF(B32:B38, "&gt;0")+COUNTIF(B46:B52, "&gt;0")+COUNTIF(B60:B66, "&gt;0")+COUNTIF(B74:B80, "&gt;0")+COUNTIF(B88:B94, "&gt;0")+COUNTIF(B102:B108, "&gt;0") + COUNTIF(B116:B122, "&gt;0")) / 63</f>
        <v>1.5873015873015872E-2</v>
      </c>
      <c r="C127" s="174">
        <f t="shared" ref="C127:O127" si="136">(COUNTIF(C4:C10, "&gt;0")+COUNTIF(C18:C24, "&gt;0")+COUNTIF(C32:C38, "&gt;0")+COUNTIF(C46:C52, "&gt;0")+COUNTIF(C60:C66, "&gt;0")+COUNTIF(C74:C80, "&gt;0")+COUNTIF(C88:C94, "&gt;0")+COUNTIF(C102:C108, "&gt;0") + COUNTIF(C116:C122, "&gt;0")) / 63</f>
        <v>0</v>
      </c>
      <c r="D127" s="174">
        <f t="shared" si="136"/>
        <v>1.5873015873015872E-2</v>
      </c>
      <c r="E127" s="174">
        <f t="shared" si="136"/>
        <v>1.5873015873015872E-2</v>
      </c>
      <c r="F127" s="174">
        <f t="shared" si="136"/>
        <v>1.5873015873015872E-2</v>
      </c>
      <c r="G127" s="174">
        <f t="shared" si="136"/>
        <v>0</v>
      </c>
      <c r="H127" s="174">
        <f t="shared" si="136"/>
        <v>0</v>
      </c>
      <c r="I127" s="174">
        <f t="shared" si="136"/>
        <v>1.5873015873015872E-2</v>
      </c>
      <c r="J127" s="174">
        <f t="shared" si="136"/>
        <v>0</v>
      </c>
      <c r="K127" s="174">
        <f t="shared" si="136"/>
        <v>1.5873015873015872E-2</v>
      </c>
      <c r="L127" s="174">
        <f t="shared" si="136"/>
        <v>1.5873015873015872E-2</v>
      </c>
      <c r="M127" s="174">
        <f t="shared" si="136"/>
        <v>1.5873015873015872E-2</v>
      </c>
      <c r="N127" s="174">
        <f t="shared" si="136"/>
        <v>1.5873015873015872E-2</v>
      </c>
      <c r="O127" s="174">
        <f t="shared" si="136"/>
        <v>1.5873015873015872E-2</v>
      </c>
      <c r="P127" s="7"/>
      <c r="Q127" s="7"/>
      <c r="R127" s="7"/>
      <c r="S127" s="7"/>
      <c r="T127" s="7"/>
      <c r="U127" s="60" t="s">
        <v>31</v>
      </c>
      <c r="V127" s="7">
        <f>SUMIF(B123:V123,"&lt;0",B123:V123)</f>
        <v>0</v>
      </c>
      <c r="W127" s="7">
        <f>SUMIF(B123:V123,"&gt;0",B123:V123)</f>
        <v>0</v>
      </c>
      <c r="Y127" s="7"/>
      <c r="Z127" s="58"/>
      <c r="AA127" s="59"/>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row>
    <row r="128" spans="1:73"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11"/>
      <c r="AA128" s="11"/>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t="s">
        <v>129</v>
      </c>
      <c r="AZ128" s="7"/>
      <c r="BA128" s="7"/>
      <c r="BB128" s="7"/>
      <c r="BC128" s="7"/>
      <c r="BD128" s="7"/>
      <c r="BE128" s="7"/>
      <c r="BF128" s="7"/>
      <c r="BG128" s="7"/>
      <c r="BH128" s="7"/>
      <c r="BI128" s="7"/>
      <c r="BJ128" s="7"/>
      <c r="BK128" s="7"/>
      <c r="BL128" s="7"/>
      <c r="BM128" s="7"/>
      <c r="BN128" s="7"/>
      <c r="BO128" s="7"/>
      <c r="BP128" s="7"/>
      <c r="BQ128" s="7"/>
      <c r="BR128" s="7"/>
      <c r="BS128" s="7"/>
    </row>
    <row r="129" spans="1:73" ht="29" x14ac:dyDescent="0.35">
      <c r="A129" s="105" t="s">
        <v>54</v>
      </c>
      <c r="B129" s="64">
        <f>C115+1</f>
        <v>46090</v>
      </c>
      <c r="C129" s="64">
        <f>B129+6</f>
        <v>46096</v>
      </c>
      <c r="D129" s="7"/>
      <c r="E129" s="7"/>
      <c r="F129" s="7"/>
      <c r="G129" s="7"/>
      <c r="H129" s="7"/>
      <c r="I129" s="7"/>
      <c r="J129" s="7"/>
      <c r="K129" s="7"/>
      <c r="L129" s="7"/>
      <c r="M129" s="7"/>
      <c r="N129" s="7"/>
      <c r="O129" s="7"/>
      <c r="P129" s="7"/>
      <c r="Q129" s="7"/>
      <c r="R129" s="7"/>
      <c r="S129" s="7"/>
      <c r="T129" s="7"/>
      <c r="U129" s="7"/>
      <c r="V129" s="7"/>
      <c r="W129" s="7"/>
      <c r="X129" s="7"/>
      <c r="Y129" s="7"/>
      <c r="Z129" s="11"/>
      <c r="AA129" s="11"/>
      <c r="AB129" s="7"/>
      <c r="AC129" s="7" t="s">
        <v>71</v>
      </c>
      <c r="AD129" s="7"/>
      <c r="AE129" s="7"/>
      <c r="AF129" s="7"/>
      <c r="AG129" s="7"/>
      <c r="AH129" s="7"/>
      <c r="AI129" s="7"/>
      <c r="AJ129" s="7"/>
      <c r="AK129" s="7"/>
      <c r="AL129" s="7"/>
      <c r="AM129" s="7"/>
      <c r="AN129" s="7"/>
      <c r="AO129" s="7"/>
      <c r="AP129" s="7"/>
      <c r="AQ129" s="7"/>
      <c r="AR129" s="7"/>
      <c r="AS129" s="7"/>
      <c r="AT129" s="7"/>
      <c r="AU129" s="7"/>
      <c r="AV129" s="7"/>
      <c r="AW129" s="7"/>
      <c r="AX129" s="7"/>
      <c r="AY129" s="12" t="s">
        <v>1</v>
      </c>
      <c r="AZ129" s="12" t="s">
        <v>2</v>
      </c>
      <c r="BA129" s="12" t="s">
        <v>3</v>
      </c>
      <c r="BB129" s="12" t="s">
        <v>4</v>
      </c>
      <c r="BC129" s="12" t="s">
        <v>5</v>
      </c>
      <c r="BD129" s="12" t="s">
        <v>6</v>
      </c>
      <c r="BE129" s="12" t="s">
        <v>7</v>
      </c>
      <c r="BF129" s="12" t="s">
        <v>8</v>
      </c>
      <c r="BG129" s="12" t="s">
        <v>9</v>
      </c>
      <c r="BH129" s="12" t="s">
        <v>10</v>
      </c>
      <c r="BI129" s="12" t="s">
        <v>11</v>
      </c>
      <c r="BJ129" s="12" t="s">
        <v>12</v>
      </c>
      <c r="BK129" s="12" t="s">
        <v>13</v>
      </c>
      <c r="BL129" s="12" t="s">
        <v>14</v>
      </c>
      <c r="BM129" s="12" t="s">
        <v>15</v>
      </c>
      <c r="BN129" s="12" t="s">
        <v>16</v>
      </c>
      <c r="BO129" s="12" t="s">
        <v>17</v>
      </c>
      <c r="BP129" s="12" t="s">
        <v>18</v>
      </c>
      <c r="BQ129" s="12" t="s">
        <v>19</v>
      </c>
      <c r="BR129" s="12" t="s">
        <v>20</v>
      </c>
      <c r="BS129" s="12">
        <v>0</v>
      </c>
      <c r="BU129">
        <v>0</v>
      </c>
    </row>
    <row r="130" spans="1:73" x14ac:dyDescent="0.35">
      <c r="A130" s="83" t="s">
        <v>22</v>
      </c>
      <c r="B130" s="7"/>
      <c r="C130" s="7"/>
      <c r="D130" s="7"/>
      <c r="E130" s="7"/>
      <c r="F130" s="7"/>
      <c r="G130" s="7"/>
      <c r="H130" s="7"/>
      <c r="I130" s="7"/>
      <c r="J130" s="7"/>
      <c r="K130" s="7"/>
      <c r="L130" s="7"/>
      <c r="M130" s="7"/>
      <c r="N130" s="7"/>
      <c r="O130" s="7"/>
      <c r="P130" s="7"/>
      <c r="Q130" s="7"/>
      <c r="R130" s="7"/>
      <c r="S130" s="7"/>
      <c r="T130" s="7"/>
      <c r="U130" s="7"/>
      <c r="V130" s="7"/>
      <c r="W130" s="7">
        <f t="shared" ref="W130:W136" si="137">SUM(B130:V130)</f>
        <v>0</v>
      </c>
      <c r="X130" s="7">
        <f t="shared" ref="X130:X136" si="138">SUM(AD130:AW130)*0.1</f>
        <v>0</v>
      </c>
      <c r="Y130" s="7">
        <f t="shared" ref="Y130:Y136" si="139">W130+X130</f>
        <v>0</v>
      </c>
      <c r="Z130" s="62"/>
      <c r="AA130" s="195"/>
      <c r="AB130" s="7">
        <f t="shared" ref="AB130:AB136" si="140">AB116+W130</f>
        <v>36.25</v>
      </c>
      <c r="AC130" s="7" t="s">
        <v>22</v>
      </c>
      <c r="AD130" s="7">
        <f t="shared" ref="AD130:AW130" si="141">IF(B130 &gt; 0, IF(AD122&gt; 0, AD122+ 1, 0.1), 0)</f>
        <v>0</v>
      </c>
      <c r="AE130" s="7">
        <f t="shared" si="141"/>
        <v>0</v>
      </c>
      <c r="AF130" s="7">
        <f t="shared" si="141"/>
        <v>0</v>
      </c>
      <c r="AG130" s="7">
        <f t="shared" si="141"/>
        <v>0</v>
      </c>
      <c r="AH130" s="7">
        <f t="shared" si="141"/>
        <v>0</v>
      </c>
      <c r="AI130" s="7">
        <f t="shared" si="141"/>
        <v>0</v>
      </c>
      <c r="AJ130" s="7">
        <f t="shared" si="141"/>
        <v>0</v>
      </c>
      <c r="AK130" s="7">
        <f t="shared" si="141"/>
        <v>0</v>
      </c>
      <c r="AL130" s="7">
        <f t="shared" si="141"/>
        <v>0</v>
      </c>
      <c r="AM130" s="7">
        <f t="shared" si="141"/>
        <v>0</v>
      </c>
      <c r="AN130" s="7">
        <f t="shared" si="141"/>
        <v>0</v>
      </c>
      <c r="AO130" s="7">
        <f t="shared" si="141"/>
        <v>0</v>
      </c>
      <c r="AP130" s="7">
        <f t="shared" si="141"/>
        <v>0</v>
      </c>
      <c r="AQ130" s="7">
        <f t="shared" si="141"/>
        <v>0</v>
      </c>
      <c r="AR130" s="7">
        <f t="shared" si="141"/>
        <v>0</v>
      </c>
      <c r="AS130" s="7">
        <f t="shared" si="141"/>
        <v>0</v>
      </c>
      <c r="AT130" s="7">
        <f t="shared" si="141"/>
        <v>0</v>
      </c>
      <c r="AU130" s="7">
        <f t="shared" si="141"/>
        <v>0</v>
      </c>
      <c r="AV130" s="7">
        <f t="shared" si="141"/>
        <v>0</v>
      </c>
      <c r="AW130" s="7">
        <f t="shared" si="141"/>
        <v>0</v>
      </c>
      <c r="AX130" s="7"/>
      <c r="AY130" s="7">
        <f>SUM($B$130:B130)</f>
        <v>0</v>
      </c>
      <c r="AZ130" s="7">
        <f>SUM($B$130:C130)</f>
        <v>0</v>
      </c>
      <c r="BA130" s="7">
        <f>SUM($B$130:D130)</f>
        <v>0</v>
      </c>
      <c r="BB130" s="7">
        <f>SUM($B$130:E130)</f>
        <v>0</v>
      </c>
      <c r="BC130" s="7">
        <f>SUM($B$130:F130)</f>
        <v>0</v>
      </c>
      <c r="BD130" s="7">
        <f>SUM($B$130:G130)</f>
        <v>0</v>
      </c>
      <c r="BE130" s="7">
        <f>SUM($B$130:H130)</f>
        <v>0</v>
      </c>
      <c r="BF130" s="7">
        <f>SUM($B$130:I130)</f>
        <v>0</v>
      </c>
      <c r="BG130" s="7">
        <f>SUM($B$130:J130)</f>
        <v>0</v>
      </c>
      <c r="BH130" s="7">
        <f>SUM($B$130:K130)</f>
        <v>0</v>
      </c>
      <c r="BI130" s="7">
        <f>SUM($B$130:L130)</f>
        <v>0</v>
      </c>
      <c r="BJ130" s="7">
        <f>SUM($B$130:M130)</f>
        <v>0</v>
      </c>
      <c r="BK130" s="7">
        <f>SUM($B$130:Q130)</f>
        <v>0</v>
      </c>
      <c r="BL130" s="7">
        <f>SUM($B$130:N130)</f>
        <v>0</v>
      </c>
      <c r="BM130" s="7">
        <f>SUM($B$130:O130)</f>
        <v>0</v>
      </c>
      <c r="BN130" s="7">
        <f>SUM($B$130:P130)</f>
        <v>0</v>
      </c>
      <c r="BO130" s="7">
        <f>SUM($B$130:R130)</f>
        <v>0</v>
      </c>
      <c r="BP130" s="7">
        <f>SUM($B$130:S130)</f>
        <v>0</v>
      </c>
      <c r="BQ130" s="7">
        <f>SUM($B$130:T130)</f>
        <v>0</v>
      </c>
      <c r="BR130" s="7">
        <f>SUM($B$130:V130)</f>
        <v>0</v>
      </c>
      <c r="BS130" s="7">
        <f>SUM($BR$130:BR130)</f>
        <v>0</v>
      </c>
      <c r="BT130">
        <f t="shared" si="83"/>
        <v>0</v>
      </c>
      <c r="BU130">
        <f>SUM($BT$130:BT130)</f>
        <v>0</v>
      </c>
    </row>
    <row r="131" spans="1:73" x14ac:dyDescent="0.35">
      <c r="A131" s="94" t="s">
        <v>23</v>
      </c>
      <c r="B131" s="7"/>
      <c r="C131" s="7"/>
      <c r="D131" s="7"/>
      <c r="E131" s="7"/>
      <c r="F131" s="7"/>
      <c r="G131" s="7"/>
      <c r="H131" s="7"/>
      <c r="I131" s="7"/>
      <c r="J131" s="7"/>
      <c r="K131" s="7"/>
      <c r="L131" s="7"/>
      <c r="M131" s="7"/>
      <c r="N131" s="7"/>
      <c r="O131" s="7"/>
      <c r="P131" s="7"/>
      <c r="Q131" s="7"/>
      <c r="R131" s="7"/>
      <c r="S131" s="7"/>
      <c r="T131" s="7"/>
      <c r="U131" s="7"/>
      <c r="V131" s="7"/>
      <c r="W131" s="7">
        <f t="shared" si="137"/>
        <v>0</v>
      </c>
      <c r="X131" s="7">
        <f t="shared" si="138"/>
        <v>0</v>
      </c>
      <c r="Y131" s="7">
        <f t="shared" si="139"/>
        <v>0</v>
      </c>
      <c r="Z131" s="62"/>
      <c r="AA131" s="195"/>
      <c r="AB131" s="7">
        <f t="shared" si="140"/>
        <v>0</v>
      </c>
      <c r="AC131" s="7" t="s">
        <v>23</v>
      </c>
      <c r="AD131" s="7">
        <f t="shared" ref="AD131:AM136" si="142">IF(B131 &gt; 0, IF(AD130 &gt; 0, AD130 + 1, 0.1), 0)</f>
        <v>0</v>
      </c>
      <c r="AE131" s="7">
        <f t="shared" si="142"/>
        <v>0</v>
      </c>
      <c r="AF131" s="7">
        <f t="shared" si="142"/>
        <v>0</v>
      </c>
      <c r="AG131" s="7">
        <f t="shared" si="142"/>
        <v>0</v>
      </c>
      <c r="AH131" s="7">
        <f t="shared" si="142"/>
        <v>0</v>
      </c>
      <c r="AI131" s="7">
        <f t="shared" si="142"/>
        <v>0</v>
      </c>
      <c r="AJ131" s="7">
        <f t="shared" si="142"/>
        <v>0</v>
      </c>
      <c r="AK131" s="7">
        <f t="shared" si="142"/>
        <v>0</v>
      </c>
      <c r="AL131" s="7">
        <f t="shared" si="142"/>
        <v>0</v>
      </c>
      <c r="AM131" s="7">
        <f t="shared" si="142"/>
        <v>0</v>
      </c>
      <c r="AN131" s="7">
        <f t="shared" ref="AN131:AT136" si="143">IF(L131 &gt; 0, IF(AN130 &gt; 0, AN130 + 1, 0.1), 0)</f>
        <v>0</v>
      </c>
      <c r="AO131" s="7">
        <f t="shared" si="143"/>
        <v>0</v>
      </c>
      <c r="AP131" s="7">
        <f t="shared" si="143"/>
        <v>0</v>
      </c>
      <c r="AQ131" s="7">
        <f t="shared" si="143"/>
        <v>0</v>
      </c>
      <c r="AR131" s="7">
        <f t="shared" si="143"/>
        <v>0</v>
      </c>
      <c r="AS131" s="7">
        <f t="shared" si="143"/>
        <v>0</v>
      </c>
      <c r="AT131" s="7">
        <f t="shared" si="143"/>
        <v>0</v>
      </c>
      <c r="AU131" s="7">
        <f t="shared" ref="AU131:AU136" si="144">IF(S131 &gt; 0, IF(AU123&gt; 0, AU123+ 1, 0.1), 0)</f>
        <v>0</v>
      </c>
      <c r="AV131" s="7">
        <f t="shared" ref="AV131:AW136" si="145">IF(T131 &gt; 0, IF(AV130 &gt; 0, AV130 + 1, 0.1), 0)</f>
        <v>0</v>
      </c>
      <c r="AW131" s="7">
        <f t="shared" si="145"/>
        <v>0</v>
      </c>
      <c r="AX131" s="7"/>
      <c r="AY131" s="7">
        <f>SUM($B$131:B131)</f>
        <v>0</v>
      </c>
      <c r="AZ131" s="7">
        <f>SUM($B$131:C131)</f>
        <v>0</v>
      </c>
      <c r="BA131" s="7">
        <f>SUM($B$131:D131)</f>
        <v>0</v>
      </c>
      <c r="BB131" s="7">
        <f>SUM($B$131:E131)</f>
        <v>0</v>
      </c>
      <c r="BC131" s="7">
        <f>SUM($B$131:F131)</f>
        <v>0</v>
      </c>
      <c r="BD131" s="7">
        <f>SUM($B$131:G131)</f>
        <v>0</v>
      </c>
      <c r="BE131" s="7">
        <f>SUM($B$131:H131)</f>
        <v>0</v>
      </c>
      <c r="BF131" s="7">
        <f>SUM($B$131:I131)</f>
        <v>0</v>
      </c>
      <c r="BG131" s="7">
        <f>SUM($B$131:J131)</f>
        <v>0</v>
      </c>
      <c r="BH131" s="7">
        <f>SUM($B$131:K131)</f>
        <v>0</v>
      </c>
      <c r="BI131" s="7">
        <f>SUM($B$131:L131)</f>
        <v>0</v>
      </c>
      <c r="BJ131" s="7">
        <f>SUM($B$131:M131)</f>
        <v>0</v>
      </c>
      <c r="BK131" s="7">
        <f>SUM($B$131:Q131)</f>
        <v>0</v>
      </c>
      <c r="BL131" s="7">
        <f>SUM($B$131:N131)</f>
        <v>0</v>
      </c>
      <c r="BM131" s="7">
        <f>SUM($B$131:O131)</f>
        <v>0</v>
      </c>
      <c r="BN131" s="7">
        <f>SUM($B$131:P131)</f>
        <v>0</v>
      </c>
      <c r="BO131" s="7">
        <f>SUM($B$131:R131)</f>
        <v>0</v>
      </c>
      <c r="BP131" s="7">
        <f>SUM($B$131:S131)</f>
        <v>0</v>
      </c>
      <c r="BQ131" s="7">
        <f>SUM($B$131:T131)</f>
        <v>0</v>
      </c>
      <c r="BR131" s="7">
        <f>SUM($B$131:V131)</f>
        <v>0</v>
      </c>
      <c r="BS131" s="7">
        <f>SUM($BR$130:BR131)</f>
        <v>0</v>
      </c>
      <c r="BT131">
        <f t="shared" si="83"/>
        <v>0</v>
      </c>
      <c r="BU131">
        <f>SUM($BT$130:BT131)</f>
        <v>0</v>
      </c>
    </row>
    <row r="132" spans="1:73" x14ac:dyDescent="0.35">
      <c r="A132" s="117" t="s">
        <v>24</v>
      </c>
      <c r="B132" s="7"/>
      <c r="C132" s="7"/>
      <c r="D132" s="7"/>
      <c r="E132" s="7"/>
      <c r="F132" s="7"/>
      <c r="G132" s="7"/>
      <c r="H132" s="7"/>
      <c r="I132" s="7"/>
      <c r="J132" s="7"/>
      <c r="K132" s="7"/>
      <c r="L132" s="7"/>
      <c r="M132" s="7"/>
      <c r="N132" s="7"/>
      <c r="O132" s="7"/>
      <c r="P132" s="7"/>
      <c r="Q132" s="7"/>
      <c r="R132" s="7"/>
      <c r="S132" s="7"/>
      <c r="T132" s="7"/>
      <c r="U132" s="7"/>
      <c r="V132" s="7"/>
      <c r="W132" s="7">
        <f t="shared" si="137"/>
        <v>0</v>
      </c>
      <c r="X132" s="7">
        <f t="shared" si="138"/>
        <v>0</v>
      </c>
      <c r="Y132" s="7">
        <f t="shared" si="139"/>
        <v>0</v>
      </c>
      <c r="Z132" s="62"/>
      <c r="AA132" s="195"/>
      <c r="AB132" s="7">
        <f t="shared" si="140"/>
        <v>0</v>
      </c>
      <c r="AC132" s="7" t="s">
        <v>24</v>
      </c>
      <c r="AD132" s="7">
        <f t="shared" si="142"/>
        <v>0</v>
      </c>
      <c r="AE132" s="7">
        <f t="shared" si="142"/>
        <v>0</v>
      </c>
      <c r="AF132" s="7">
        <f t="shared" si="142"/>
        <v>0</v>
      </c>
      <c r="AG132" s="7">
        <f t="shared" si="142"/>
        <v>0</v>
      </c>
      <c r="AH132" s="7">
        <f t="shared" si="142"/>
        <v>0</v>
      </c>
      <c r="AI132" s="7">
        <f t="shared" si="142"/>
        <v>0</v>
      </c>
      <c r="AJ132" s="7">
        <f t="shared" si="142"/>
        <v>0</v>
      </c>
      <c r="AK132" s="7">
        <f t="shared" si="142"/>
        <v>0</v>
      </c>
      <c r="AL132" s="7">
        <f t="shared" si="142"/>
        <v>0</v>
      </c>
      <c r="AM132" s="7">
        <f t="shared" si="142"/>
        <v>0</v>
      </c>
      <c r="AN132" s="7">
        <f t="shared" si="143"/>
        <v>0</v>
      </c>
      <c r="AO132" s="7">
        <f t="shared" si="143"/>
        <v>0</v>
      </c>
      <c r="AP132" s="7">
        <f t="shared" si="143"/>
        <v>0</v>
      </c>
      <c r="AQ132" s="7">
        <f t="shared" si="143"/>
        <v>0</v>
      </c>
      <c r="AR132" s="7">
        <f t="shared" si="143"/>
        <v>0</v>
      </c>
      <c r="AS132" s="7">
        <f t="shared" si="143"/>
        <v>0</v>
      </c>
      <c r="AT132" s="7">
        <f t="shared" si="143"/>
        <v>0</v>
      </c>
      <c r="AU132" s="7">
        <f t="shared" si="144"/>
        <v>0</v>
      </c>
      <c r="AV132" s="7">
        <f t="shared" si="145"/>
        <v>0</v>
      </c>
      <c r="AW132" s="7">
        <f t="shared" si="145"/>
        <v>0</v>
      </c>
      <c r="AX132" s="7"/>
      <c r="AY132" s="7">
        <f>SUM($B$132:B132)</f>
        <v>0</v>
      </c>
      <c r="AZ132" s="7">
        <f>SUM($B$132:C132)</f>
        <v>0</v>
      </c>
      <c r="BA132" s="7">
        <f>SUM($B$132:D132)</f>
        <v>0</v>
      </c>
      <c r="BB132" s="7">
        <f>SUM($B$132:E132)</f>
        <v>0</v>
      </c>
      <c r="BC132" s="7">
        <f>SUM($B$132:F132)</f>
        <v>0</v>
      </c>
      <c r="BD132" s="7">
        <f>SUM($B$132:G132)</f>
        <v>0</v>
      </c>
      <c r="BE132" s="7">
        <f>SUM($B$132:H132)</f>
        <v>0</v>
      </c>
      <c r="BF132" s="7">
        <f>SUM($B$132:I132)</f>
        <v>0</v>
      </c>
      <c r="BG132" s="7">
        <f>SUM($B$132:J132)</f>
        <v>0</v>
      </c>
      <c r="BH132" s="7">
        <f>SUM($B$132:K132)</f>
        <v>0</v>
      </c>
      <c r="BI132" s="7">
        <f>SUM($B$132:L132)</f>
        <v>0</v>
      </c>
      <c r="BJ132" s="7">
        <f>SUM($B$132:M132)</f>
        <v>0</v>
      </c>
      <c r="BK132" s="7">
        <f>SUM($B$132:Q132)</f>
        <v>0</v>
      </c>
      <c r="BL132" s="7">
        <f>SUM($B$132:N132)</f>
        <v>0</v>
      </c>
      <c r="BM132" s="7">
        <f>SUM($B$132:O132)</f>
        <v>0</v>
      </c>
      <c r="BN132" s="7">
        <f>SUM($B$132:P132)</f>
        <v>0</v>
      </c>
      <c r="BO132" s="7">
        <f>SUM($B$132:R132)</f>
        <v>0</v>
      </c>
      <c r="BP132" s="7">
        <f>SUM($B$132:S132)</f>
        <v>0</v>
      </c>
      <c r="BQ132" s="7">
        <f>SUM($B$132:T132)</f>
        <v>0</v>
      </c>
      <c r="BR132" s="7">
        <f>SUM($B$132:V132)</f>
        <v>0</v>
      </c>
      <c r="BS132" s="7">
        <f>SUM($BR$130:BR132)</f>
        <v>0</v>
      </c>
      <c r="BT132">
        <f t="shared" si="83"/>
        <v>0</v>
      </c>
      <c r="BU132">
        <f>SUM($BT$130:BT132)</f>
        <v>0</v>
      </c>
    </row>
    <row r="133" spans="1:73" x14ac:dyDescent="0.35">
      <c r="A133" s="128" t="s">
        <v>25</v>
      </c>
      <c r="B133" s="7"/>
      <c r="C133" s="7"/>
      <c r="D133" s="7"/>
      <c r="E133" s="7"/>
      <c r="F133" s="7"/>
      <c r="G133" s="7"/>
      <c r="H133" s="7"/>
      <c r="I133" s="7"/>
      <c r="J133" s="7"/>
      <c r="K133" s="7"/>
      <c r="L133" s="7"/>
      <c r="M133" s="7"/>
      <c r="N133" s="7"/>
      <c r="O133" s="7"/>
      <c r="P133" s="7"/>
      <c r="Q133" s="7"/>
      <c r="R133" s="7"/>
      <c r="S133" s="7"/>
      <c r="T133" s="7"/>
      <c r="U133" s="7"/>
      <c r="V133" s="7"/>
      <c r="W133" s="7">
        <f t="shared" si="137"/>
        <v>0</v>
      </c>
      <c r="X133" s="7">
        <f t="shared" si="138"/>
        <v>0</v>
      </c>
      <c r="Y133" s="7">
        <f t="shared" si="139"/>
        <v>0</v>
      </c>
      <c r="Z133" s="62"/>
      <c r="AA133" s="195"/>
      <c r="AB133" s="7">
        <f t="shared" si="140"/>
        <v>0</v>
      </c>
      <c r="AC133" s="7" t="s">
        <v>25</v>
      </c>
      <c r="AD133" s="7">
        <f t="shared" si="142"/>
        <v>0</v>
      </c>
      <c r="AE133" s="7">
        <f t="shared" si="142"/>
        <v>0</v>
      </c>
      <c r="AF133" s="7">
        <f t="shared" si="142"/>
        <v>0</v>
      </c>
      <c r="AG133" s="7">
        <f t="shared" si="142"/>
        <v>0</v>
      </c>
      <c r="AH133" s="7">
        <f t="shared" si="142"/>
        <v>0</v>
      </c>
      <c r="AI133" s="7">
        <f t="shared" si="142"/>
        <v>0</v>
      </c>
      <c r="AJ133" s="7">
        <f t="shared" si="142"/>
        <v>0</v>
      </c>
      <c r="AK133" s="7">
        <f t="shared" si="142"/>
        <v>0</v>
      </c>
      <c r="AL133" s="7">
        <f t="shared" si="142"/>
        <v>0</v>
      </c>
      <c r="AM133" s="7">
        <f t="shared" si="142"/>
        <v>0</v>
      </c>
      <c r="AN133" s="7">
        <f t="shared" si="143"/>
        <v>0</v>
      </c>
      <c r="AO133" s="7">
        <f t="shared" si="143"/>
        <v>0</v>
      </c>
      <c r="AP133" s="7">
        <f t="shared" si="143"/>
        <v>0</v>
      </c>
      <c r="AQ133" s="7">
        <f t="shared" si="143"/>
        <v>0</v>
      </c>
      <c r="AR133" s="7">
        <f t="shared" si="143"/>
        <v>0</v>
      </c>
      <c r="AS133" s="7">
        <f t="shared" si="143"/>
        <v>0</v>
      </c>
      <c r="AT133" s="7">
        <f t="shared" si="143"/>
        <v>0</v>
      </c>
      <c r="AU133" s="7">
        <f t="shared" si="144"/>
        <v>0</v>
      </c>
      <c r="AV133" s="7">
        <f t="shared" si="145"/>
        <v>0</v>
      </c>
      <c r="AW133" s="7">
        <f t="shared" si="145"/>
        <v>0</v>
      </c>
      <c r="AX133" s="7"/>
      <c r="AY133" s="7">
        <f>SUM($B$133:B133)</f>
        <v>0</v>
      </c>
      <c r="AZ133" s="7">
        <f>SUM($B$133:C133)</f>
        <v>0</v>
      </c>
      <c r="BA133" s="7">
        <f>SUM($B$133:D133)</f>
        <v>0</v>
      </c>
      <c r="BB133" s="7">
        <f>SUM($B$133:E133)</f>
        <v>0</v>
      </c>
      <c r="BC133" s="7">
        <f>SUM($B$133:F133)</f>
        <v>0</v>
      </c>
      <c r="BD133" s="7">
        <f>SUM($B$133:G133)</f>
        <v>0</v>
      </c>
      <c r="BE133" s="7">
        <f>SUM($B$133:H133)</f>
        <v>0</v>
      </c>
      <c r="BF133" s="7">
        <f>SUM($B$133:I133)</f>
        <v>0</v>
      </c>
      <c r="BG133" s="7">
        <f>SUM($B$133:J133)</f>
        <v>0</v>
      </c>
      <c r="BH133" s="7">
        <f>SUM($B$133:K133)</f>
        <v>0</v>
      </c>
      <c r="BI133" s="7">
        <f>SUM($B$133:L133)</f>
        <v>0</v>
      </c>
      <c r="BJ133" s="7">
        <f>SUM($B$133:M133)</f>
        <v>0</v>
      </c>
      <c r="BK133" s="7">
        <f>SUM($B$133:Q133)</f>
        <v>0</v>
      </c>
      <c r="BL133" s="7">
        <f>SUM($B$133:N133)</f>
        <v>0</v>
      </c>
      <c r="BM133" s="7">
        <f>SUM($B$133:O133)</f>
        <v>0</v>
      </c>
      <c r="BN133" s="7">
        <f>SUM($B$133:P133)</f>
        <v>0</v>
      </c>
      <c r="BO133" s="7">
        <f>SUM($B$133:R133)</f>
        <v>0</v>
      </c>
      <c r="BP133" s="7">
        <f>SUM($B$133:S133)</f>
        <v>0</v>
      </c>
      <c r="BQ133" s="7">
        <f>SUM($B$133:T133)</f>
        <v>0</v>
      </c>
      <c r="BR133" s="7">
        <f>SUM($B$133:V133)</f>
        <v>0</v>
      </c>
      <c r="BS133" s="7">
        <f>SUM($BR$130:BR133)</f>
        <v>0</v>
      </c>
      <c r="BT133">
        <f t="shared" ref="BT133:BT164" si="146">BR133+X133</f>
        <v>0</v>
      </c>
      <c r="BU133">
        <f>SUM($BT$130:BT133)</f>
        <v>0</v>
      </c>
    </row>
    <row r="134" spans="1:73" x14ac:dyDescent="0.35">
      <c r="A134" s="139" t="s">
        <v>26</v>
      </c>
      <c r="B134" s="7"/>
      <c r="C134" s="7"/>
      <c r="D134" s="7"/>
      <c r="E134" s="7"/>
      <c r="F134" s="7"/>
      <c r="G134" s="7"/>
      <c r="H134" s="7"/>
      <c r="I134" s="7"/>
      <c r="J134" s="7"/>
      <c r="K134" s="7"/>
      <c r="L134" s="7"/>
      <c r="M134" s="7"/>
      <c r="N134" s="7"/>
      <c r="O134" s="7"/>
      <c r="P134" s="7"/>
      <c r="Q134" s="7"/>
      <c r="R134" s="7"/>
      <c r="S134" s="7"/>
      <c r="T134" s="7"/>
      <c r="U134" s="7"/>
      <c r="V134" s="7"/>
      <c r="W134" s="7">
        <f t="shared" si="137"/>
        <v>0</v>
      </c>
      <c r="X134" s="7">
        <f t="shared" si="138"/>
        <v>0</v>
      </c>
      <c r="Y134" s="7">
        <f t="shared" si="139"/>
        <v>0</v>
      </c>
      <c r="Z134" s="62"/>
      <c r="AA134" s="195"/>
      <c r="AB134" s="7">
        <f t="shared" si="140"/>
        <v>0</v>
      </c>
      <c r="AC134" s="7" t="s">
        <v>26</v>
      </c>
      <c r="AD134" s="7">
        <f t="shared" si="142"/>
        <v>0</v>
      </c>
      <c r="AE134" s="7">
        <f t="shared" si="142"/>
        <v>0</v>
      </c>
      <c r="AF134" s="7">
        <f t="shared" si="142"/>
        <v>0</v>
      </c>
      <c r="AG134" s="7">
        <f t="shared" si="142"/>
        <v>0</v>
      </c>
      <c r="AH134" s="7">
        <f t="shared" si="142"/>
        <v>0</v>
      </c>
      <c r="AI134" s="7">
        <f t="shared" si="142"/>
        <v>0</v>
      </c>
      <c r="AJ134" s="7">
        <f t="shared" si="142"/>
        <v>0</v>
      </c>
      <c r="AK134" s="7">
        <f t="shared" si="142"/>
        <v>0</v>
      </c>
      <c r="AL134" s="7">
        <f t="shared" si="142"/>
        <v>0</v>
      </c>
      <c r="AM134" s="7">
        <f t="shared" si="142"/>
        <v>0</v>
      </c>
      <c r="AN134" s="7">
        <f t="shared" si="143"/>
        <v>0</v>
      </c>
      <c r="AO134" s="7">
        <f t="shared" si="143"/>
        <v>0</v>
      </c>
      <c r="AP134" s="7">
        <f t="shared" si="143"/>
        <v>0</v>
      </c>
      <c r="AQ134" s="7">
        <f t="shared" si="143"/>
        <v>0</v>
      </c>
      <c r="AR134" s="7">
        <f t="shared" si="143"/>
        <v>0</v>
      </c>
      <c r="AS134" s="7">
        <f t="shared" si="143"/>
        <v>0</v>
      </c>
      <c r="AT134" s="7">
        <f t="shared" si="143"/>
        <v>0</v>
      </c>
      <c r="AU134" s="7">
        <f t="shared" si="144"/>
        <v>0</v>
      </c>
      <c r="AV134" s="7">
        <f t="shared" si="145"/>
        <v>0</v>
      </c>
      <c r="AW134" s="7">
        <f t="shared" si="145"/>
        <v>0</v>
      </c>
      <c r="AX134" s="7"/>
      <c r="AY134" s="7">
        <f>SUM($B$134:B134)</f>
        <v>0</v>
      </c>
      <c r="AZ134" s="7">
        <f>SUM($B$134:C134)</f>
        <v>0</v>
      </c>
      <c r="BA134" s="7">
        <f>SUM($B$134:D134)</f>
        <v>0</v>
      </c>
      <c r="BB134" s="7">
        <f>SUM($B$134:E134)</f>
        <v>0</v>
      </c>
      <c r="BC134" s="7">
        <f>SUM($B$134:F134)</f>
        <v>0</v>
      </c>
      <c r="BD134" s="7">
        <f>SUM($B$134:G134)</f>
        <v>0</v>
      </c>
      <c r="BE134" s="7">
        <f>SUM($B$134:H134)</f>
        <v>0</v>
      </c>
      <c r="BF134" s="7">
        <f>SUM($B$134:I134)</f>
        <v>0</v>
      </c>
      <c r="BG134" s="7">
        <f>SUM($B$134:J134)</f>
        <v>0</v>
      </c>
      <c r="BH134" s="7">
        <f>SUM($B$134:K134)</f>
        <v>0</v>
      </c>
      <c r="BI134" s="7">
        <f>SUM($B$134:L134)</f>
        <v>0</v>
      </c>
      <c r="BJ134" s="7">
        <f>SUM($B$134:M134)</f>
        <v>0</v>
      </c>
      <c r="BK134" s="7">
        <f>SUM($B$134:Q134)</f>
        <v>0</v>
      </c>
      <c r="BL134" s="7">
        <f>SUM($B$134:N134)</f>
        <v>0</v>
      </c>
      <c r="BM134" s="7">
        <f>SUM($B$134:O134)</f>
        <v>0</v>
      </c>
      <c r="BN134" s="7">
        <f>SUM($B$134:P134)</f>
        <v>0</v>
      </c>
      <c r="BO134" s="7">
        <f>SUM($B$134:R134)</f>
        <v>0</v>
      </c>
      <c r="BP134" s="7">
        <f>SUM($B$134:S134)</f>
        <v>0</v>
      </c>
      <c r="BQ134" s="7">
        <f>SUM($B$134:T134)</f>
        <v>0</v>
      </c>
      <c r="BR134" s="7">
        <f>SUM($B$134:V134)</f>
        <v>0</v>
      </c>
      <c r="BS134" s="7">
        <f>SUM($BR$130:BR134)</f>
        <v>0</v>
      </c>
      <c r="BT134">
        <f t="shared" si="146"/>
        <v>0</v>
      </c>
      <c r="BU134">
        <f>SUM($BT$130:BT134)</f>
        <v>0</v>
      </c>
    </row>
    <row r="135" spans="1:73" x14ac:dyDescent="0.35">
      <c r="A135" s="150" t="s">
        <v>27</v>
      </c>
      <c r="B135" s="7"/>
      <c r="C135" s="7"/>
      <c r="D135" s="7"/>
      <c r="E135" s="7"/>
      <c r="F135" s="7"/>
      <c r="G135" s="7"/>
      <c r="H135" s="7"/>
      <c r="I135" s="7"/>
      <c r="J135" s="7"/>
      <c r="K135" s="7"/>
      <c r="L135" s="7"/>
      <c r="M135" s="7"/>
      <c r="N135" s="7"/>
      <c r="O135" s="7"/>
      <c r="P135" s="7"/>
      <c r="Q135" s="7"/>
      <c r="R135" s="7"/>
      <c r="S135" s="7"/>
      <c r="T135" s="7"/>
      <c r="U135" s="7"/>
      <c r="V135" s="7"/>
      <c r="W135" s="7">
        <f t="shared" si="137"/>
        <v>0</v>
      </c>
      <c r="X135" s="7">
        <f t="shared" si="138"/>
        <v>0</v>
      </c>
      <c r="Y135" s="7">
        <f t="shared" si="139"/>
        <v>0</v>
      </c>
      <c r="Z135" s="62"/>
      <c r="AA135" s="195"/>
      <c r="AB135" s="7">
        <f t="shared" si="140"/>
        <v>0</v>
      </c>
      <c r="AC135" s="7" t="s">
        <v>27</v>
      </c>
      <c r="AD135" s="7">
        <f t="shared" si="142"/>
        <v>0</v>
      </c>
      <c r="AE135" s="7">
        <f t="shared" si="142"/>
        <v>0</v>
      </c>
      <c r="AF135" s="7">
        <f t="shared" si="142"/>
        <v>0</v>
      </c>
      <c r="AG135" s="7">
        <f t="shared" si="142"/>
        <v>0</v>
      </c>
      <c r="AH135" s="7">
        <f t="shared" si="142"/>
        <v>0</v>
      </c>
      <c r="AI135" s="7">
        <f t="shared" si="142"/>
        <v>0</v>
      </c>
      <c r="AJ135" s="7">
        <f t="shared" si="142"/>
        <v>0</v>
      </c>
      <c r="AK135" s="7">
        <f t="shared" si="142"/>
        <v>0</v>
      </c>
      <c r="AL135" s="7">
        <f t="shared" si="142"/>
        <v>0</v>
      </c>
      <c r="AM135" s="7">
        <f t="shared" si="142"/>
        <v>0</v>
      </c>
      <c r="AN135" s="7">
        <f t="shared" si="143"/>
        <v>0</v>
      </c>
      <c r="AO135" s="7">
        <f t="shared" si="143"/>
        <v>0</v>
      </c>
      <c r="AP135" s="7">
        <f t="shared" si="143"/>
        <v>0</v>
      </c>
      <c r="AQ135" s="7">
        <f t="shared" si="143"/>
        <v>0</v>
      </c>
      <c r="AR135" s="7">
        <f t="shared" si="143"/>
        <v>0</v>
      </c>
      <c r="AS135" s="7">
        <f t="shared" si="143"/>
        <v>0</v>
      </c>
      <c r="AT135" s="7">
        <f t="shared" si="143"/>
        <v>0</v>
      </c>
      <c r="AU135" s="7">
        <f t="shared" si="144"/>
        <v>0</v>
      </c>
      <c r="AV135" s="7">
        <f t="shared" si="145"/>
        <v>0</v>
      </c>
      <c r="AW135" s="7">
        <f t="shared" si="145"/>
        <v>0</v>
      </c>
      <c r="AX135" s="7"/>
      <c r="AY135" s="7">
        <f>SUM($B$135:B135)</f>
        <v>0</v>
      </c>
      <c r="AZ135" s="7">
        <f>SUM($B$135:C135)</f>
        <v>0</v>
      </c>
      <c r="BA135" s="7">
        <f>SUM($B$135:D135)</f>
        <v>0</v>
      </c>
      <c r="BB135" s="7">
        <f>SUM($B$135:E135)</f>
        <v>0</v>
      </c>
      <c r="BC135" s="7">
        <f>SUM($B$135:F135)</f>
        <v>0</v>
      </c>
      <c r="BD135" s="7">
        <f>SUM($B$135:G135)</f>
        <v>0</v>
      </c>
      <c r="BE135" s="7">
        <f>SUM($B$135:H135)</f>
        <v>0</v>
      </c>
      <c r="BF135" s="7">
        <f>SUM($B$135:I135)</f>
        <v>0</v>
      </c>
      <c r="BG135" s="7">
        <f>SUM($B$135:J135)</f>
        <v>0</v>
      </c>
      <c r="BH135" s="7">
        <f>SUM($B$135:K135)</f>
        <v>0</v>
      </c>
      <c r="BI135" s="7">
        <f>SUM($B$135:L135)</f>
        <v>0</v>
      </c>
      <c r="BJ135" s="7">
        <f>SUM($B$135:M135)</f>
        <v>0</v>
      </c>
      <c r="BK135" s="7">
        <f>SUM($B$135:Q135)</f>
        <v>0</v>
      </c>
      <c r="BL135" s="7">
        <f>SUM($B$135:N135)</f>
        <v>0</v>
      </c>
      <c r="BM135" s="7">
        <f>SUM($B$135:O135)</f>
        <v>0</v>
      </c>
      <c r="BN135" s="7">
        <f>SUM($B$135:P135)</f>
        <v>0</v>
      </c>
      <c r="BO135" s="7">
        <f>SUM($B$135:R135)</f>
        <v>0</v>
      </c>
      <c r="BP135" s="7">
        <f>SUM($B$135:S135)</f>
        <v>0</v>
      </c>
      <c r="BQ135" s="7">
        <f>SUM($B$135:T135)</f>
        <v>0</v>
      </c>
      <c r="BR135" s="7">
        <f>SUM($B$135:V135)</f>
        <v>0</v>
      </c>
      <c r="BS135" s="7">
        <f>SUM($BR$130:BR135)</f>
        <v>0</v>
      </c>
      <c r="BT135">
        <f t="shared" si="146"/>
        <v>0</v>
      </c>
      <c r="BU135">
        <f>SUM($BT$130:BT135)</f>
        <v>0</v>
      </c>
    </row>
    <row r="136" spans="1:73" x14ac:dyDescent="0.35">
      <c r="A136" s="160" t="s">
        <v>28</v>
      </c>
      <c r="B136" s="7"/>
      <c r="C136" s="7"/>
      <c r="D136" s="7"/>
      <c r="E136" s="7"/>
      <c r="F136" s="7"/>
      <c r="G136" s="7"/>
      <c r="H136" s="7"/>
      <c r="I136" s="7"/>
      <c r="J136" s="7"/>
      <c r="K136" s="7"/>
      <c r="L136" s="7"/>
      <c r="M136" s="7"/>
      <c r="N136" s="7"/>
      <c r="O136" s="7"/>
      <c r="P136" s="7"/>
      <c r="Q136" s="7"/>
      <c r="R136" s="7"/>
      <c r="S136" s="7"/>
      <c r="T136" s="7"/>
      <c r="U136" s="7"/>
      <c r="V136" s="7"/>
      <c r="W136" s="7">
        <f t="shared" si="137"/>
        <v>0</v>
      </c>
      <c r="X136" s="7">
        <f t="shared" si="138"/>
        <v>0</v>
      </c>
      <c r="Y136" s="7">
        <f t="shared" si="139"/>
        <v>0</v>
      </c>
      <c r="Z136" s="62"/>
      <c r="AA136" s="195"/>
      <c r="AB136" s="7">
        <f t="shared" si="140"/>
        <v>0</v>
      </c>
      <c r="AC136" s="7" t="s">
        <v>28</v>
      </c>
      <c r="AD136" s="7">
        <f t="shared" si="142"/>
        <v>0</v>
      </c>
      <c r="AE136" s="7">
        <f t="shared" si="142"/>
        <v>0</v>
      </c>
      <c r="AF136" s="7">
        <f t="shared" si="142"/>
        <v>0</v>
      </c>
      <c r="AG136" s="7">
        <f t="shared" si="142"/>
        <v>0</v>
      </c>
      <c r="AH136" s="7">
        <f t="shared" si="142"/>
        <v>0</v>
      </c>
      <c r="AI136" s="7">
        <f t="shared" si="142"/>
        <v>0</v>
      </c>
      <c r="AJ136" s="7">
        <f t="shared" si="142"/>
        <v>0</v>
      </c>
      <c r="AK136" s="7">
        <f t="shared" si="142"/>
        <v>0</v>
      </c>
      <c r="AL136" s="7">
        <f t="shared" si="142"/>
        <v>0</v>
      </c>
      <c r="AM136" s="7">
        <f t="shared" si="142"/>
        <v>0</v>
      </c>
      <c r="AN136" s="7">
        <f t="shared" si="143"/>
        <v>0</v>
      </c>
      <c r="AO136" s="7">
        <f t="shared" si="143"/>
        <v>0</v>
      </c>
      <c r="AP136" s="7">
        <f t="shared" si="143"/>
        <v>0</v>
      </c>
      <c r="AQ136" s="7">
        <f t="shared" si="143"/>
        <v>0</v>
      </c>
      <c r="AR136" s="7">
        <f t="shared" si="143"/>
        <v>0</v>
      </c>
      <c r="AS136" s="7">
        <f t="shared" si="143"/>
        <v>0</v>
      </c>
      <c r="AT136" s="7">
        <f t="shared" si="143"/>
        <v>0</v>
      </c>
      <c r="AU136" s="7">
        <f t="shared" si="144"/>
        <v>0</v>
      </c>
      <c r="AV136" s="7">
        <f t="shared" si="145"/>
        <v>0</v>
      </c>
      <c r="AW136" s="7">
        <f t="shared" si="145"/>
        <v>0</v>
      </c>
      <c r="AX136" s="7"/>
      <c r="AY136" s="7">
        <f>SUM($B$136:B136)</f>
        <v>0</v>
      </c>
      <c r="AZ136" s="7">
        <f>SUM($B$136:C136)</f>
        <v>0</v>
      </c>
      <c r="BA136" s="7">
        <f>SUM($B$136:D136)</f>
        <v>0</v>
      </c>
      <c r="BB136" s="7">
        <f>SUM($B$136:E136)</f>
        <v>0</v>
      </c>
      <c r="BC136" s="7">
        <f>SUM($B$136:F136)</f>
        <v>0</v>
      </c>
      <c r="BD136" s="7">
        <f>SUM($B$136:G136)</f>
        <v>0</v>
      </c>
      <c r="BE136" s="7">
        <f>SUM($B$136:H136)</f>
        <v>0</v>
      </c>
      <c r="BF136" s="7">
        <f>SUM($B$136:I136)</f>
        <v>0</v>
      </c>
      <c r="BG136" s="7">
        <f>SUM($B$136:J136)</f>
        <v>0</v>
      </c>
      <c r="BH136" s="7">
        <f>SUM($B$136:K136)</f>
        <v>0</v>
      </c>
      <c r="BI136" s="7">
        <f>SUM($B$136:L136)</f>
        <v>0</v>
      </c>
      <c r="BJ136" s="7">
        <f>SUM($B$136:M136)</f>
        <v>0</v>
      </c>
      <c r="BK136" s="7">
        <f>SUM($B$136:Q136)</f>
        <v>0</v>
      </c>
      <c r="BL136" s="7">
        <f>SUM($B$136:N136)</f>
        <v>0</v>
      </c>
      <c r="BM136" s="7">
        <f>SUM($B$136:O136)</f>
        <v>0</v>
      </c>
      <c r="BN136" s="7">
        <f>SUM($B$136:P136)</f>
        <v>0</v>
      </c>
      <c r="BO136" s="7">
        <f>SUM($B$136:R136)</f>
        <v>0</v>
      </c>
      <c r="BP136" s="7">
        <f>SUM($B$136:S136)</f>
        <v>0</v>
      </c>
      <c r="BQ136" s="7">
        <f>SUM($B$136:T136)</f>
        <v>0</v>
      </c>
      <c r="BR136" s="7">
        <f>SUM($B$136:V136)</f>
        <v>0</v>
      </c>
      <c r="BS136" s="7">
        <f>SUM($BR$130:BR136)</f>
        <v>0</v>
      </c>
      <c r="BT136">
        <f t="shared" si="146"/>
        <v>0</v>
      </c>
      <c r="BU136">
        <f>SUM($BT$130:BT136)</f>
        <v>0</v>
      </c>
    </row>
    <row r="137" spans="1:73" x14ac:dyDescent="0.35">
      <c r="A137" s="63" t="s">
        <v>29</v>
      </c>
      <c r="B137" s="7">
        <f t="shared" ref="B137:T137" si="147">SUM(B130:B136)</f>
        <v>0</v>
      </c>
      <c r="C137" s="7">
        <f t="shared" si="147"/>
        <v>0</v>
      </c>
      <c r="D137" s="7">
        <f t="shared" si="147"/>
        <v>0</v>
      </c>
      <c r="E137" s="7">
        <f t="shared" si="147"/>
        <v>0</v>
      </c>
      <c r="F137" s="7">
        <f t="shared" si="147"/>
        <v>0</v>
      </c>
      <c r="G137" s="7">
        <f t="shared" si="147"/>
        <v>0</v>
      </c>
      <c r="H137" s="7">
        <f t="shared" si="147"/>
        <v>0</v>
      </c>
      <c r="I137" s="7">
        <f t="shared" si="147"/>
        <v>0</v>
      </c>
      <c r="J137" s="7">
        <f t="shared" si="147"/>
        <v>0</v>
      </c>
      <c r="K137" s="7">
        <f>SUM(K130:K136)</f>
        <v>0</v>
      </c>
      <c r="L137" s="7">
        <f t="shared" si="147"/>
        <v>0</v>
      </c>
      <c r="M137" s="7">
        <f t="shared" si="147"/>
        <v>0</v>
      </c>
      <c r="N137" s="7">
        <f t="shared" si="147"/>
        <v>0</v>
      </c>
      <c r="O137" s="7">
        <f t="shared" si="147"/>
        <v>0</v>
      </c>
      <c r="P137" s="7">
        <f t="shared" si="147"/>
        <v>0</v>
      </c>
      <c r="Q137" s="7">
        <f>SUM(Q130:Q136)</f>
        <v>0</v>
      </c>
      <c r="R137" s="7">
        <f t="shared" si="147"/>
        <v>0</v>
      </c>
      <c r="S137" s="7">
        <f t="shared" si="147"/>
        <v>0</v>
      </c>
      <c r="T137" s="7">
        <f t="shared" si="147"/>
        <v>0</v>
      </c>
      <c r="U137" s="7">
        <f t="shared" ref="U137" si="148">SUM(U130:U136)</f>
        <v>0</v>
      </c>
      <c r="V137" s="7">
        <f>SUM(V130:V136)</f>
        <v>0</v>
      </c>
      <c r="W137" s="31">
        <f>SUM(W130:W136)</f>
        <v>0</v>
      </c>
      <c r="X137" s="7"/>
      <c r="Y137" s="7"/>
      <c r="Z137" s="62" t="s">
        <v>175</v>
      </c>
      <c r="AA137" s="195"/>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row>
    <row r="138" spans="1:73" x14ac:dyDescent="0.35">
      <c r="A138" s="63" t="s">
        <v>33</v>
      </c>
      <c r="B138" s="7">
        <f t="shared" ref="B138:U138" si="149">B137-B123</f>
        <v>0</v>
      </c>
      <c r="C138" s="7">
        <f t="shared" si="149"/>
        <v>0</v>
      </c>
      <c r="D138" s="7">
        <f t="shared" si="149"/>
        <v>0</v>
      </c>
      <c r="E138" s="7">
        <f t="shared" si="149"/>
        <v>0</v>
      </c>
      <c r="F138" s="7">
        <f t="shared" si="149"/>
        <v>0</v>
      </c>
      <c r="G138" s="7">
        <f t="shared" si="149"/>
        <v>0</v>
      </c>
      <c r="H138" s="7">
        <f t="shared" si="149"/>
        <v>0</v>
      </c>
      <c r="I138" s="7">
        <f t="shared" si="149"/>
        <v>0</v>
      </c>
      <c r="J138" s="7">
        <f t="shared" si="149"/>
        <v>0</v>
      </c>
      <c r="K138" s="7">
        <f t="shared" si="149"/>
        <v>0</v>
      </c>
      <c r="L138" s="7">
        <f t="shared" si="149"/>
        <v>0</v>
      </c>
      <c r="M138" s="7">
        <f t="shared" si="149"/>
        <v>0</v>
      </c>
      <c r="N138" s="7">
        <f t="shared" si="149"/>
        <v>0</v>
      </c>
      <c r="O138" s="7">
        <f t="shared" si="149"/>
        <v>0</v>
      </c>
      <c r="P138" s="7">
        <f t="shared" si="149"/>
        <v>0</v>
      </c>
      <c r="Q138" s="7">
        <f t="shared" si="149"/>
        <v>0</v>
      </c>
      <c r="R138" s="7">
        <f t="shared" si="149"/>
        <v>0</v>
      </c>
      <c r="S138" s="7">
        <f t="shared" si="149"/>
        <v>0</v>
      </c>
      <c r="T138" s="7">
        <f t="shared" si="149"/>
        <v>0</v>
      </c>
      <c r="U138" s="7">
        <f t="shared" si="149"/>
        <v>0</v>
      </c>
      <c r="V138" s="7">
        <f>V137-V123</f>
        <v>0</v>
      </c>
      <c r="W138" s="7">
        <f>W137-W123</f>
        <v>0</v>
      </c>
      <c r="X138" s="7"/>
      <c r="Y138" s="7"/>
      <c r="Z138" s="62"/>
      <c r="AA138" s="195"/>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row>
    <row r="139" spans="1:73" x14ac:dyDescent="0.35">
      <c r="A139" s="63" t="s">
        <v>110</v>
      </c>
      <c r="B139" s="7" cm="1">
        <f t="array" ref="B139">IF(COUNTIF(AD129:AD135,0)=0,
    LOOKUP(2,1/(AD129:AD135&lt;&gt;""),AD129:AD135),
    MATCH(0,INDEX(AD129:AD135,MAX(ROW(AD129:AD135))-ROW(AD129:AD135)+1),0)-1
)</f>
        <v>0</v>
      </c>
      <c r="C139" s="7" cm="1">
        <f t="array" ref="C139">IF(COUNTIF(AE129:AE135,0)=0,
    LOOKUP(2,1/(AE129:AE135&lt;&gt;""),AE129:AE135),
    MATCH(0,INDEX(AE129:AE135,MAX(ROW(AE129:AE135))-ROW(AE129:AE135)+1),0)-1
)</f>
        <v>0</v>
      </c>
      <c r="D139" s="7" cm="1">
        <f t="array" ref="D139">IF(COUNTIF(AF129:AF135,0)=0,
    LOOKUP(2,1/(AF129:AF135&lt;&gt;""),AF129:AF135),
    MATCH(0,INDEX(AF129:AF135,MAX(ROW(AF129:AF135))-ROW(AF129:AF135)+1),0)-1
)</f>
        <v>0</v>
      </c>
      <c r="E139" s="7" cm="1">
        <f t="array" ref="E139">IF(COUNTIF(AG129:AG135,0)=0,
    LOOKUP(2,1/(AG129:AG135&lt;&gt;""),AG129:AG135),
    MATCH(0,INDEX(AG129:AG135,MAX(ROW(AG129:AG135))-ROW(AG129:AG135)+1),0)-1
)</f>
        <v>0</v>
      </c>
      <c r="F139" s="7" cm="1">
        <f t="array" ref="F139">IF(COUNTIF(AH129:AH135,0)=0,
    LOOKUP(2,1/(AH129:AH135&lt;&gt;""),AH129:AH135),
    MATCH(0,INDEX(AH129:AH135,MAX(ROW(AH129:AH135))-ROW(AH129:AH135)+1),0)-1
)</f>
        <v>0</v>
      </c>
      <c r="G139" s="7" cm="1">
        <f t="array" ref="G139">IF(COUNTIF(AI129:AI135,0)=0,
    LOOKUP(2,1/(AI129:AI135&lt;&gt;""),AI129:AI135),
    MATCH(0,INDEX(AI129:AI135,MAX(ROW(AI129:AI135))-ROW(AI129:AI135)+1),0)-1
)</f>
        <v>0</v>
      </c>
      <c r="H139" s="7" cm="1">
        <f t="array" ref="H139">IF(COUNTIF(AJ129:AJ135,0)=0,
    LOOKUP(2,1/(AJ129:AJ135&lt;&gt;""),AJ129:AJ135),
    MATCH(0,INDEX(AJ129:AJ135,MAX(ROW(AJ129:AJ135))-ROW(AJ129:AJ135)+1),0)-1
)</f>
        <v>0</v>
      </c>
      <c r="I139" s="7" cm="1">
        <f t="array" ref="I139">IF(COUNTIF(AK129:AK135,0)=0,
    LOOKUP(2,1/(AK129:AK135&lt;&gt;""),AK129:AK135),
    MATCH(0,INDEX(AK129:AK135,MAX(ROW(AK129:AK135))-ROW(AK129:AK135)+1),0)-1
)</f>
        <v>0</v>
      </c>
      <c r="J139" s="7" cm="1">
        <f t="array" ref="J139">IF(COUNTIF(AL129:AL135,0)=0,
    LOOKUP(2,1/(AL129:AL135&lt;&gt;""),AL129:AL135),
    MATCH(0,INDEX(AL129:AL135,MAX(ROW(AL129:AL135))-ROW(AL129:AL135)+1),0)-1
)</f>
        <v>0</v>
      </c>
      <c r="K139" s="7" cm="1">
        <f t="array" ref="K139">IF(COUNTIF(AM129:AM135,0)=0,
    LOOKUP(2,1/(AM129:AM135&lt;&gt;""),AM129:AM135),
    MATCH(0,INDEX(AM129:AM135,MAX(ROW(AM129:AM135))-ROW(AM129:AM135)+1),0)-1
)</f>
        <v>0</v>
      </c>
      <c r="L139" s="7" cm="1">
        <f t="array" ref="L139">IF(COUNTIF(AN129:AN135,0)=0,
    LOOKUP(2,1/(AN129:AN135&lt;&gt;""),AN129:AN135),
    MATCH(0,INDEX(AN129:AN135,MAX(ROW(AN129:AN135))-ROW(AN129:AN135)+1),0)-1
)</f>
        <v>0</v>
      </c>
      <c r="M139" s="7" cm="1">
        <f t="array" ref="M139">IF(COUNTIF(AO129:AO135,0)=0,
    LOOKUP(2,1/(AO129:AO135&lt;&gt;""),AO129:AO135),
    MATCH(0,INDEX(AO129:AO135,MAX(ROW(AO129:AO135))-ROW(AO129:AO135)+1),0)-1
)</f>
        <v>0</v>
      </c>
      <c r="N139" s="7" cm="1">
        <f t="array" ref="N139">IF(COUNTIF(AP129:AP135,0)=0,
    LOOKUP(2,1/(AP129:AP135&lt;&gt;""),AP129:AP135),
    MATCH(0,INDEX(AP129:AP135,MAX(ROW(AP129:AP135))-ROW(AP129:AP135)+1),0)-1
)</f>
        <v>0</v>
      </c>
      <c r="O139" s="7" cm="1">
        <f t="array" ref="O139">IF(COUNTIF(AQ129:AQ135,0)=0,
    LOOKUP(2,1/(AQ129:AQ135&lt;&gt;""),AQ129:AQ135),
    MATCH(0,INDEX(AQ129:AQ135,MAX(ROW(AQ129:AQ135))-ROW(AQ129:AQ135)+1),0)-1
)</f>
        <v>0</v>
      </c>
      <c r="P139" s="7" cm="1">
        <f t="array" ref="P139">IF(COUNTIF(AR129:AR135,0)=0,
    LOOKUP(2,1/(AR129:AR135&lt;&gt;""),AR129:AR135),
    MATCH(0,INDEX(AR129:AR135,MAX(ROW(AR129:AR135))-ROW(AR129:AR135)+1),0)-1
)</f>
        <v>0</v>
      </c>
      <c r="Q139" s="7" cm="1">
        <f t="array" ref="Q139">IF(COUNTIF(AS129:AS135,0)=0,
    LOOKUP(2,1/(AS129:AS135&lt;&gt;""),AS129:AS135),
    MATCH(0,INDEX(AS129:AS135,MAX(ROW(AS129:AS135))-ROW(AS129:AS135)+1),0)-1
)</f>
        <v>0</v>
      </c>
      <c r="R139" s="7" cm="1">
        <f t="array" ref="R139">IF(COUNTIF(AT129:AT135,0)=0,
    LOOKUP(2,1/(AT129:AT135&lt;&gt;""),AT129:AT135),
    MATCH(0,INDEX(AT129:AT135,MAX(ROW(AT129:AT135))-ROW(AT129:AT135)+1),0)-1
)</f>
        <v>0</v>
      </c>
      <c r="S139" s="7" cm="1">
        <f t="array" ref="S139">IF(COUNTIF(AU129:AU135,0)=0,
    LOOKUP(2,1/(AU129:AU135&lt;&gt;""),AU129:AU135),
    MATCH(0,INDEX(AU129:AU135,MAX(ROW(AU129:AU135))-ROW(AU129:AU135)+1),0)-1
)</f>
        <v>0</v>
      </c>
      <c r="T139" s="7" cm="1">
        <f t="array" ref="T139">IF(COUNTIF(AV129:AV135,0)=0,
    LOOKUP(2,1/(AV129:AV135&lt;&gt;""),AV129:AV135),
    MATCH(0,INDEX(AV129:AV135,MAX(ROW(AV129:AV135))-ROW(AV129:AV135)+1),0)-1
)</f>
        <v>0</v>
      </c>
      <c r="U139" s="7" cm="1">
        <f t="array" ref="U139">IF(COUNTIF(AW129:AW135,0)=0,
    LOOKUP(2,1/(AW129:AW135&lt;&gt;""),AW129:AW135),
    MATCH(0,INDEX(AW129:AW135,MAX(ROW(AW129:AW135))-ROW(AW129:AW135)+1),0)-1
)</f>
        <v>0</v>
      </c>
      <c r="V139" s="7" cm="1">
        <f t="array" ref="V139">IF(COUNTIF(AY129:AY135,0)=0,
    LOOKUP(2,1/(AY129:AY135&lt;&gt;""),AY129:AY135),
    MATCH(0,INDEX(AY129:AY135,MAX(ROW(AY129:AY135))-ROW(AY129:AY135)+1),0)-1
)</f>
        <v>0</v>
      </c>
      <c r="W139" s="7"/>
      <c r="X139" s="7"/>
      <c r="Y139" s="7"/>
      <c r="Z139" s="62"/>
      <c r="AA139" s="195"/>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row>
    <row r="140" spans="1:73" x14ac:dyDescent="0.35">
      <c r="A140" s="63" t="s">
        <v>99</v>
      </c>
      <c r="B140" s="7">
        <f t="shared" ref="B140:U140" si="150">B137+B126</f>
        <v>2</v>
      </c>
      <c r="C140" s="7">
        <f t="shared" si="150"/>
        <v>0</v>
      </c>
      <c r="D140" s="7">
        <f t="shared" si="150"/>
        <v>5</v>
      </c>
      <c r="E140" s="7">
        <f t="shared" si="150"/>
        <v>9</v>
      </c>
      <c r="F140" s="7">
        <f t="shared" si="150"/>
        <v>4</v>
      </c>
      <c r="G140" s="7">
        <f t="shared" si="150"/>
        <v>0</v>
      </c>
      <c r="H140" s="7">
        <f t="shared" si="150"/>
        <v>0</v>
      </c>
      <c r="I140" s="7">
        <f t="shared" si="150"/>
        <v>3</v>
      </c>
      <c r="J140" s="7">
        <f t="shared" si="150"/>
        <v>0</v>
      </c>
      <c r="K140" s="7">
        <f t="shared" si="150"/>
        <v>0.75</v>
      </c>
      <c r="L140" s="7">
        <f t="shared" si="150"/>
        <v>2</v>
      </c>
      <c r="M140" s="7">
        <f t="shared" si="150"/>
        <v>1</v>
      </c>
      <c r="N140" s="7">
        <f t="shared" si="150"/>
        <v>2.5</v>
      </c>
      <c r="O140" s="7">
        <f t="shared" si="150"/>
        <v>2</v>
      </c>
      <c r="P140" s="7">
        <f t="shared" si="150"/>
        <v>0</v>
      </c>
      <c r="Q140" s="7">
        <f t="shared" si="150"/>
        <v>0</v>
      </c>
      <c r="R140" s="7">
        <f t="shared" si="150"/>
        <v>1</v>
      </c>
      <c r="S140" s="7">
        <f t="shared" si="150"/>
        <v>3</v>
      </c>
      <c r="T140" s="7">
        <f t="shared" si="150"/>
        <v>0</v>
      </c>
      <c r="U140" s="7">
        <f t="shared" si="150"/>
        <v>-1</v>
      </c>
      <c r="V140" s="7">
        <f>V137+V126</f>
        <v>2</v>
      </c>
      <c r="W140" s="7">
        <f>W126+W137</f>
        <v>36.25</v>
      </c>
      <c r="X140" s="7"/>
      <c r="Y140" s="7">
        <f>SUM(Y130:Y136)</f>
        <v>0</v>
      </c>
      <c r="Z140" s="62"/>
      <c r="AA140" s="195"/>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row>
    <row r="141" spans="1:73" x14ac:dyDescent="0.35">
      <c r="A141" s="63" t="s">
        <v>112</v>
      </c>
      <c r="B141" s="174">
        <f>(COUNTIF(B4:B10, "&gt;0")+COUNTIF(B18:B24, "&gt;0")+COUNTIF(B32:B38, "&gt;0")+COUNTIF(B46:B52, "&gt;0")+COUNTIF(B60:B66, "&gt;0")+COUNTIF(B74:B80, "&gt;0")+COUNTIF(B88:B94, "&gt;0")+COUNTIF(B102:B108, "&gt;0")+COUNTIF(B116:B122, "&gt;0") + COUNTIF(B130:B136, "&gt;0")) / 70</f>
        <v>1.4285714285714285E-2</v>
      </c>
      <c r="C141" s="174">
        <f t="shared" ref="C141:O141" si="151">(COUNTIF(C4:C10, "&gt;0")+COUNTIF(C18:C24, "&gt;0")+COUNTIF(C32:C38, "&gt;0")+COUNTIF(C46:C52, "&gt;0")+COUNTIF(C60:C66, "&gt;0")+COUNTIF(C74:C80, "&gt;0")+COUNTIF(C88:C94, "&gt;0")+COUNTIF(C102:C108, "&gt;0")+COUNTIF(C116:C122, "&gt;0") + COUNTIF(C130:C136, "&gt;0")) / 70</f>
        <v>0</v>
      </c>
      <c r="D141" s="174">
        <f t="shared" si="151"/>
        <v>1.4285714285714285E-2</v>
      </c>
      <c r="E141" s="174">
        <f t="shared" si="151"/>
        <v>1.4285714285714285E-2</v>
      </c>
      <c r="F141" s="174">
        <f t="shared" si="151"/>
        <v>1.4285714285714285E-2</v>
      </c>
      <c r="G141" s="174">
        <f t="shared" si="151"/>
        <v>0</v>
      </c>
      <c r="H141" s="174">
        <f t="shared" si="151"/>
        <v>0</v>
      </c>
      <c r="I141" s="174">
        <f t="shared" si="151"/>
        <v>1.4285714285714285E-2</v>
      </c>
      <c r="J141" s="174">
        <f t="shared" si="151"/>
        <v>0</v>
      </c>
      <c r="K141" s="174">
        <f t="shared" si="151"/>
        <v>1.4285714285714285E-2</v>
      </c>
      <c r="L141" s="174">
        <f t="shared" si="151"/>
        <v>1.4285714285714285E-2</v>
      </c>
      <c r="M141" s="174">
        <f t="shared" si="151"/>
        <v>1.4285714285714285E-2</v>
      </c>
      <c r="N141" s="174">
        <f t="shared" si="151"/>
        <v>1.4285714285714285E-2</v>
      </c>
      <c r="O141" s="174">
        <f t="shared" si="151"/>
        <v>1.4285714285714285E-2</v>
      </c>
      <c r="P141" s="7"/>
      <c r="Q141" s="7"/>
      <c r="R141" s="7"/>
      <c r="S141" s="7"/>
      <c r="T141" s="7"/>
      <c r="U141" s="63" t="s">
        <v>31</v>
      </c>
      <c r="V141" s="7">
        <f>SUMIF(B137:V137,"&lt;0",B137:V137)</f>
        <v>0</v>
      </c>
      <c r="W141" s="7">
        <f>SUMIF(B137:V137,"&gt;0",B137:V137)</f>
        <v>0</v>
      </c>
      <c r="Y141" s="7"/>
      <c r="Z141" s="62"/>
      <c r="AA141" s="195"/>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row>
    <row r="142" spans="1:73"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11"/>
      <c r="AA142" s="11"/>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t="s">
        <v>130</v>
      </c>
      <c r="AZ142" s="7"/>
      <c r="BA142" s="7"/>
      <c r="BB142" s="7"/>
      <c r="BC142" s="7"/>
      <c r="BD142" s="7"/>
      <c r="BE142" s="7"/>
      <c r="BF142" s="7"/>
      <c r="BG142" s="7"/>
      <c r="BH142" s="7"/>
      <c r="BI142" s="7"/>
      <c r="BJ142" s="7"/>
      <c r="BK142" s="7"/>
      <c r="BL142" s="7"/>
      <c r="BM142" s="7"/>
      <c r="BN142" s="7"/>
      <c r="BO142" s="7"/>
      <c r="BP142" s="7"/>
      <c r="BQ142" s="7"/>
      <c r="BR142" s="7"/>
      <c r="BS142" s="7"/>
    </row>
    <row r="143" spans="1:73" ht="29" x14ac:dyDescent="0.35">
      <c r="A143" s="106" t="s">
        <v>55</v>
      </c>
      <c r="B143" s="66">
        <f>C129+1</f>
        <v>46097</v>
      </c>
      <c r="C143" s="66">
        <f>B143+6</f>
        <v>46103</v>
      </c>
      <c r="D143" s="7"/>
      <c r="E143" s="7"/>
      <c r="F143" s="7"/>
      <c r="G143" s="7"/>
      <c r="H143" s="7"/>
      <c r="I143" s="7"/>
      <c r="J143" s="7"/>
      <c r="K143" s="7" t="s">
        <v>146</v>
      </c>
      <c r="L143" s="7" t="s">
        <v>146</v>
      </c>
      <c r="M143" s="7" t="s">
        <v>146</v>
      </c>
      <c r="N143" s="7"/>
      <c r="O143" s="7"/>
      <c r="P143" s="7"/>
      <c r="Q143" s="7"/>
      <c r="R143" s="7"/>
      <c r="S143" s="7"/>
      <c r="T143" s="7"/>
      <c r="U143" s="7"/>
      <c r="V143" s="7"/>
      <c r="W143" s="7"/>
      <c r="X143" s="7"/>
      <c r="Y143" s="7"/>
      <c r="Z143" s="11"/>
      <c r="AA143" s="11"/>
      <c r="AB143" s="7"/>
      <c r="AC143" s="7" t="s">
        <v>72</v>
      </c>
      <c r="AD143" s="7"/>
      <c r="AE143" s="7"/>
      <c r="AF143" s="7"/>
      <c r="AG143" s="7"/>
      <c r="AH143" s="7"/>
      <c r="AI143" s="7"/>
      <c r="AJ143" s="7"/>
      <c r="AK143" s="7"/>
      <c r="AL143" s="7"/>
      <c r="AM143" s="7"/>
      <c r="AN143" s="7"/>
      <c r="AO143" s="7"/>
      <c r="AP143" s="7"/>
      <c r="AQ143" s="7"/>
      <c r="AR143" s="7"/>
      <c r="AS143" s="7"/>
      <c r="AT143" s="7"/>
      <c r="AU143" s="7"/>
      <c r="AV143" s="7"/>
      <c r="AW143" s="7"/>
      <c r="AX143" s="7"/>
      <c r="AY143" s="12" t="s">
        <v>1</v>
      </c>
      <c r="AZ143" s="12" t="s">
        <v>2</v>
      </c>
      <c r="BA143" s="12" t="s">
        <v>3</v>
      </c>
      <c r="BB143" s="12" t="s">
        <v>4</v>
      </c>
      <c r="BC143" s="12" t="s">
        <v>5</v>
      </c>
      <c r="BD143" s="12" t="s">
        <v>6</v>
      </c>
      <c r="BE143" s="12" t="s">
        <v>7</v>
      </c>
      <c r="BF143" s="12" t="s">
        <v>8</v>
      </c>
      <c r="BG143" s="12" t="s">
        <v>9</v>
      </c>
      <c r="BH143" s="12" t="s">
        <v>10</v>
      </c>
      <c r="BI143" s="12" t="s">
        <v>11</v>
      </c>
      <c r="BJ143" s="12" t="s">
        <v>12</v>
      </c>
      <c r="BK143" s="12" t="s">
        <v>13</v>
      </c>
      <c r="BL143" s="12" t="s">
        <v>14</v>
      </c>
      <c r="BM143" s="12" t="s">
        <v>15</v>
      </c>
      <c r="BN143" s="12" t="s">
        <v>16</v>
      </c>
      <c r="BO143" s="12" t="s">
        <v>17</v>
      </c>
      <c r="BP143" s="12" t="s">
        <v>18</v>
      </c>
      <c r="BQ143" s="12" t="s">
        <v>19</v>
      </c>
      <c r="BR143" s="12" t="s">
        <v>20</v>
      </c>
      <c r="BS143" s="12">
        <v>0</v>
      </c>
      <c r="BU143">
        <v>0</v>
      </c>
    </row>
    <row r="144" spans="1:73" ht="29" x14ac:dyDescent="0.35">
      <c r="A144" s="84" t="s">
        <v>22</v>
      </c>
      <c r="B144" s="7"/>
      <c r="C144" s="7"/>
      <c r="D144" s="7"/>
      <c r="E144" s="7"/>
      <c r="F144" s="7"/>
      <c r="G144" s="7"/>
      <c r="H144" s="7"/>
      <c r="I144" s="7"/>
      <c r="J144" s="7"/>
      <c r="K144" s="7"/>
      <c r="L144" s="7"/>
      <c r="M144" s="7"/>
      <c r="N144" s="7"/>
      <c r="O144" s="7"/>
      <c r="P144" s="7"/>
      <c r="Q144" s="7"/>
      <c r="R144" s="7"/>
      <c r="S144" s="7"/>
      <c r="T144" s="7"/>
      <c r="U144" s="7"/>
      <c r="V144" s="7"/>
      <c r="W144" s="7">
        <f t="shared" ref="W144:W150" si="152">SUM(B144:V144)</f>
        <v>0</v>
      </c>
      <c r="X144" s="7">
        <f t="shared" ref="X144:X150" si="153">SUM(AD144:AW144)*0.1</f>
        <v>0</v>
      </c>
      <c r="Y144" s="7">
        <f t="shared" ref="Y144:Y150" si="154">W144+X144</f>
        <v>0</v>
      </c>
      <c r="Z144" s="67"/>
      <c r="AA144" s="188" t="s">
        <v>178</v>
      </c>
      <c r="AB144" s="7">
        <f t="shared" ref="AB144:AB150" si="155">AB130+W144</f>
        <v>36.25</v>
      </c>
      <c r="AC144" s="7" t="s">
        <v>22</v>
      </c>
      <c r="AD144" s="7">
        <f t="shared" ref="AD144:AW144" si="156">IF(B144 &gt; 0, IF(AD136&gt; 0, AD136+ 1, 0.1), 0)</f>
        <v>0</v>
      </c>
      <c r="AE144" s="7">
        <f t="shared" si="156"/>
        <v>0</v>
      </c>
      <c r="AF144" s="7">
        <f t="shared" si="156"/>
        <v>0</v>
      </c>
      <c r="AG144" s="7">
        <f t="shared" si="156"/>
        <v>0</v>
      </c>
      <c r="AH144" s="7">
        <f t="shared" si="156"/>
        <v>0</v>
      </c>
      <c r="AI144" s="7">
        <f t="shared" si="156"/>
        <v>0</v>
      </c>
      <c r="AJ144" s="7">
        <f t="shared" si="156"/>
        <v>0</v>
      </c>
      <c r="AK144" s="7">
        <f t="shared" si="156"/>
        <v>0</v>
      </c>
      <c r="AL144" s="7">
        <f t="shared" si="156"/>
        <v>0</v>
      </c>
      <c r="AM144" s="7">
        <f t="shared" si="156"/>
        <v>0</v>
      </c>
      <c r="AN144" s="7">
        <f t="shared" si="156"/>
        <v>0</v>
      </c>
      <c r="AO144" s="7">
        <f t="shared" si="156"/>
        <v>0</v>
      </c>
      <c r="AP144" s="7">
        <f t="shared" si="156"/>
        <v>0</v>
      </c>
      <c r="AQ144" s="7">
        <f t="shared" si="156"/>
        <v>0</v>
      </c>
      <c r="AR144" s="7">
        <f t="shared" si="156"/>
        <v>0</v>
      </c>
      <c r="AS144" s="7">
        <f t="shared" si="156"/>
        <v>0</v>
      </c>
      <c r="AT144" s="7">
        <f t="shared" si="156"/>
        <v>0</v>
      </c>
      <c r="AU144" s="7">
        <f t="shared" si="156"/>
        <v>0</v>
      </c>
      <c r="AV144" s="7">
        <f t="shared" si="156"/>
        <v>0</v>
      </c>
      <c r="AW144" s="7">
        <f t="shared" si="156"/>
        <v>0</v>
      </c>
      <c r="AX144" s="7"/>
      <c r="AY144" s="7">
        <f>SUM($B$144:B144)</f>
        <v>0</v>
      </c>
      <c r="AZ144" s="7">
        <f>SUM($B$144:C144)</f>
        <v>0</v>
      </c>
      <c r="BA144" s="7">
        <f>SUM($B$144:D144)</f>
        <v>0</v>
      </c>
      <c r="BB144" s="7">
        <f>SUM($B$144:E144)</f>
        <v>0</v>
      </c>
      <c r="BC144" s="7">
        <f>SUM($B$144:F144)</f>
        <v>0</v>
      </c>
      <c r="BD144" s="7">
        <f>SUM($B$144:G144)</f>
        <v>0</v>
      </c>
      <c r="BE144" s="7">
        <f>SUM($B$144:H144)</f>
        <v>0</v>
      </c>
      <c r="BF144" s="7">
        <f>SUM($B$144:I144)</f>
        <v>0</v>
      </c>
      <c r="BG144" s="7">
        <f>SUM($B$144:J144)</f>
        <v>0</v>
      </c>
      <c r="BH144" s="7">
        <f>SUM($B$144:K144)</f>
        <v>0</v>
      </c>
      <c r="BI144" s="7">
        <f>SUM($B$144:L144)</f>
        <v>0</v>
      </c>
      <c r="BJ144" s="7">
        <f>SUM($B$144:M144)</f>
        <v>0</v>
      </c>
      <c r="BK144" s="7">
        <f>SUM($B$144:Q144)</f>
        <v>0</v>
      </c>
      <c r="BL144" s="7">
        <f>SUM($B$144:N144)</f>
        <v>0</v>
      </c>
      <c r="BM144" s="7">
        <f>SUM($B$144:O144)</f>
        <v>0</v>
      </c>
      <c r="BN144" s="7">
        <f>SUM($B$144:P144)</f>
        <v>0</v>
      </c>
      <c r="BO144" s="7">
        <f>SUM($B$144:R144)</f>
        <v>0</v>
      </c>
      <c r="BP144" s="7">
        <f>SUM($B$144:S144)</f>
        <v>0</v>
      </c>
      <c r="BQ144" s="7">
        <f>SUM($B$144:T144)</f>
        <v>0</v>
      </c>
      <c r="BR144" s="7">
        <f>SUM($B$144:V144)</f>
        <v>0</v>
      </c>
      <c r="BS144" s="7">
        <f>SUM($BR$144:BR144)</f>
        <v>0</v>
      </c>
      <c r="BT144">
        <f t="shared" si="146"/>
        <v>0</v>
      </c>
      <c r="BU144">
        <f>SUM($BT$144:BT144)</f>
        <v>0</v>
      </c>
    </row>
    <row r="145" spans="1:73" x14ac:dyDescent="0.35">
      <c r="A145" s="95" t="s">
        <v>23</v>
      </c>
      <c r="B145" s="7"/>
      <c r="C145" s="7"/>
      <c r="D145" s="7"/>
      <c r="E145" s="7"/>
      <c r="F145" s="7"/>
      <c r="G145" s="7"/>
      <c r="H145" s="7"/>
      <c r="I145" s="7"/>
      <c r="J145" s="7"/>
      <c r="K145" s="7"/>
      <c r="L145" s="7"/>
      <c r="M145" s="7"/>
      <c r="N145" s="7"/>
      <c r="O145" s="7"/>
      <c r="P145" s="7"/>
      <c r="Q145" s="7"/>
      <c r="R145" s="7"/>
      <c r="S145" s="7"/>
      <c r="T145" s="7"/>
      <c r="U145" s="7"/>
      <c r="V145" s="7"/>
      <c r="W145" s="7">
        <f t="shared" si="152"/>
        <v>0</v>
      </c>
      <c r="X145" s="7">
        <f t="shared" si="153"/>
        <v>0</v>
      </c>
      <c r="Y145" s="7">
        <f t="shared" si="154"/>
        <v>0</v>
      </c>
      <c r="Z145" s="67"/>
      <c r="AA145" s="188"/>
      <c r="AB145" s="7">
        <f t="shared" si="155"/>
        <v>0</v>
      </c>
      <c r="AC145" s="7" t="s">
        <v>23</v>
      </c>
      <c r="AD145" s="7">
        <f t="shared" ref="AD145:AM150" si="157">IF(B145 &gt; 0, IF(AD144 &gt; 0, AD144 + 1, 0.1), 0)</f>
        <v>0</v>
      </c>
      <c r="AE145" s="7">
        <f t="shared" si="157"/>
        <v>0</v>
      </c>
      <c r="AF145" s="7">
        <f t="shared" si="157"/>
        <v>0</v>
      </c>
      <c r="AG145" s="7">
        <f t="shared" si="157"/>
        <v>0</v>
      </c>
      <c r="AH145" s="7">
        <f t="shared" si="157"/>
        <v>0</v>
      </c>
      <c r="AI145" s="7">
        <f t="shared" si="157"/>
        <v>0</v>
      </c>
      <c r="AJ145" s="7">
        <f t="shared" si="157"/>
        <v>0</v>
      </c>
      <c r="AK145" s="7">
        <f t="shared" si="157"/>
        <v>0</v>
      </c>
      <c r="AL145" s="7">
        <f t="shared" si="157"/>
        <v>0</v>
      </c>
      <c r="AM145" s="7">
        <f t="shared" si="157"/>
        <v>0</v>
      </c>
      <c r="AN145" s="7">
        <f t="shared" ref="AN145:AT150" si="158">IF(L145 &gt; 0, IF(AN144 &gt; 0, AN144 + 1, 0.1), 0)</f>
        <v>0</v>
      </c>
      <c r="AO145" s="7">
        <f t="shared" si="158"/>
        <v>0</v>
      </c>
      <c r="AP145" s="7">
        <f t="shared" si="158"/>
        <v>0</v>
      </c>
      <c r="AQ145" s="7">
        <f t="shared" si="158"/>
        <v>0</v>
      </c>
      <c r="AR145" s="7">
        <f t="shared" si="158"/>
        <v>0</v>
      </c>
      <c r="AS145" s="7">
        <f t="shared" si="158"/>
        <v>0</v>
      </c>
      <c r="AT145" s="7">
        <f t="shared" si="158"/>
        <v>0</v>
      </c>
      <c r="AU145" s="7">
        <f t="shared" ref="AU145:AU150" si="159">IF(S145 &gt; 0, IF(AU137&gt; 0, AU137+ 1, 0.1), 0)</f>
        <v>0</v>
      </c>
      <c r="AV145" s="7">
        <f t="shared" ref="AV145:AW150" si="160">IF(T145 &gt; 0, IF(AV144 &gt; 0, AV144 + 1, 0.1), 0)</f>
        <v>0</v>
      </c>
      <c r="AW145" s="7">
        <f t="shared" si="160"/>
        <v>0</v>
      </c>
      <c r="AX145" s="7"/>
      <c r="AY145" s="7">
        <f>SUM($B$145:B145)</f>
        <v>0</v>
      </c>
      <c r="AZ145" s="7">
        <f>SUM($B$145:C145)</f>
        <v>0</v>
      </c>
      <c r="BA145" s="7">
        <f>SUM($B$145:D145)</f>
        <v>0</v>
      </c>
      <c r="BB145" s="7">
        <f>SUM($B$145:E145)</f>
        <v>0</v>
      </c>
      <c r="BC145" s="7">
        <f>SUM($B$145:F145)</f>
        <v>0</v>
      </c>
      <c r="BD145" s="7">
        <f>SUM($B$145:G145)</f>
        <v>0</v>
      </c>
      <c r="BE145" s="7">
        <f>SUM($B$145:H145)</f>
        <v>0</v>
      </c>
      <c r="BF145" s="7">
        <f>SUM($B$145:I145)</f>
        <v>0</v>
      </c>
      <c r="BG145" s="7">
        <f>SUM($B$145:J145)</f>
        <v>0</v>
      </c>
      <c r="BH145" s="7">
        <f>SUM($B$145:K145)</f>
        <v>0</v>
      </c>
      <c r="BI145" s="7">
        <f>SUM($B$145:L145)</f>
        <v>0</v>
      </c>
      <c r="BJ145" s="7">
        <f>SUM($B$145:M145)</f>
        <v>0</v>
      </c>
      <c r="BK145" s="7">
        <f>SUM($B$145:Q145)</f>
        <v>0</v>
      </c>
      <c r="BL145" s="7">
        <f>SUM($B$145:N145)</f>
        <v>0</v>
      </c>
      <c r="BM145" s="7">
        <f>SUM($B$145:O145)</f>
        <v>0</v>
      </c>
      <c r="BN145" s="7">
        <f>SUM($B$145:P145)</f>
        <v>0</v>
      </c>
      <c r="BO145" s="7">
        <f>SUM($B$145:R145)</f>
        <v>0</v>
      </c>
      <c r="BP145" s="7">
        <f>SUM($B$145:S145)</f>
        <v>0</v>
      </c>
      <c r="BQ145" s="7">
        <f>SUM($B$145:T145)</f>
        <v>0</v>
      </c>
      <c r="BR145" s="7">
        <f>SUM($B$145:V145)</f>
        <v>0</v>
      </c>
      <c r="BS145" s="7">
        <f>SUM($BR$144:BR145)</f>
        <v>0</v>
      </c>
      <c r="BT145">
        <f t="shared" si="146"/>
        <v>0</v>
      </c>
      <c r="BU145">
        <f>SUM($BT$144:BT145)</f>
        <v>0</v>
      </c>
    </row>
    <row r="146" spans="1:73" x14ac:dyDescent="0.35">
      <c r="A146" s="118" t="s">
        <v>24</v>
      </c>
      <c r="B146" s="7"/>
      <c r="C146" s="7"/>
      <c r="D146" s="7"/>
      <c r="E146" s="7"/>
      <c r="F146" s="7"/>
      <c r="G146" s="7"/>
      <c r="H146" s="7"/>
      <c r="I146" s="7"/>
      <c r="J146" s="7"/>
      <c r="K146" s="7"/>
      <c r="L146" s="7"/>
      <c r="M146" s="7"/>
      <c r="N146" s="7"/>
      <c r="O146" s="7"/>
      <c r="P146" s="7"/>
      <c r="Q146" s="7"/>
      <c r="R146" s="7"/>
      <c r="S146" s="7"/>
      <c r="T146" s="7"/>
      <c r="U146" s="7"/>
      <c r="V146" s="7"/>
      <c r="W146" s="7">
        <f t="shared" si="152"/>
        <v>0</v>
      </c>
      <c r="X146" s="7">
        <f t="shared" si="153"/>
        <v>0</v>
      </c>
      <c r="Y146" s="7">
        <f t="shared" si="154"/>
        <v>0</v>
      </c>
      <c r="Z146" s="67"/>
      <c r="AA146" s="188"/>
      <c r="AB146" s="7">
        <f t="shared" si="155"/>
        <v>0</v>
      </c>
      <c r="AC146" s="7" t="s">
        <v>24</v>
      </c>
      <c r="AD146" s="7">
        <f t="shared" si="157"/>
        <v>0</v>
      </c>
      <c r="AE146" s="7">
        <f t="shared" si="157"/>
        <v>0</v>
      </c>
      <c r="AF146" s="7">
        <f t="shared" si="157"/>
        <v>0</v>
      </c>
      <c r="AG146" s="7">
        <f t="shared" si="157"/>
        <v>0</v>
      </c>
      <c r="AH146" s="7">
        <f t="shared" si="157"/>
        <v>0</v>
      </c>
      <c r="AI146" s="7">
        <f t="shared" si="157"/>
        <v>0</v>
      </c>
      <c r="AJ146" s="7">
        <f t="shared" si="157"/>
        <v>0</v>
      </c>
      <c r="AK146" s="7">
        <f t="shared" si="157"/>
        <v>0</v>
      </c>
      <c r="AL146" s="7">
        <f t="shared" si="157"/>
        <v>0</v>
      </c>
      <c r="AM146" s="7">
        <f t="shared" si="157"/>
        <v>0</v>
      </c>
      <c r="AN146" s="7">
        <f t="shared" si="158"/>
        <v>0</v>
      </c>
      <c r="AO146" s="7">
        <f t="shared" si="158"/>
        <v>0</v>
      </c>
      <c r="AP146" s="7">
        <f t="shared" si="158"/>
        <v>0</v>
      </c>
      <c r="AQ146" s="7">
        <f t="shared" si="158"/>
        <v>0</v>
      </c>
      <c r="AR146" s="7">
        <f t="shared" si="158"/>
        <v>0</v>
      </c>
      <c r="AS146" s="7">
        <f t="shared" si="158"/>
        <v>0</v>
      </c>
      <c r="AT146" s="7">
        <f t="shared" si="158"/>
        <v>0</v>
      </c>
      <c r="AU146" s="7">
        <f t="shared" si="159"/>
        <v>0</v>
      </c>
      <c r="AV146" s="7">
        <f t="shared" si="160"/>
        <v>0</v>
      </c>
      <c r="AW146" s="7">
        <f t="shared" si="160"/>
        <v>0</v>
      </c>
      <c r="AX146" s="7"/>
      <c r="AY146" s="7">
        <f>SUM($B$146:B146)</f>
        <v>0</v>
      </c>
      <c r="AZ146" s="7">
        <f>SUM($B$146:C146)</f>
        <v>0</v>
      </c>
      <c r="BA146" s="7">
        <f>SUM($B$146:D146)</f>
        <v>0</v>
      </c>
      <c r="BB146" s="7">
        <f>SUM($B$146:E146)</f>
        <v>0</v>
      </c>
      <c r="BC146" s="7">
        <f>SUM($B$146:F146)</f>
        <v>0</v>
      </c>
      <c r="BD146" s="7">
        <f>SUM($B$146:G146)</f>
        <v>0</v>
      </c>
      <c r="BE146" s="7">
        <f>SUM($B$146:H146)</f>
        <v>0</v>
      </c>
      <c r="BF146" s="7">
        <f>SUM($B$146:I146)</f>
        <v>0</v>
      </c>
      <c r="BG146" s="7">
        <f>SUM($B$146:J146)</f>
        <v>0</v>
      </c>
      <c r="BH146" s="7">
        <f>SUM($B$146:K146)</f>
        <v>0</v>
      </c>
      <c r="BI146" s="7">
        <f>SUM($B$146:L146)</f>
        <v>0</v>
      </c>
      <c r="BJ146" s="7">
        <f>SUM($B$146:M146)</f>
        <v>0</v>
      </c>
      <c r="BK146" s="7">
        <f>SUM($B$146:Q146)</f>
        <v>0</v>
      </c>
      <c r="BL146" s="7">
        <f>SUM($B$146:N146)</f>
        <v>0</v>
      </c>
      <c r="BM146" s="7">
        <f>SUM($B$146:O146)</f>
        <v>0</v>
      </c>
      <c r="BN146" s="7">
        <f>SUM($B$146:P146)</f>
        <v>0</v>
      </c>
      <c r="BO146" s="7">
        <f>SUM($B$146:R146)</f>
        <v>0</v>
      </c>
      <c r="BP146" s="7">
        <f>SUM($B$146:S146)</f>
        <v>0</v>
      </c>
      <c r="BQ146" s="7">
        <f>SUM($B$146:T146)</f>
        <v>0</v>
      </c>
      <c r="BR146" s="7">
        <f>SUM($B$146:V146)</f>
        <v>0</v>
      </c>
      <c r="BS146" s="7">
        <f>SUM($BR$144:BR146)</f>
        <v>0</v>
      </c>
      <c r="BT146">
        <f t="shared" si="146"/>
        <v>0</v>
      </c>
      <c r="BU146">
        <f>SUM($BT$144:BT146)</f>
        <v>0</v>
      </c>
    </row>
    <row r="147" spans="1:73" x14ac:dyDescent="0.35">
      <c r="A147" s="129" t="s">
        <v>25</v>
      </c>
      <c r="B147" s="7"/>
      <c r="C147" s="7"/>
      <c r="D147" s="7"/>
      <c r="E147" s="7"/>
      <c r="F147" s="7"/>
      <c r="G147" s="7"/>
      <c r="H147" s="7"/>
      <c r="I147" s="7"/>
      <c r="J147" s="7"/>
      <c r="K147" s="7"/>
      <c r="L147" s="7"/>
      <c r="M147" s="7"/>
      <c r="N147" s="7"/>
      <c r="O147" s="7"/>
      <c r="P147" s="7"/>
      <c r="Q147" s="7"/>
      <c r="R147" s="7"/>
      <c r="S147" s="7"/>
      <c r="T147" s="7"/>
      <c r="U147" s="7"/>
      <c r="V147" s="7"/>
      <c r="W147" s="7">
        <f t="shared" si="152"/>
        <v>0</v>
      </c>
      <c r="X147" s="7">
        <f t="shared" si="153"/>
        <v>0</v>
      </c>
      <c r="Y147" s="7">
        <f t="shared" si="154"/>
        <v>0</v>
      </c>
      <c r="Z147" s="67"/>
      <c r="AA147" s="188"/>
      <c r="AB147" s="7">
        <f t="shared" si="155"/>
        <v>0</v>
      </c>
      <c r="AC147" s="7" t="s">
        <v>25</v>
      </c>
      <c r="AD147" s="7">
        <f t="shared" si="157"/>
        <v>0</v>
      </c>
      <c r="AE147" s="7">
        <f t="shared" si="157"/>
        <v>0</v>
      </c>
      <c r="AF147" s="7">
        <f t="shared" si="157"/>
        <v>0</v>
      </c>
      <c r="AG147" s="7">
        <f t="shared" si="157"/>
        <v>0</v>
      </c>
      <c r="AH147" s="7">
        <f t="shared" si="157"/>
        <v>0</v>
      </c>
      <c r="AI147" s="7">
        <f t="shared" si="157"/>
        <v>0</v>
      </c>
      <c r="AJ147" s="7">
        <f t="shared" si="157"/>
        <v>0</v>
      </c>
      <c r="AK147" s="7">
        <f t="shared" si="157"/>
        <v>0</v>
      </c>
      <c r="AL147" s="7">
        <f t="shared" si="157"/>
        <v>0</v>
      </c>
      <c r="AM147" s="7">
        <f t="shared" si="157"/>
        <v>0</v>
      </c>
      <c r="AN147" s="7">
        <f t="shared" si="158"/>
        <v>0</v>
      </c>
      <c r="AO147" s="7">
        <f t="shared" si="158"/>
        <v>0</v>
      </c>
      <c r="AP147" s="7">
        <f t="shared" si="158"/>
        <v>0</v>
      </c>
      <c r="AQ147" s="7">
        <f t="shared" si="158"/>
        <v>0</v>
      </c>
      <c r="AR147" s="7">
        <f t="shared" si="158"/>
        <v>0</v>
      </c>
      <c r="AS147" s="7">
        <f t="shared" si="158"/>
        <v>0</v>
      </c>
      <c r="AT147" s="7">
        <f t="shared" si="158"/>
        <v>0</v>
      </c>
      <c r="AU147" s="7">
        <f t="shared" si="159"/>
        <v>0</v>
      </c>
      <c r="AV147" s="7">
        <f t="shared" si="160"/>
        <v>0</v>
      </c>
      <c r="AW147" s="7">
        <f t="shared" si="160"/>
        <v>0</v>
      </c>
      <c r="AX147" s="7"/>
      <c r="AY147" s="7">
        <f>SUM($B$147:B147)</f>
        <v>0</v>
      </c>
      <c r="AZ147" s="7">
        <f>SUM($B$147:C147)</f>
        <v>0</v>
      </c>
      <c r="BA147" s="7">
        <f>SUM($B$147:D147)</f>
        <v>0</v>
      </c>
      <c r="BB147" s="7">
        <f>SUM($B$147:E147)</f>
        <v>0</v>
      </c>
      <c r="BC147" s="7">
        <f>SUM($B$147:F147)</f>
        <v>0</v>
      </c>
      <c r="BD147" s="7">
        <f>SUM($B$147:G147)</f>
        <v>0</v>
      </c>
      <c r="BE147" s="7">
        <f>SUM($B$147:H147)</f>
        <v>0</v>
      </c>
      <c r="BF147" s="7">
        <f>SUM($B$147:I147)</f>
        <v>0</v>
      </c>
      <c r="BG147" s="7">
        <f>SUM($B$147:J147)</f>
        <v>0</v>
      </c>
      <c r="BH147" s="7">
        <f>SUM($B$147:K147)</f>
        <v>0</v>
      </c>
      <c r="BI147" s="7">
        <f>SUM($B$147:L147)</f>
        <v>0</v>
      </c>
      <c r="BJ147" s="7">
        <f>SUM($B$147:M147)</f>
        <v>0</v>
      </c>
      <c r="BK147" s="7">
        <f>SUM($B$147:Q147)</f>
        <v>0</v>
      </c>
      <c r="BL147" s="7">
        <f>SUM($B$147:N147)</f>
        <v>0</v>
      </c>
      <c r="BM147" s="7">
        <f>SUM($B$147:O147)</f>
        <v>0</v>
      </c>
      <c r="BN147" s="7">
        <f>SUM($B$147:P147)</f>
        <v>0</v>
      </c>
      <c r="BO147" s="7">
        <f>SUM($B$147:R147)</f>
        <v>0</v>
      </c>
      <c r="BP147" s="7">
        <f>SUM($B$147:S147)</f>
        <v>0</v>
      </c>
      <c r="BQ147" s="7">
        <f>SUM($B$147:T147)</f>
        <v>0</v>
      </c>
      <c r="BR147" s="7">
        <f>SUM($B$147:V147)</f>
        <v>0</v>
      </c>
      <c r="BS147" s="7">
        <f>SUM($BR$144:BR147)</f>
        <v>0</v>
      </c>
      <c r="BT147">
        <f t="shared" si="146"/>
        <v>0</v>
      </c>
      <c r="BU147">
        <f>SUM($BT$144:BT147)</f>
        <v>0</v>
      </c>
    </row>
    <row r="148" spans="1:73" x14ac:dyDescent="0.35">
      <c r="A148" s="140" t="s">
        <v>26</v>
      </c>
      <c r="B148" s="7"/>
      <c r="C148" s="7"/>
      <c r="D148" s="7"/>
      <c r="E148" s="7"/>
      <c r="F148" s="7"/>
      <c r="G148" s="7"/>
      <c r="H148" s="7"/>
      <c r="I148" s="7"/>
      <c r="J148" s="7"/>
      <c r="K148" s="7"/>
      <c r="L148" s="7"/>
      <c r="M148" s="7"/>
      <c r="N148" s="7"/>
      <c r="O148" s="7"/>
      <c r="P148" s="7"/>
      <c r="Q148" s="7"/>
      <c r="R148" s="7"/>
      <c r="S148" s="7"/>
      <c r="T148" s="7"/>
      <c r="U148" s="7"/>
      <c r="V148" s="7"/>
      <c r="W148" s="7">
        <f t="shared" si="152"/>
        <v>0</v>
      </c>
      <c r="X148" s="7">
        <f t="shared" si="153"/>
        <v>0</v>
      </c>
      <c r="Y148" s="7">
        <f t="shared" si="154"/>
        <v>0</v>
      </c>
      <c r="Z148" s="67"/>
      <c r="AA148" s="188"/>
      <c r="AB148" s="7">
        <f t="shared" si="155"/>
        <v>0</v>
      </c>
      <c r="AC148" s="7" t="s">
        <v>26</v>
      </c>
      <c r="AD148" s="7">
        <f t="shared" si="157"/>
        <v>0</v>
      </c>
      <c r="AE148" s="7">
        <f t="shared" si="157"/>
        <v>0</v>
      </c>
      <c r="AF148" s="7">
        <f t="shared" si="157"/>
        <v>0</v>
      </c>
      <c r="AG148" s="7">
        <f t="shared" si="157"/>
        <v>0</v>
      </c>
      <c r="AH148" s="7">
        <f t="shared" si="157"/>
        <v>0</v>
      </c>
      <c r="AI148" s="7">
        <f t="shared" si="157"/>
        <v>0</v>
      </c>
      <c r="AJ148" s="7">
        <f t="shared" si="157"/>
        <v>0</v>
      </c>
      <c r="AK148" s="7">
        <f t="shared" si="157"/>
        <v>0</v>
      </c>
      <c r="AL148" s="7">
        <f t="shared" si="157"/>
        <v>0</v>
      </c>
      <c r="AM148" s="7">
        <f t="shared" si="157"/>
        <v>0</v>
      </c>
      <c r="AN148" s="7">
        <f t="shared" si="158"/>
        <v>0</v>
      </c>
      <c r="AO148" s="7">
        <f t="shared" si="158"/>
        <v>0</v>
      </c>
      <c r="AP148" s="7">
        <f t="shared" si="158"/>
        <v>0</v>
      </c>
      <c r="AQ148" s="7">
        <f t="shared" si="158"/>
        <v>0</v>
      </c>
      <c r="AR148" s="7">
        <f t="shared" si="158"/>
        <v>0</v>
      </c>
      <c r="AS148" s="7">
        <f t="shared" si="158"/>
        <v>0</v>
      </c>
      <c r="AT148" s="7">
        <f t="shared" si="158"/>
        <v>0</v>
      </c>
      <c r="AU148" s="7">
        <f t="shared" si="159"/>
        <v>0</v>
      </c>
      <c r="AV148" s="7">
        <f t="shared" si="160"/>
        <v>0</v>
      </c>
      <c r="AW148" s="7">
        <f t="shared" si="160"/>
        <v>0</v>
      </c>
      <c r="AX148" s="7"/>
      <c r="AY148" s="7">
        <f>SUM($B$148:B148)</f>
        <v>0</v>
      </c>
      <c r="AZ148" s="7">
        <f>SUM($B$148:C148)</f>
        <v>0</v>
      </c>
      <c r="BA148" s="7">
        <f>SUM($B$148:D148)</f>
        <v>0</v>
      </c>
      <c r="BB148" s="7">
        <f>SUM($B$148:E148)</f>
        <v>0</v>
      </c>
      <c r="BC148" s="7">
        <f>SUM($B$148:F148)</f>
        <v>0</v>
      </c>
      <c r="BD148" s="7">
        <f>SUM($B$148:G148)</f>
        <v>0</v>
      </c>
      <c r="BE148" s="7">
        <f>SUM($B$148:H148)</f>
        <v>0</v>
      </c>
      <c r="BF148" s="7">
        <f>SUM($B$148:I148)</f>
        <v>0</v>
      </c>
      <c r="BG148" s="7">
        <f>SUM($B$148:J148)</f>
        <v>0</v>
      </c>
      <c r="BH148" s="7">
        <f>SUM($B$148:K148)</f>
        <v>0</v>
      </c>
      <c r="BI148" s="7">
        <f>SUM($B$148:L148)</f>
        <v>0</v>
      </c>
      <c r="BJ148" s="7">
        <f>SUM($B$148:M148)</f>
        <v>0</v>
      </c>
      <c r="BK148" s="7">
        <f>SUM($B$148:Q148)</f>
        <v>0</v>
      </c>
      <c r="BL148" s="7">
        <f>SUM($B$148:N148)</f>
        <v>0</v>
      </c>
      <c r="BM148" s="7">
        <f>SUM($B$148:O148)</f>
        <v>0</v>
      </c>
      <c r="BN148" s="7">
        <f>SUM($B$148:P148)</f>
        <v>0</v>
      </c>
      <c r="BO148" s="7">
        <f>SUM($B$148:R148)</f>
        <v>0</v>
      </c>
      <c r="BP148" s="7">
        <f>SUM($B$148:S148)</f>
        <v>0</v>
      </c>
      <c r="BQ148" s="7">
        <f>SUM($B$148:T148)</f>
        <v>0</v>
      </c>
      <c r="BR148" s="7">
        <f>SUM($B$148:V148)</f>
        <v>0</v>
      </c>
      <c r="BS148" s="7">
        <f>SUM($BR$144:BR148)</f>
        <v>0</v>
      </c>
      <c r="BT148">
        <f t="shared" si="146"/>
        <v>0</v>
      </c>
      <c r="BU148">
        <f>SUM($BT$144:BT148)</f>
        <v>0</v>
      </c>
    </row>
    <row r="149" spans="1:73" x14ac:dyDescent="0.35">
      <c r="A149" s="151" t="s">
        <v>27</v>
      </c>
      <c r="B149" s="7"/>
      <c r="C149" s="7"/>
      <c r="D149" s="7"/>
      <c r="E149" s="7"/>
      <c r="F149" s="7"/>
      <c r="G149" s="7"/>
      <c r="H149" s="7"/>
      <c r="I149" s="7"/>
      <c r="J149" s="7"/>
      <c r="K149" s="7"/>
      <c r="L149" s="7"/>
      <c r="M149" s="7"/>
      <c r="N149" s="7"/>
      <c r="O149" s="7"/>
      <c r="P149" s="7"/>
      <c r="Q149" s="7"/>
      <c r="R149" s="7"/>
      <c r="S149" s="7"/>
      <c r="T149" s="7"/>
      <c r="U149" s="7"/>
      <c r="V149" s="7"/>
      <c r="W149" s="7">
        <f t="shared" si="152"/>
        <v>0</v>
      </c>
      <c r="X149" s="7">
        <f t="shared" si="153"/>
        <v>0</v>
      </c>
      <c r="Y149" s="7">
        <f t="shared" si="154"/>
        <v>0</v>
      </c>
      <c r="Z149" s="67"/>
      <c r="AA149" s="188"/>
      <c r="AB149" s="7">
        <f t="shared" si="155"/>
        <v>0</v>
      </c>
      <c r="AC149" s="7" t="s">
        <v>27</v>
      </c>
      <c r="AD149" s="7">
        <f t="shared" si="157"/>
        <v>0</v>
      </c>
      <c r="AE149" s="7">
        <f t="shared" si="157"/>
        <v>0</v>
      </c>
      <c r="AF149" s="7">
        <f t="shared" si="157"/>
        <v>0</v>
      </c>
      <c r="AG149" s="7">
        <f t="shared" si="157"/>
        <v>0</v>
      </c>
      <c r="AH149" s="7">
        <f t="shared" si="157"/>
        <v>0</v>
      </c>
      <c r="AI149" s="7">
        <f t="shared" si="157"/>
        <v>0</v>
      </c>
      <c r="AJ149" s="7">
        <f t="shared" si="157"/>
        <v>0</v>
      </c>
      <c r="AK149" s="7">
        <f t="shared" si="157"/>
        <v>0</v>
      </c>
      <c r="AL149" s="7">
        <f t="shared" si="157"/>
        <v>0</v>
      </c>
      <c r="AM149" s="7">
        <f t="shared" si="157"/>
        <v>0</v>
      </c>
      <c r="AN149" s="7">
        <f t="shared" si="158"/>
        <v>0</v>
      </c>
      <c r="AO149" s="7">
        <f t="shared" si="158"/>
        <v>0</v>
      </c>
      <c r="AP149" s="7">
        <f t="shared" si="158"/>
        <v>0</v>
      </c>
      <c r="AQ149" s="7">
        <f t="shared" si="158"/>
        <v>0</v>
      </c>
      <c r="AR149" s="7">
        <f t="shared" si="158"/>
        <v>0</v>
      </c>
      <c r="AS149" s="7">
        <f t="shared" si="158"/>
        <v>0</v>
      </c>
      <c r="AT149" s="7">
        <f t="shared" si="158"/>
        <v>0</v>
      </c>
      <c r="AU149" s="7">
        <f t="shared" si="159"/>
        <v>0</v>
      </c>
      <c r="AV149" s="7">
        <f t="shared" si="160"/>
        <v>0</v>
      </c>
      <c r="AW149" s="7">
        <f t="shared" si="160"/>
        <v>0</v>
      </c>
      <c r="AX149" s="7"/>
      <c r="AY149" s="7">
        <f>SUM($B$149:B149)</f>
        <v>0</v>
      </c>
      <c r="AZ149" s="7">
        <f>SUM($B$149:C149)</f>
        <v>0</v>
      </c>
      <c r="BA149" s="7">
        <f>SUM($B$149:D149)</f>
        <v>0</v>
      </c>
      <c r="BB149" s="7">
        <f>SUM($B$149:E149)</f>
        <v>0</v>
      </c>
      <c r="BC149" s="7">
        <f>SUM($B$149:F149)</f>
        <v>0</v>
      </c>
      <c r="BD149" s="7">
        <f>SUM($B$149:G149)</f>
        <v>0</v>
      </c>
      <c r="BE149" s="7">
        <f>SUM($B$149:H149)</f>
        <v>0</v>
      </c>
      <c r="BF149" s="7">
        <f>SUM($B$149:I149)</f>
        <v>0</v>
      </c>
      <c r="BG149" s="7">
        <f>SUM($B$149:J149)</f>
        <v>0</v>
      </c>
      <c r="BH149" s="7">
        <f>SUM($B$149:K149)</f>
        <v>0</v>
      </c>
      <c r="BI149" s="7">
        <f>SUM($B$149:L149)</f>
        <v>0</v>
      </c>
      <c r="BJ149" s="7">
        <f>SUM($B$149:M149)</f>
        <v>0</v>
      </c>
      <c r="BK149" s="7">
        <f>SUM($B$149:Q149)</f>
        <v>0</v>
      </c>
      <c r="BL149" s="7">
        <f>SUM($B$149:N149)</f>
        <v>0</v>
      </c>
      <c r="BM149" s="7">
        <f>SUM($B$149:O149)</f>
        <v>0</v>
      </c>
      <c r="BN149" s="7">
        <f>SUM($B$149:P149)</f>
        <v>0</v>
      </c>
      <c r="BO149" s="7">
        <f>SUM($B$149:R149)</f>
        <v>0</v>
      </c>
      <c r="BP149" s="7">
        <f>SUM($B$149:S149)</f>
        <v>0</v>
      </c>
      <c r="BQ149" s="7">
        <f>SUM($B$149:T149)</f>
        <v>0</v>
      </c>
      <c r="BR149" s="7">
        <f>SUM($B$149:V149)</f>
        <v>0</v>
      </c>
      <c r="BS149" s="7">
        <f>SUM($BR$144:BR149)</f>
        <v>0</v>
      </c>
      <c r="BT149">
        <f t="shared" si="146"/>
        <v>0</v>
      </c>
      <c r="BU149">
        <f>SUM($BT$144:BT149)</f>
        <v>0</v>
      </c>
    </row>
    <row r="150" spans="1:73" x14ac:dyDescent="0.35">
      <c r="A150" s="161" t="s">
        <v>28</v>
      </c>
      <c r="B150" s="7"/>
      <c r="C150" s="7"/>
      <c r="D150" s="7"/>
      <c r="E150" s="7"/>
      <c r="F150" s="7"/>
      <c r="G150" s="7"/>
      <c r="H150" s="7"/>
      <c r="I150" s="7"/>
      <c r="J150" s="7"/>
      <c r="K150" s="7"/>
      <c r="L150" s="7"/>
      <c r="M150" s="7"/>
      <c r="N150" s="7"/>
      <c r="O150" s="7"/>
      <c r="P150" s="7"/>
      <c r="Q150" s="7"/>
      <c r="R150" s="7"/>
      <c r="S150" s="7"/>
      <c r="T150" s="7"/>
      <c r="U150" s="7"/>
      <c r="V150" s="7"/>
      <c r="W150" s="7">
        <f t="shared" si="152"/>
        <v>0</v>
      </c>
      <c r="X150" s="7">
        <f t="shared" si="153"/>
        <v>0</v>
      </c>
      <c r="Y150" s="7">
        <f t="shared" si="154"/>
        <v>0</v>
      </c>
      <c r="Z150" s="67"/>
      <c r="AA150" s="188"/>
      <c r="AB150" s="7">
        <f t="shared" si="155"/>
        <v>0</v>
      </c>
      <c r="AC150" s="7" t="s">
        <v>28</v>
      </c>
      <c r="AD150" s="7">
        <f t="shared" si="157"/>
        <v>0</v>
      </c>
      <c r="AE150" s="7">
        <f t="shared" si="157"/>
        <v>0</v>
      </c>
      <c r="AF150" s="7">
        <f t="shared" si="157"/>
        <v>0</v>
      </c>
      <c r="AG150" s="7">
        <f t="shared" si="157"/>
        <v>0</v>
      </c>
      <c r="AH150" s="7">
        <f t="shared" si="157"/>
        <v>0</v>
      </c>
      <c r="AI150" s="7">
        <f t="shared" si="157"/>
        <v>0</v>
      </c>
      <c r="AJ150" s="7">
        <f t="shared" si="157"/>
        <v>0</v>
      </c>
      <c r="AK150" s="7">
        <f t="shared" si="157"/>
        <v>0</v>
      </c>
      <c r="AL150" s="7">
        <f t="shared" si="157"/>
        <v>0</v>
      </c>
      <c r="AM150" s="7">
        <f t="shared" si="157"/>
        <v>0</v>
      </c>
      <c r="AN150" s="7">
        <f t="shared" si="158"/>
        <v>0</v>
      </c>
      <c r="AO150" s="7">
        <f t="shared" si="158"/>
        <v>0</v>
      </c>
      <c r="AP150" s="7">
        <f t="shared" si="158"/>
        <v>0</v>
      </c>
      <c r="AQ150" s="7">
        <f t="shared" si="158"/>
        <v>0</v>
      </c>
      <c r="AR150" s="7">
        <f t="shared" si="158"/>
        <v>0</v>
      </c>
      <c r="AS150" s="7">
        <f t="shared" si="158"/>
        <v>0</v>
      </c>
      <c r="AT150" s="7">
        <f t="shared" si="158"/>
        <v>0</v>
      </c>
      <c r="AU150" s="7">
        <f t="shared" si="159"/>
        <v>0</v>
      </c>
      <c r="AV150" s="7">
        <f t="shared" si="160"/>
        <v>0</v>
      </c>
      <c r="AW150" s="7">
        <f t="shared" si="160"/>
        <v>0</v>
      </c>
      <c r="AX150" s="7"/>
      <c r="AY150" s="7">
        <f>SUM($B$150:B150)</f>
        <v>0</v>
      </c>
      <c r="AZ150" s="7">
        <f>SUM($B$150:C150)</f>
        <v>0</v>
      </c>
      <c r="BA150" s="7">
        <f>SUM($B$150:D150)</f>
        <v>0</v>
      </c>
      <c r="BB150" s="7">
        <f>SUM($B$150:E150)</f>
        <v>0</v>
      </c>
      <c r="BC150" s="7">
        <f>SUM($B$150:F150)</f>
        <v>0</v>
      </c>
      <c r="BD150" s="7">
        <f>SUM($B$150:G150)</f>
        <v>0</v>
      </c>
      <c r="BE150" s="7">
        <f>SUM($B$150:H150)</f>
        <v>0</v>
      </c>
      <c r="BF150" s="7">
        <f>SUM($B$150:I150)</f>
        <v>0</v>
      </c>
      <c r="BG150" s="7">
        <f>SUM($B$150:J150)</f>
        <v>0</v>
      </c>
      <c r="BH150" s="7">
        <f>SUM($B$150:K150)</f>
        <v>0</v>
      </c>
      <c r="BI150" s="7">
        <f>SUM($B$150:L150)</f>
        <v>0</v>
      </c>
      <c r="BJ150" s="7">
        <f>SUM($B$150:M150)</f>
        <v>0</v>
      </c>
      <c r="BK150" s="7">
        <f>SUM($B$150:Q150)</f>
        <v>0</v>
      </c>
      <c r="BL150" s="7">
        <f>SUM($B$150:N150)</f>
        <v>0</v>
      </c>
      <c r="BM150" s="7">
        <f>SUM($B$150:O150)</f>
        <v>0</v>
      </c>
      <c r="BN150" s="7">
        <f>SUM($B$150:P150)</f>
        <v>0</v>
      </c>
      <c r="BO150" s="7">
        <f>SUM($B$150:R150)</f>
        <v>0</v>
      </c>
      <c r="BP150" s="7">
        <f>SUM($B$150:S150)</f>
        <v>0</v>
      </c>
      <c r="BQ150" s="7">
        <f>SUM($B$150:T150)</f>
        <v>0</v>
      </c>
      <c r="BR150" s="7">
        <f>SUM($B$150:V150)</f>
        <v>0</v>
      </c>
      <c r="BS150" s="7">
        <f>SUM($BR$144:BR150)</f>
        <v>0</v>
      </c>
      <c r="BT150">
        <f t="shared" si="146"/>
        <v>0</v>
      </c>
      <c r="BU150">
        <f>SUM($BT$144:BT150)</f>
        <v>0</v>
      </c>
    </row>
    <row r="151" spans="1:73" x14ac:dyDescent="0.35">
      <c r="A151" s="65" t="s">
        <v>29</v>
      </c>
      <c r="B151" s="7">
        <f t="shared" ref="B151:T151" si="161">SUM(B144:B150)</f>
        <v>0</v>
      </c>
      <c r="C151" s="7">
        <f t="shared" si="161"/>
        <v>0</v>
      </c>
      <c r="D151" s="7">
        <f t="shared" si="161"/>
        <v>0</v>
      </c>
      <c r="E151" s="7">
        <f t="shared" si="161"/>
        <v>0</v>
      </c>
      <c r="F151" s="7">
        <f t="shared" si="161"/>
        <v>0</v>
      </c>
      <c r="G151" s="7">
        <f t="shared" si="161"/>
        <v>0</v>
      </c>
      <c r="H151" s="7">
        <f t="shared" si="161"/>
        <v>0</v>
      </c>
      <c r="I151" s="7">
        <f t="shared" si="161"/>
        <v>0</v>
      </c>
      <c r="J151" s="7">
        <f t="shared" si="161"/>
        <v>0</v>
      </c>
      <c r="K151" s="7">
        <f>SUM(K144:K150)</f>
        <v>0</v>
      </c>
      <c r="L151" s="7">
        <f t="shared" si="161"/>
        <v>0</v>
      </c>
      <c r="M151" s="7">
        <f t="shared" si="161"/>
        <v>0</v>
      </c>
      <c r="N151" s="7">
        <f t="shared" si="161"/>
        <v>0</v>
      </c>
      <c r="O151" s="7">
        <f t="shared" si="161"/>
        <v>0</v>
      </c>
      <c r="P151" s="7">
        <f t="shared" si="161"/>
        <v>0</v>
      </c>
      <c r="Q151" s="7">
        <f>SUM(Q144:Q150)</f>
        <v>0</v>
      </c>
      <c r="R151" s="7">
        <f t="shared" si="161"/>
        <v>0</v>
      </c>
      <c r="S151" s="7">
        <f t="shared" si="161"/>
        <v>0</v>
      </c>
      <c r="T151" s="7">
        <f t="shared" si="161"/>
        <v>0</v>
      </c>
      <c r="U151" s="7">
        <f t="shared" ref="U151" si="162">SUM(U144:U150)</f>
        <v>0</v>
      </c>
      <c r="V151" s="7">
        <f>SUM(V144:V150)</f>
        <v>0</v>
      </c>
      <c r="W151" s="31">
        <f>SUM(W144:W150)</f>
        <v>0</v>
      </c>
      <c r="X151" s="7"/>
      <c r="Y151" s="7"/>
      <c r="Z151" s="67" t="s">
        <v>173</v>
      </c>
      <c r="AA151" s="188"/>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row>
    <row r="152" spans="1:73" x14ac:dyDescent="0.35">
      <c r="A152" s="65" t="s">
        <v>33</v>
      </c>
      <c r="B152" s="7">
        <f t="shared" ref="B152:U152" si="163">B151-B137</f>
        <v>0</v>
      </c>
      <c r="C152" s="7">
        <f t="shared" si="163"/>
        <v>0</v>
      </c>
      <c r="D152" s="7">
        <f t="shared" si="163"/>
        <v>0</v>
      </c>
      <c r="E152" s="7">
        <f t="shared" si="163"/>
        <v>0</v>
      </c>
      <c r="F152" s="7">
        <f t="shared" si="163"/>
        <v>0</v>
      </c>
      <c r="G152" s="7">
        <f t="shared" si="163"/>
        <v>0</v>
      </c>
      <c r="H152" s="7">
        <f t="shared" si="163"/>
        <v>0</v>
      </c>
      <c r="I152" s="7">
        <f t="shared" si="163"/>
        <v>0</v>
      </c>
      <c r="J152" s="7">
        <f t="shared" si="163"/>
        <v>0</v>
      </c>
      <c r="K152" s="7">
        <f t="shared" si="163"/>
        <v>0</v>
      </c>
      <c r="L152" s="7">
        <f t="shared" si="163"/>
        <v>0</v>
      </c>
      <c r="M152" s="7">
        <f t="shared" si="163"/>
        <v>0</v>
      </c>
      <c r="N152" s="7">
        <f t="shared" si="163"/>
        <v>0</v>
      </c>
      <c r="O152" s="7">
        <f t="shared" si="163"/>
        <v>0</v>
      </c>
      <c r="P152" s="7">
        <f t="shared" si="163"/>
        <v>0</v>
      </c>
      <c r="Q152" s="7">
        <f t="shared" si="163"/>
        <v>0</v>
      </c>
      <c r="R152" s="7">
        <f t="shared" si="163"/>
        <v>0</v>
      </c>
      <c r="S152" s="7">
        <f t="shared" si="163"/>
        <v>0</v>
      </c>
      <c r="T152" s="7">
        <f t="shared" si="163"/>
        <v>0</v>
      </c>
      <c r="U152" s="7">
        <f t="shared" si="163"/>
        <v>0</v>
      </c>
      <c r="V152" s="7">
        <f>V151-V137</f>
        <v>0</v>
      </c>
      <c r="W152" s="7">
        <f>W151-W137</f>
        <v>0</v>
      </c>
      <c r="X152" s="7"/>
      <c r="Y152" s="7"/>
      <c r="Z152" s="67"/>
      <c r="AA152" s="188"/>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row>
    <row r="153" spans="1:73" x14ac:dyDescent="0.35">
      <c r="A153" s="65" t="s">
        <v>110</v>
      </c>
      <c r="B153" s="7" cm="1">
        <f t="array" ref="B153">IF(COUNTIF(AD143:AD149,0)=0,
    LOOKUP(2,1/(AD143:AD149&lt;&gt;""),AD143:AD149),
    MATCH(0,INDEX(AD143:AD149,MAX(ROW(AD143:AD149))-ROW(AD143:AD149)+1),0)-1
)</f>
        <v>0</v>
      </c>
      <c r="C153" s="7" cm="1">
        <f t="array" ref="C153">IF(COUNTIF(AE143:AE149,0)=0,
    LOOKUP(2,1/(AE143:AE149&lt;&gt;""),AE143:AE149),
    MATCH(0,INDEX(AE143:AE149,MAX(ROW(AE143:AE149))-ROW(AE143:AE149)+1),0)-1
)</f>
        <v>0</v>
      </c>
      <c r="D153" s="7" cm="1">
        <f t="array" ref="D153">IF(COUNTIF(AF143:AF149,0)=0,
    LOOKUP(2,1/(AF143:AF149&lt;&gt;""),AF143:AF149),
    MATCH(0,INDEX(AF143:AF149,MAX(ROW(AF143:AF149))-ROW(AF143:AF149)+1),0)-1
)</f>
        <v>0</v>
      </c>
      <c r="E153" s="7" cm="1">
        <f t="array" ref="E153">IF(COUNTIF(AG143:AG149,0)=0,
    LOOKUP(2,1/(AG143:AG149&lt;&gt;""),AG143:AG149),
    MATCH(0,INDEX(AG143:AG149,MAX(ROW(AG143:AG149))-ROW(AG143:AG149)+1),0)-1
)</f>
        <v>0</v>
      </c>
      <c r="F153" s="7" cm="1">
        <f t="array" ref="F153">IF(COUNTIF(AH143:AH149,0)=0,
    LOOKUP(2,1/(AH143:AH149&lt;&gt;""),AH143:AH149),
    MATCH(0,INDEX(AH143:AH149,MAX(ROW(AH143:AH149))-ROW(AH143:AH149)+1),0)-1
)</f>
        <v>0</v>
      </c>
      <c r="G153" s="7" cm="1">
        <f t="array" ref="G153">IF(COUNTIF(AI143:AI149,0)=0,
    LOOKUP(2,1/(AI143:AI149&lt;&gt;""),AI143:AI149),
    MATCH(0,INDEX(AI143:AI149,MAX(ROW(AI143:AI149))-ROW(AI143:AI149)+1),0)-1
)</f>
        <v>0</v>
      </c>
      <c r="H153" s="7" cm="1">
        <f t="array" ref="H153">IF(COUNTIF(AJ143:AJ149,0)=0,
    LOOKUP(2,1/(AJ143:AJ149&lt;&gt;""),AJ143:AJ149),
    MATCH(0,INDEX(AJ143:AJ149,MAX(ROW(AJ143:AJ149))-ROW(AJ143:AJ149)+1),0)-1
)</f>
        <v>0</v>
      </c>
      <c r="I153" s="7" cm="1">
        <f t="array" ref="I153">IF(COUNTIF(AK143:AK149,0)=0,
    LOOKUP(2,1/(AK143:AK149&lt;&gt;""),AK143:AK149),
    MATCH(0,INDEX(AK143:AK149,MAX(ROW(AK143:AK149))-ROW(AK143:AK149)+1),0)-1
)</f>
        <v>0</v>
      </c>
      <c r="J153" s="7" cm="1">
        <f t="array" ref="J153">IF(COUNTIF(AL143:AL149,0)=0,
    LOOKUP(2,1/(AL143:AL149&lt;&gt;""),AL143:AL149),
    MATCH(0,INDEX(AL143:AL149,MAX(ROW(AL143:AL149))-ROW(AL143:AL149)+1),0)-1
)</f>
        <v>0</v>
      </c>
      <c r="K153" s="7" cm="1">
        <f t="array" ref="K153">IF(COUNTIF(AM143:AM149,0)=0,
    LOOKUP(2,1/(AM143:AM149&lt;&gt;""),AM143:AM149),
    MATCH(0,INDEX(AM143:AM149,MAX(ROW(AM143:AM149))-ROW(AM143:AM149)+1),0)-1
)</f>
        <v>0</v>
      </c>
      <c r="L153" s="7" cm="1">
        <f t="array" ref="L153">IF(COUNTIF(AN143:AN149,0)=0,
    LOOKUP(2,1/(AN143:AN149&lt;&gt;""),AN143:AN149),
    MATCH(0,INDEX(AN143:AN149,MAX(ROW(AN143:AN149))-ROW(AN143:AN149)+1),0)-1
)</f>
        <v>0</v>
      </c>
      <c r="M153" s="7" cm="1">
        <f t="array" ref="M153">IF(COUNTIF(AO143:AO149,0)=0,
    LOOKUP(2,1/(AO143:AO149&lt;&gt;""),AO143:AO149),
    MATCH(0,INDEX(AO143:AO149,MAX(ROW(AO143:AO149))-ROW(AO143:AO149)+1),0)-1
)</f>
        <v>0</v>
      </c>
      <c r="N153" s="7" cm="1">
        <f t="array" ref="N153">IF(COUNTIF(AP143:AP149,0)=0,
    LOOKUP(2,1/(AP143:AP149&lt;&gt;""),AP143:AP149),
    MATCH(0,INDEX(AP143:AP149,MAX(ROW(AP143:AP149))-ROW(AP143:AP149)+1),0)-1
)</f>
        <v>0</v>
      </c>
      <c r="O153" s="7" cm="1">
        <f t="array" ref="O153">IF(COUNTIF(AQ143:AQ149,0)=0,
    LOOKUP(2,1/(AQ143:AQ149&lt;&gt;""),AQ143:AQ149),
    MATCH(0,INDEX(AQ143:AQ149,MAX(ROW(AQ143:AQ149))-ROW(AQ143:AQ149)+1),0)-1
)</f>
        <v>0</v>
      </c>
      <c r="P153" s="7" cm="1">
        <f t="array" ref="P153">IF(COUNTIF(AR143:AR149,0)=0,
    LOOKUP(2,1/(AR143:AR149&lt;&gt;""),AR143:AR149),
    MATCH(0,INDEX(AR143:AR149,MAX(ROW(AR143:AR149))-ROW(AR143:AR149)+1),0)-1
)</f>
        <v>0</v>
      </c>
      <c r="Q153" s="7" cm="1">
        <f t="array" ref="Q153">IF(COUNTIF(AS143:AS149,0)=0,
    LOOKUP(2,1/(AS143:AS149&lt;&gt;""),AS143:AS149),
    MATCH(0,INDEX(AS143:AS149,MAX(ROW(AS143:AS149))-ROW(AS143:AS149)+1),0)-1
)</f>
        <v>0</v>
      </c>
      <c r="R153" s="7" cm="1">
        <f t="array" ref="R153">IF(COUNTIF(AT143:AT149,0)=0,
    LOOKUP(2,1/(AT143:AT149&lt;&gt;""),AT143:AT149),
    MATCH(0,INDEX(AT143:AT149,MAX(ROW(AT143:AT149))-ROW(AT143:AT149)+1),0)-1
)</f>
        <v>0</v>
      </c>
      <c r="S153" s="7" cm="1">
        <f t="array" ref="S153">IF(COUNTIF(AU143:AU149,0)=0,
    LOOKUP(2,1/(AU143:AU149&lt;&gt;""),AU143:AU149),
    MATCH(0,INDEX(AU143:AU149,MAX(ROW(AU143:AU149))-ROW(AU143:AU149)+1),0)-1
)</f>
        <v>0</v>
      </c>
      <c r="T153" s="7" cm="1">
        <f t="array" ref="T153">IF(COUNTIF(AV143:AV149,0)=0,
    LOOKUP(2,1/(AV143:AV149&lt;&gt;""),AV143:AV149),
    MATCH(0,INDEX(AV143:AV149,MAX(ROW(AV143:AV149))-ROW(AV143:AV149)+1),0)-1
)</f>
        <v>0</v>
      </c>
      <c r="U153" s="7" cm="1">
        <f t="array" ref="U153">IF(COUNTIF(AW143:AW149,0)=0,
    LOOKUP(2,1/(AW143:AW149&lt;&gt;""),AW143:AW149),
    MATCH(0,INDEX(AW143:AW149,MAX(ROW(AW143:AW149))-ROW(AW143:AW149)+1),0)-1
)</f>
        <v>0</v>
      </c>
      <c r="V153" s="7" cm="1">
        <f t="array" ref="V153">IF(COUNTIF(AY143:AY149,0)=0,
    LOOKUP(2,1/(AY143:AY149&lt;&gt;""),AY143:AY149),
    MATCH(0,INDEX(AY143:AY149,MAX(ROW(AY143:AY149))-ROW(AY143:AY149)+1),0)-1
)</f>
        <v>0</v>
      </c>
      <c r="W153" s="7"/>
      <c r="X153" s="7" cm="1">
        <f t="array" ref="X153">IF(COUNTIF(Y143:Y149,0)=0,
    LOOKUP(2,1/(Y143:Y149&lt;&gt;""),Y143:Y149),
    MATCH(0,INDEX(Y143:Y149,MAX(ROW(Y143:Y149))-ROW(Y143:Y149)+1),0)-1
)</f>
        <v>0</v>
      </c>
      <c r="Y153" s="7"/>
      <c r="Z153" s="67"/>
      <c r="AA153" s="188"/>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row>
    <row r="154" spans="1:73" x14ac:dyDescent="0.35">
      <c r="A154" s="65" t="s">
        <v>99</v>
      </c>
      <c r="B154" s="7">
        <f t="shared" ref="B154:U154" si="164">B151+B140</f>
        <v>2</v>
      </c>
      <c r="C154" s="7">
        <f t="shared" si="164"/>
        <v>0</v>
      </c>
      <c r="D154" s="7">
        <f t="shared" si="164"/>
        <v>5</v>
      </c>
      <c r="E154" s="7">
        <f t="shared" si="164"/>
        <v>9</v>
      </c>
      <c r="F154" s="7">
        <f t="shared" si="164"/>
        <v>4</v>
      </c>
      <c r="G154" s="7">
        <f t="shared" si="164"/>
        <v>0</v>
      </c>
      <c r="H154" s="7">
        <f t="shared" si="164"/>
        <v>0</v>
      </c>
      <c r="I154" s="7">
        <f t="shared" si="164"/>
        <v>3</v>
      </c>
      <c r="J154" s="7">
        <f t="shared" si="164"/>
        <v>0</v>
      </c>
      <c r="K154" s="7">
        <f t="shared" si="164"/>
        <v>0.75</v>
      </c>
      <c r="L154" s="7">
        <f t="shared" si="164"/>
        <v>2</v>
      </c>
      <c r="M154" s="7">
        <f t="shared" si="164"/>
        <v>1</v>
      </c>
      <c r="N154" s="7">
        <f t="shared" si="164"/>
        <v>2.5</v>
      </c>
      <c r="O154" s="7">
        <f t="shared" si="164"/>
        <v>2</v>
      </c>
      <c r="P154" s="7">
        <f t="shared" si="164"/>
        <v>0</v>
      </c>
      <c r="Q154" s="7">
        <f t="shared" si="164"/>
        <v>0</v>
      </c>
      <c r="R154" s="7">
        <f t="shared" si="164"/>
        <v>1</v>
      </c>
      <c r="S154" s="7">
        <f t="shared" si="164"/>
        <v>3</v>
      </c>
      <c r="T154" s="7">
        <f t="shared" si="164"/>
        <v>0</v>
      </c>
      <c r="U154" s="7">
        <f t="shared" si="164"/>
        <v>-1</v>
      </c>
      <c r="V154" s="7">
        <f>V151+V140</f>
        <v>2</v>
      </c>
      <c r="W154" s="7">
        <f>W140+W151</f>
        <v>36.25</v>
      </c>
      <c r="X154" s="7"/>
      <c r="Y154" s="7">
        <f>SUM(Y144:Y150)</f>
        <v>0</v>
      </c>
      <c r="Z154" s="67"/>
      <c r="AA154" s="188"/>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row>
    <row r="155" spans="1:73" x14ac:dyDescent="0.35">
      <c r="A155" s="65" t="s">
        <v>112</v>
      </c>
      <c r="B155" s="174">
        <f>(COUNTIF(B4:B10, "&gt;0")+COUNTIF(B18:B24, "&gt;0")+COUNTIF(B32:B38, "&gt;0")+COUNTIF(B46:B52, "&gt;0")+COUNTIF(B60:B66, "&gt;0")+COUNTIF(B74:B80, "&gt;0")+COUNTIF(B88:B94, "&gt;0")+COUNTIF(B102:B108, "&gt;0")+COUNTIF(B116:B122, "&gt;0")+COUNTIF(B130:B136, "&gt;0") + COUNTIF(B144:B150, "&gt;0")) / 77</f>
        <v>1.2987012987012988E-2</v>
      </c>
      <c r="C155" s="174">
        <f t="shared" ref="C155:O155" si="165">(COUNTIF(C4:C10, "&gt;0")+COUNTIF(C18:C24, "&gt;0")+COUNTIF(C32:C38, "&gt;0")+COUNTIF(C46:C52, "&gt;0")+COUNTIF(C60:C66, "&gt;0")+COUNTIF(C74:C80, "&gt;0")+COUNTIF(C88:C94, "&gt;0")+COUNTIF(C102:C108, "&gt;0")+COUNTIF(C116:C122, "&gt;0")+COUNTIF(C130:C136, "&gt;0") + COUNTIF(C144:C150, "&gt;0")) / 77</f>
        <v>0</v>
      </c>
      <c r="D155" s="174">
        <f t="shared" si="165"/>
        <v>1.2987012987012988E-2</v>
      </c>
      <c r="E155" s="174">
        <f t="shared" si="165"/>
        <v>1.2987012987012988E-2</v>
      </c>
      <c r="F155" s="174">
        <f t="shared" si="165"/>
        <v>1.2987012987012988E-2</v>
      </c>
      <c r="G155" s="174">
        <f t="shared" si="165"/>
        <v>0</v>
      </c>
      <c r="H155" s="174">
        <f t="shared" si="165"/>
        <v>0</v>
      </c>
      <c r="I155" s="174">
        <f t="shared" si="165"/>
        <v>1.2987012987012988E-2</v>
      </c>
      <c r="J155" s="174">
        <f t="shared" si="165"/>
        <v>0</v>
      </c>
      <c r="K155" s="174">
        <f t="shared" si="165"/>
        <v>1.2987012987012988E-2</v>
      </c>
      <c r="L155" s="174">
        <f t="shared" si="165"/>
        <v>1.2987012987012988E-2</v>
      </c>
      <c r="M155" s="174">
        <f t="shared" si="165"/>
        <v>1.2987012987012988E-2</v>
      </c>
      <c r="N155" s="174">
        <f t="shared" si="165"/>
        <v>1.2987012987012988E-2</v>
      </c>
      <c r="O155" s="174">
        <f t="shared" si="165"/>
        <v>1.2987012987012988E-2</v>
      </c>
      <c r="P155" s="7"/>
      <c r="Q155" s="7"/>
      <c r="R155" s="7"/>
      <c r="S155" s="7"/>
      <c r="T155" s="7"/>
      <c r="U155" s="65" t="s">
        <v>31</v>
      </c>
      <c r="V155" s="7">
        <f>SUMIF(B151:V151,"&lt;0",B151:V151)</f>
        <v>0</v>
      </c>
      <c r="W155" s="7">
        <f>SUMIF(B151:V151,"&gt;0",B151:V151)</f>
        <v>0</v>
      </c>
      <c r="Y155" s="7"/>
      <c r="Z155" s="67"/>
      <c r="AA155" s="188"/>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row>
    <row r="156" spans="1:73"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11"/>
      <c r="AA156" s="11"/>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t="s">
        <v>131</v>
      </c>
      <c r="AZ156" s="7"/>
      <c r="BA156" s="7"/>
      <c r="BB156" s="7"/>
      <c r="BC156" s="7"/>
      <c r="BD156" s="7"/>
      <c r="BE156" s="7"/>
      <c r="BF156" s="7"/>
      <c r="BG156" s="7"/>
      <c r="BH156" s="7"/>
      <c r="BI156" s="7"/>
      <c r="BJ156" s="7"/>
      <c r="BK156" s="7"/>
      <c r="BL156" s="7"/>
      <c r="BM156" s="7"/>
      <c r="BN156" s="7"/>
      <c r="BO156" s="7"/>
      <c r="BP156" s="7"/>
      <c r="BQ156" s="7"/>
      <c r="BR156" s="7"/>
      <c r="BS156" s="7"/>
    </row>
    <row r="157" spans="1:73" ht="29" x14ac:dyDescent="0.35">
      <c r="A157" s="107" t="s">
        <v>56</v>
      </c>
      <c r="B157" s="52">
        <f>C143+1</f>
        <v>46104</v>
      </c>
      <c r="C157" s="52">
        <f>B157+6</f>
        <v>46110</v>
      </c>
      <c r="D157" s="7"/>
      <c r="E157" s="7"/>
      <c r="F157" s="7"/>
      <c r="G157" s="7"/>
      <c r="H157" s="7"/>
      <c r="I157" s="7"/>
      <c r="J157" s="7"/>
      <c r="K157" s="7" t="s">
        <v>141</v>
      </c>
      <c r="L157" s="7" t="s">
        <v>142</v>
      </c>
      <c r="M157" s="7" t="s">
        <v>143</v>
      </c>
      <c r="N157" s="7" t="s">
        <v>144</v>
      </c>
      <c r="O157" s="7" t="s">
        <v>145</v>
      </c>
      <c r="P157" s="7"/>
      <c r="Q157" s="7"/>
      <c r="R157" s="7"/>
      <c r="S157" s="7"/>
      <c r="T157" s="7"/>
      <c r="U157" s="7"/>
      <c r="V157" s="7"/>
      <c r="W157" s="7"/>
      <c r="X157" s="7"/>
      <c r="Y157" s="7"/>
      <c r="Z157" s="11"/>
      <c r="AA157" s="11"/>
      <c r="AB157" s="7"/>
      <c r="AC157" s="7" t="s">
        <v>73</v>
      </c>
      <c r="AD157" s="7"/>
      <c r="AE157" s="7"/>
      <c r="AF157" s="7"/>
      <c r="AG157" s="7"/>
      <c r="AH157" s="7"/>
      <c r="AI157" s="7"/>
      <c r="AJ157" s="7"/>
      <c r="AK157" s="7"/>
      <c r="AL157" s="7"/>
      <c r="AM157" s="7"/>
      <c r="AN157" s="7"/>
      <c r="AO157" s="7"/>
      <c r="AP157" s="7"/>
      <c r="AQ157" s="7"/>
      <c r="AR157" s="7"/>
      <c r="AS157" s="7"/>
      <c r="AT157" s="7"/>
      <c r="AU157" s="7"/>
      <c r="AV157" s="7"/>
      <c r="AW157" s="7"/>
      <c r="AX157" s="7"/>
      <c r="AY157" s="12" t="s">
        <v>1</v>
      </c>
      <c r="AZ157" s="12" t="s">
        <v>2</v>
      </c>
      <c r="BA157" s="12" t="s">
        <v>3</v>
      </c>
      <c r="BB157" s="12" t="s">
        <v>4</v>
      </c>
      <c r="BC157" s="12" t="s">
        <v>5</v>
      </c>
      <c r="BD157" s="12" t="s">
        <v>6</v>
      </c>
      <c r="BE157" s="12" t="s">
        <v>7</v>
      </c>
      <c r="BF157" s="12" t="s">
        <v>8</v>
      </c>
      <c r="BG157" s="12" t="s">
        <v>9</v>
      </c>
      <c r="BH157" s="12" t="s">
        <v>10</v>
      </c>
      <c r="BI157" s="12" t="s">
        <v>11</v>
      </c>
      <c r="BJ157" s="12" t="s">
        <v>12</v>
      </c>
      <c r="BK157" s="12" t="s">
        <v>13</v>
      </c>
      <c r="BL157" s="12" t="s">
        <v>14</v>
      </c>
      <c r="BM157" s="12" t="s">
        <v>15</v>
      </c>
      <c r="BN157" s="12" t="s">
        <v>16</v>
      </c>
      <c r="BO157" s="12" t="s">
        <v>17</v>
      </c>
      <c r="BP157" s="12" t="s">
        <v>18</v>
      </c>
      <c r="BQ157" s="12" t="s">
        <v>19</v>
      </c>
      <c r="BR157" s="12" t="s">
        <v>20</v>
      </c>
      <c r="BS157" s="12">
        <v>0</v>
      </c>
      <c r="BU157">
        <v>0</v>
      </c>
    </row>
    <row r="158" spans="1:73" x14ac:dyDescent="0.35">
      <c r="A158" s="85" t="s">
        <v>22</v>
      </c>
      <c r="B158" s="7"/>
      <c r="C158" s="7"/>
      <c r="D158" s="7"/>
      <c r="E158" s="7"/>
      <c r="F158" s="7"/>
      <c r="G158" s="7"/>
      <c r="H158" s="7"/>
      <c r="I158" s="7"/>
      <c r="J158" s="7"/>
      <c r="K158" s="7"/>
      <c r="L158" s="7"/>
      <c r="M158" s="7"/>
      <c r="N158" s="7"/>
      <c r="O158" s="7"/>
      <c r="P158" s="7"/>
      <c r="Q158" s="7"/>
      <c r="R158" s="7"/>
      <c r="S158" s="7"/>
      <c r="T158" s="7"/>
      <c r="U158" s="7"/>
      <c r="V158" s="7"/>
      <c r="W158" s="7">
        <f t="shared" ref="W158:W164" si="166">SUM(B158:V158)</f>
        <v>0</v>
      </c>
      <c r="X158" s="7">
        <f t="shared" ref="X158:X164" si="167">SUM(AD158:AW158)*0.1</f>
        <v>0</v>
      </c>
      <c r="Y158" s="7">
        <f t="shared" ref="Y158:Y164" si="168">W158+X158</f>
        <v>0</v>
      </c>
      <c r="Z158" s="54"/>
      <c r="AA158" s="196"/>
      <c r="AB158" s="7">
        <f>W158+AB144</f>
        <v>36.25</v>
      </c>
      <c r="AC158" s="7" t="s">
        <v>22</v>
      </c>
      <c r="AD158" s="7">
        <f t="shared" ref="AD158:AW158" si="169">IF(B158 &gt; 0, IF(AD150&gt; 0, AD150+ 1, 0.1), 0)</f>
        <v>0</v>
      </c>
      <c r="AE158" s="7">
        <f t="shared" si="169"/>
        <v>0</v>
      </c>
      <c r="AF158" s="7">
        <f t="shared" si="169"/>
        <v>0</v>
      </c>
      <c r="AG158" s="7">
        <f t="shared" si="169"/>
        <v>0</v>
      </c>
      <c r="AH158" s="7">
        <f t="shared" si="169"/>
        <v>0</v>
      </c>
      <c r="AI158" s="7">
        <f t="shared" si="169"/>
        <v>0</v>
      </c>
      <c r="AJ158" s="7">
        <f t="shared" si="169"/>
        <v>0</v>
      </c>
      <c r="AK158" s="7">
        <f t="shared" si="169"/>
        <v>0</v>
      </c>
      <c r="AL158" s="7">
        <f t="shared" si="169"/>
        <v>0</v>
      </c>
      <c r="AM158" s="7">
        <f t="shared" si="169"/>
        <v>0</v>
      </c>
      <c r="AN158" s="7">
        <f t="shared" si="169"/>
        <v>0</v>
      </c>
      <c r="AO158" s="7">
        <f t="shared" si="169"/>
        <v>0</v>
      </c>
      <c r="AP158" s="7">
        <f t="shared" si="169"/>
        <v>0</v>
      </c>
      <c r="AQ158" s="7">
        <f t="shared" si="169"/>
        <v>0</v>
      </c>
      <c r="AR158" s="7">
        <f t="shared" si="169"/>
        <v>0</v>
      </c>
      <c r="AS158" s="7">
        <f t="shared" si="169"/>
        <v>0</v>
      </c>
      <c r="AT158" s="7">
        <f t="shared" si="169"/>
        <v>0</v>
      </c>
      <c r="AU158" s="7">
        <f t="shared" si="169"/>
        <v>0</v>
      </c>
      <c r="AV158" s="7">
        <f t="shared" si="169"/>
        <v>0</v>
      </c>
      <c r="AW158" s="7">
        <f t="shared" si="169"/>
        <v>0</v>
      </c>
      <c r="AX158" s="7"/>
      <c r="AY158" s="7">
        <f>SUM($B$158:B158)</f>
        <v>0</v>
      </c>
      <c r="AZ158" s="7">
        <f>SUM($B$158:C158)</f>
        <v>0</v>
      </c>
      <c r="BA158" s="7">
        <f>SUM($B$158:D158)</f>
        <v>0</v>
      </c>
      <c r="BB158" s="7">
        <f>SUM($B$158:E158)</f>
        <v>0</v>
      </c>
      <c r="BC158" s="7">
        <f>SUM($B$158:F158)</f>
        <v>0</v>
      </c>
      <c r="BD158" s="7">
        <f>SUM($B$158:G158)</f>
        <v>0</v>
      </c>
      <c r="BE158" s="7">
        <f>SUM($B$158:H158)</f>
        <v>0</v>
      </c>
      <c r="BF158" s="7">
        <f>SUM($B$158:I158)</f>
        <v>0</v>
      </c>
      <c r="BG158" s="7">
        <f>SUM($B$158:J158)</f>
        <v>0</v>
      </c>
      <c r="BH158" s="7">
        <f>SUM($B$158:K158)</f>
        <v>0</v>
      </c>
      <c r="BI158" s="7">
        <f>SUM($B$158:L158)</f>
        <v>0</v>
      </c>
      <c r="BJ158" s="7">
        <f>SUM($B$158:M158)</f>
        <v>0</v>
      </c>
      <c r="BK158" s="7">
        <f>SUM($B$158:Q158)</f>
        <v>0</v>
      </c>
      <c r="BL158" s="7">
        <f>SUM($B$158:N158)</f>
        <v>0</v>
      </c>
      <c r="BM158" s="7">
        <f>SUM($B$158:O158)</f>
        <v>0</v>
      </c>
      <c r="BN158" s="7">
        <f>SUM($B$158:P158)</f>
        <v>0</v>
      </c>
      <c r="BO158" s="7">
        <f>SUM($B$158:R158)</f>
        <v>0</v>
      </c>
      <c r="BP158" s="7">
        <f>SUM($B$158:S158)</f>
        <v>0</v>
      </c>
      <c r="BQ158" s="7">
        <f>SUM($B$158:T158)</f>
        <v>0</v>
      </c>
      <c r="BR158" s="7">
        <f>SUM($B$158:V158)</f>
        <v>0</v>
      </c>
      <c r="BS158" s="7">
        <f>SUM($BR$158:BR158)</f>
        <v>0</v>
      </c>
      <c r="BT158">
        <f t="shared" si="146"/>
        <v>0</v>
      </c>
      <c r="BU158">
        <f>SUM($BT$158:BT158)</f>
        <v>0</v>
      </c>
    </row>
    <row r="159" spans="1:73" x14ac:dyDescent="0.35">
      <c r="A159" s="96" t="s">
        <v>23</v>
      </c>
      <c r="B159" s="7"/>
      <c r="C159" s="7"/>
      <c r="D159" s="7"/>
      <c r="E159" s="7"/>
      <c r="F159" s="7"/>
      <c r="G159" s="7"/>
      <c r="H159" s="7"/>
      <c r="I159" s="7"/>
      <c r="J159" s="7"/>
      <c r="K159" s="7"/>
      <c r="L159" s="7"/>
      <c r="M159" s="7"/>
      <c r="N159" s="7"/>
      <c r="O159" s="7"/>
      <c r="P159" s="7"/>
      <c r="Q159" s="7"/>
      <c r="R159" s="7"/>
      <c r="S159" s="7"/>
      <c r="T159" s="7"/>
      <c r="U159" s="7"/>
      <c r="V159" s="7"/>
      <c r="W159" s="7">
        <f t="shared" si="166"/>
        <v>0</v>
      </c>
      <c r="X159" s="7">
        <f t="shared" si="167"/>
        <v>0</v>
      </c>
      <c r="Y159" s="7">
        <f t="shared" si="168"/>
        <v>0</v>
      </c>
      <c r="Z159" s="54"/>
      <c r="AA159" s="196"/>
      <c r="AB159" s="7">
        <f t="shared" ref="AB159:AB164" si="170">AB145+W159</f>
        <v>0</v>
      </c>
      <c r="AC159" s="7" t="s">
        <v>23</v>
      </c>
      <c r="AD159" s="7">
        <f t="shared" ref="AD159:AM164" si="171">IF(B159 &gt; 0, IF(AD158 &gt; 0, AD158 + 1, 0.1), 0)</f>
        <v>0</v>
      </c>
      <c r="AE159" s="7">
        <f t="shared" si="171"/>
        <v>0</v>
      </c>
      <c r="AF159" s="7">
        <f t="shared" si="171"/>
        <v>0</v>
      </c>
      <c r="AG159" s="7">
        <f t="shared" si="171"/>
        <v>0</v>
      </c>
      <c r="AH159" s="7">
        <f t="shared" si="171"/>
        <v>0</v>
      </c>
      <c r="AI159" s="7">
        <f t="shared" si="171"/>
        <v>0</v>
      </c>
      <c r="AJ159" s="7">
        <f t="shared" si="171"/>
        <v>0</v>
      </c>
      <c r="AK159" s="7">
        <f t="shared" si="171"/>
        <v>0</v>
      </c>
      <c r="AL159" s="7">
        <f t="shared" si="171"/>
        <v>0</v>
      </c>
      <c r="AM159" s="7">
        <f t="shared" si="171"/>
        <v>0</v>
      </c>
      <c r="AN159" s="7">
        <f t="shared" ref="AN159:AT164" si="172">IF(L159 &gt; 0, IF(AN158 &gt; 0, AN158 + 1, 0.1), 0)</f>
        <v>0</v>
      </c>
      <c r="AO159" s="7">
        <f t="shared" si="172"/>
        <v>0</v>
      </c>
      <c r="AP159" s="7">
        <f t="shared" si="172"/>
        <v>0</v>
      </c>
      <c r="AQ159" s="7">
        <f t="shared" si="172"/>
        <v>0</v>
      </c>
      <c r="AR159" s="7">
        <f t="shared" si="172"/>
        <v>0</v>
      </c>
      <c r="AS159" s="7">
        <f t="shared" si="172"/>
        <v>0</v>
      </c>
      <c r="AT159" s="7">
        <f t="shared" si="172"/>
        <v>0</v>
      </c>
      <c r="AU159" s="7">
        <f t="shared" ref="AU159:AU164" si="173">IF(S159 &gt; 0, IF(AU151&gt; 0, AU151+ 1, 0.1), 0)</f>
        <v>0</v>
      </c>
      <c r="AV159" s="7">
        <f t="shared" ref="AV159:AW164" si="174">IF(T159 &gt; 0, IF(AV158 &gt; 0, AV158 + 1, 0.1), 0)</f>
        <v>0</v>
      </c>
      <c r="AW159" s="7">
        <f t="shared" si="174"/>
        <v>0</v>
      </c>
      <c r="AX159" s="7"/>
      <c r="AY159" s="7">
        <f>SUM($B$159:B159)</f>
        <v>0</v>
      </c>
      <c r="AZ159" s="7">
        <f>SUM($B$159:C159)</f>
        <v>0</v>
      </c>
      <c r="BA159" s="7">
        <f>SUM($B$159:D159)</f>
        <v>0</v>
      </c>
      <c r="BB159" s="7">
        <f>SUM($B$159:E159)</f>
        <v>0</v>
      </c>
      <c r="BC159" s="7">
        <f>SUM($B$159:F159)</f>
        <v>0</v>
      </c>
      <c r="BD159" s="7">
        <f>SUM($B$159:G159)</f>
        <v>0</v>
      </c>
      <c r="BE159" s="7">
        <f>SUM($B$159:H159)</f>
        <v>0</v>
      </c>
      <c r="BF159" s="7">
        <f>SUM($B$159:I159)</f>
        <v>0</v>
      </c>
      <c r="BG159" s="7">
        <f>SUM($B$159:J159)</f>
        <v>0</v>
      </c>
      <c r="BH159" s="7">
        <f>SUM($B$159:K159)</f>
        <v>0</v>
      </c>
      <c r="BI159" s="7">
        <f>SUM($B$159:L159)</f>
        <v>0</v>
      </c>
      <c r="BJ159" s="7">
        <f>SUM($B$159:M159)</f>
        <v>0</v>
      </c>
      <c r="BK159" s="7">
        <f>SUM($B$159:Q159)</f>
        <v>0</v>
      </c>
      <c r="BL159" s="7">
        <f>SUM($B$159:N159)</f>
        <v>0</v>
      </c>
      <c r="BM159" s="7">
        <f>SUM($B$159:O159)</f>
        <v>0</v>
      </c>
      <c r="BN159" s="7">
        <f>SUM($B$159:P159)</f>
        <v>0</v>
      </c>
      <c r="BO159" s="7">
        <f>SUM($B$159:R159)</f>
        <v>0</v>
      </c>
      <c r="BP159" s="7">
        <f>SUM($B$159:S159)</f>
        <v>0</v>
      </c>
      <c r="BQ159" s="7">
        <f>SUM($B$159:T159)</f>
        <v>0</v>
      </c>
      <c r="BR159" s="7">
        <f>SUM($B$159:V159)</f>
        <v>0</v>
      </c>
      <c r="BS159" s="7">
        <f>SUM($BR$158:BR159)</f>
        <v>0</v>
      </c>
      <c r="BT159">
        <f t="shared" si="146"/>
        <v>0</v>
      </c>
      <c r="BU159">
        <f>SUM($BT$158:BT159)</f>
        <v>0</v>
      </c>
    </row>
    <row r="160" spans="1:73" x14ac:dyDescent="0.35">
      <c r="A160" s="119" t="s">
        <v>24</v>
      </c>
      <c r="B160" s="7"/>
      <c r="C160" s="7"/>
      <c r="D160" s="7"/>
      <c r="E160" s="7"/>
      <c r="F160" s="7"/>
      <c r="G160" s="7"/>
      <c r="H160" s="7"/>
      <c r="I160" s="7"/>
      <c r="J160" s="7"/>
      <c r="K160" s="7"/>
      <c r="L160" s="7"/>
      <c r="M160" s="7"/>
      <c r="N160" s="7"/>
      <c r="O160" s="7"/>
      <c r="P160" s="7"/>
      <c r="Q160" s="7"/>
      <c r="R160" s="7"/>
      <c r="S160" s="7"/>
      <c r="T160" s="7"/>
      <c r="U160" s="7"/>
      <c r="V160" s="7"/>
      <c r="W160" s="7">
        <f t="shared" si="166"/>
        <v>0</v>
      </c>
      <c r="X160" s="7">
        <f t="shared" si="167"/>
        <v>0</v>
      </c>
      <c r="Y160" s="7">
        <f t="shared" si="168"/>
        <v>0</v>
      </c>
      <c r="Z160" s="54"/>
      <c r="AA160" s="196"/>
      <c r="AB160" s="7">
        <f t="shared" si="170"/>
        <v>0</v>
      </c>
      <c r="AC160" s="7" t="s">
        <v>24</v>
      </c>
      <c r="AD160" s="7">
        <f t="shared" si="171"/>
        <v>0</v>
      </c>
      <c r="AE160" s="7">
        <f t="shared" si="171"/>
        <v>0</v>
      </c>
      <c r="AF160" s="7">
        <f t="shared" si="171"/>
        <v>0</v>
      </c>
      <c r="AG160" s="7">
        <f t="shared" si="171"/>
        <v>0</v>
      </c>
      <c r="AH160" s="7">
        <f t="shared" si="171"/>
        <v>0</v>
      </c>
      <c r="AI160" s="7">
        <f t="shared" si="171"/>
        <v>0</v>
      </c>
      <c r="AJ160" s="7">
        <f t="shared" si="171"/>
        <v>0</v>
      </c>
      <c r="AK160" s="7">
        <f t="shared" si="171"/>
        <v>0</v>
      </c>
      <c r="AL160" s="7">
        <f t="shared" si="171"/>
        <v>0</v>
      </c>
      <c r="AM160" s="7">
        <f t="shared" si="171"/>
        <v>0</v>
      </c>
      <c r="AN160" s="7">
        <f t="shared" si="172"/>
        <v>0</v>
      </c>
      <c r="AO160" s="7">
        <f t="shared" si="172"/>
        <v>0</v>
      </c>
      <c r="AP160" s="7">
        <f t="shared" si="172"/>
        <v>0</v>
      </c>
      <c r="AQ160" s="7">
        <f t="shared" si="172"/>
        <v>0</v>
      </c>
      <c r="AR160" s="7">
        <f t="shared" si="172"/>
        <v>0</v>
      </c>
      <c r="AS160" s="7">
        <f t="shared" si="172"/>
        <v>0</v>
      </c>
      <c r="AT160" s="7">
        <f t="shared" si="172"/>
        <v>0</v>
      </c>
      <c r="AU160" s="7">
        <f t="shared" si="173"/>
        <v>0</v>
      </c>
      <c r="AV160" s="7">
        <f t="shared" si="174"/>
        <v>0</v>
      </c>
      <c r="AW160" s="7">
        <f t="shared" si="174"/>
        <v>0</v>
      </c>
      <c r="AX160" s="7"/>
      <c r="AY160" s="7">
        <f>SUM($B$160:B160)</f>
        <v>0</v>
      </c>
      <c r="AZ160" s="7">
        <f>SUM($B$160:C160)</f>
        <v>0</v>
      </c>
      <c r="BA160" s="7">
        <f>SUM($B$160:D160)</f>
        <v>0</v>
      </c>
      <c r="BB160" s="7">
        <f>SUM($B$160:E160)</f>
        <v>0</v>
      </c>
      <c r="BC160" s="7">
        <f>SUM($B$160:F160)</f>
        <v>0</v>
      </c>
      <c r="BD160" s="7">
        <f>SUM($B$160:G160)</f>
        <v>0</v>
      </c>
      <c r="BE160" s="7">
        <f>SUM($B$160:H160)</f>
        <v>0</v>
      </c>
      <c r="BF160" s="7">
        <f>SUM($B$160:I160)</f>
        <v>0</v>
      </c>
      <c r="BG160" s="7">
        <f>SUM($B$160:J160)</f>
        <v>0</v>
      </c>
      <c r="BH160" s="7">
        <f>SUM($B$160:K160)</f>
        <v>0</v>
      </c>
      <c r="BI160" s="7">
        <f>SUM($B$160:L160)</f>
        <v>0</v>
      </c>
      <c r="BJ160" s="7">
        <f>SUM($B$160:M160)</f>
        <v>0</v>
      </c>
      <c r="BK160" s="7">
        <f>SUM($B$160:Q160)</f>
        <v>0</v>
      </c>
      <c r="BL160" s="7">
        <f>SUM($B$160:N160)</f>
        <v>0</v>
      </c>
      <c r="BM160" s="7">
        <f>SUM($B$160:O160)</f>
        <v>0</v>
      </c>
      <c r="BN160" s="7">
        <f>SUM($B$160:P160)</f>
        <v>0</v>
      </c>
      <c r="BO160" s="7">
        <f>SUM($B$160:R160)</f>
        <v>0</v>
      </c>
      <c r="BP160" s="7">
        <f>SUM($B$160:S160)</f>
        <v>0</v>
      </c>
      <c r="BQ160" s="7">
        <f>SUM($B$160:T160)</f>
        <v>0</v>
      </c>
      <c r="BR160" s="7">
        <f>SUM($B$160:V160)</f>
        <v>0</v>
      </c>
      <c r="BS160" s="7">
        <f>SUM($BR$158:BR160)</f>
        <v>0</v>
      </c>
      <c r="BT160">
        <f t="shared" si="146"/>
        <v>0</v>
      </c>
      <c r="BU160">
        <f>SUM($BT$158:BT160)</f>
        <v>0</v>
      </c>
    </row>
    <row r="161" spans="1:73" x14ac:dyDescent="0.35">
      <c r="A161" s="130" t="s">
        <v>25</v>
      </c>
      <c r="B161" s="7"/>
      <c r="C161" s="7"/>
      <c r="D161" s="7"/>
      <c r="E161" s="7"/>
      <c r="F161" s="7"/>
      <c r="G161" s="7"/>
      <c r="H161" s="7"/>
      <c r="I161" s="7"/>
      <c r="J161" s="7"/>
      <c r="K161" s="7"/>
      <c r="L161" s="7"/>
      <c r="M161" s="7"/>
      <c r="N161" s="7"/>
      <c r="O161" s="7"/>
      <c r="P161" s="7"/>
      <c r="Q161" s="7"/>
      <c r="R161" s="7"/>
      <c r="S161" s="7"/>
      <c r="T161" s="7"/>
      <c r="U161" s="7"/>
      <c r="V161" s="7"/>
      <c r="W161" s="7">
        <f t="shared" si="166"/>
        <v>0</v>
      </c>
      <c r="X161" s="7">
        <f t="shared" si="167"/>
        <v>0</v>
      </c>
      <c r="Y161" s="7">
        <f t="shared" si="168"/>
        <v>0</v>
      </c>
      <c r="Z161" s="54"/>
      <c r="AA161" s="196"/>
      <c r="AB161" s="7">
        <f t="shared" si="170"/>
        <v>0</v>
      </c>
      <c r="AC161" s="7" t="s">
        <v>25</v>
      </c>
      <c r="AD161" s="7">
        <f t="shared" si="171"/>
        <v>0</v>
      </c>
      <c r="AE161" s="7">
        <f t="shared" si="171"/>
        <v>0</v>
      </c>
      <c r="AF161" s="7">
        <f t="shared" si="171"/>
        <v>0</v>
      </c>
      <c r="AG161" s="7">
        <f t="shared" si="171"/>
        <v>0</v>
      </c>
      <c r="AH161" s="7">
        <f t="shared" si="171"/>
        <v>0</v>
      </c>
      <c r="AI161" s="7">
        <f t="shared" si="171"/>
        <v>0</v>
      </c>
      <c r="AJ161" s="7">
        <f t="shared" si="171"/>
        <v>0</v>
      </c>
      <c r="AK161" s="7">
        <f t="shared" si="171"/>
        <v>0</v>
      </c>
      <c r="AL161" s="7">
        <f t="shared" si="171"/>
        <v>0</v>
      </c>
      <c r="AM161" s="7">
        <f t="shared" si="171"/>
        <v>0</v>
      </c>
      <c r="AN161" s="7">
        <f t="shared" si="172"/>
        <v>0</v>
      </c>
      <c r="AO161" s="7">
        <f t="shared" si="172"/>
        <v>0</v>
      </c>
      <c r="AP161" s="7">
        <f t="shared" si="172"/>
        <v>0</v>
      </c>
      <c r="AQ161" s="7">
        <f t="shared" si="172"/>
        <v>0</v>
      </c>
      <c r="AR161" s="7">
        <f t="shared" si="172"/>
        <v>0</v>
      </c>
      <c r="AS161" s="7">
        <f t="shared" si="172"/>
        <v>0</v>
      </c>
      <c r="AT161" s="7">
        <f t="shared" si="172"/>
        <v>0</v>
      </c>
      <c r="AU161" s="7">
        <f t="shared" si="173"/>
        <v>0</v>
      </c>
      <c r="AV161" s="7">
        <f t="shared" si="174"/>
        <v>0</v>
      </c>
      <c r="AW161" s="7">
        <f t="shared" si="174"/>
        <v>0</v>
      </c>
      <c r="AX161" s="7"/>
      <c r="AY161" s="7">
        <f>SUM($B$161:B161)</f>
        <v>0</v>
      </c>
      <c r="AZ161" s="7">
        <f>SUM($B$161:C161)</f>
        <v>0</v>
      </c>
      <c r="BA161" s="7">
        <f>SUM($B$161:D161)</f>
        <v>0</v>
      </c>
      <c r="BB161" s="7">
        <f>SUM($B$161:E161)</f>
        <v>0</v>
      </c>
      <c r="BC161" s="7">
        <f>SUM($B$161:F161)</f>
        <v>0</v>
      </c>
      <c r="BD161" s="7">
        <f>SUM($B$161:G161)</f>
        <v>0</v>
      </c>
      <c r="BE161" s="7">
        <f>SUM($B$161:H161)</f>
        <v>0</v>
      </c>
      <c r="BF161" s="7">
        <f>SUM($B$161:I161)</f>
        <v>0</v>
      </c>
      <c r="BG161" s="7">
        <f>SUM($B$161:J161)</f>
        <v>0</v>
      </c>
      <c r="BH161" s="7">
        <f>SUM($B$161:K161)</f>
        <v>0</v>
      </c>
      <c r="BI161" s="7">
        <f>SUM($B$161:L161)</f>
        <v>0</v>
      </c>
      <c r="BJ161" s="7">
        <f>SUM($B$161:M161)</f>
        <v>0</v>
      </c>
      <c r="BK161" s="7">
        <f>SUM($B$161:Q161)</f>
        <v>0</v>
      </c>
      <c r="BL161" s="7">
        <f>SUM($B$161:N161)</f>
        <v>0</v>
      </c>
      <c r="BM161" s="7">
        <f>SUM($B$161:O161)</f>
        <v>0</v>
      </c>
      <c r="BN161" s="7">
        <f>SUM($B$161:P161)</f>
        <v>0</v>
      </c>
      <c r="BO161" s="7">
        <f>SUM($B$161:R161)</f>
        <v>0</v>
      </c>
      <c r="BP161" s="7">
        <f>SUM($B$161:S161)</f>
        <v>0</v>
      </c>
      <c r="BQ161" s="7">
        <f>SUM($B$161:T161)</f>
        <v>0</v>
      </c>
      <c r="BR161" s="7">
        <f>SUM($B$161:V161)</f>
        <v>0</v>
      </c>
      <c r="BS161" s="7">
        <f>SUM($BR$158:BR161)</f>
        <v>0</v>
      </c>
      <c r="BT161">
        <f t="shared" si="146"/>
        <v>0</v>
      </c>
      <c r="BU161">
        <f>SUM($BT$158:BT161)</f>
        <v>0</v>
      </c>
    </row>
    <row r="162" spans="1:73" x14ac:dyDescent="0.35">
      <c r="A162" s="141" t="s">
        <v>26</v>
      </c>
      <c r="B162" s="7"/>
      <c r="C162" s="7"/>
      <c r="D162" s="7"/>
      <c r="E162" s="7"/>
      <c r="F162" s="7"/>
      <c r="G162" s="7"/>
      <c r="H162" s="7"/>
      <c r="I162" s="7"/>
      <c r="J162" s="7"/>
      <c r="K162" s="7"/>
      <c r="L162" s="7"/>
      <c r="M162" s="7"/>
      <c r="N162" s="7"/>
      <c r="O162" s="7"/>
      <c r="P162" s="7"/>
      <c r="Q162" s="7"/>
      <c r="R162" s="7"/>
      <c r="S162" s="7"/>
      <c r="T162" s="7"/>
      <c r="U162" s="7"/>
      <c r="V162" s="7"/>
      <c r="W162" s="7">
        <f t="shared" si="166"/>
        <v>0</v>
      </c>
      <c r="X162" s="7">
        <f t="shared" si="167"/>
        <v>0</v>
      </c>
      <c r="Y162" s="7">
        <f t="shared" si="168"/>
        <v>0</v>
      </c>
      <c r="Z162" s="54"/>
      <c r="AA162" s="196"/>
      <c r="AB162" s="7">
        <f t="shared" si="170"/>
        <v>0</v>
      </c>
      <c r="AC162" s="7" t="s">
        <v>26</v>
      </c>
      <c r="AD162" s="7">
        <f t="shared" si="171"/>
        <v>0</v>
      </c>
      <c r="AE162" s="7">
        <f t="shared" si="171"/>
        <v>0</v>
      </c>
      <c r="AF162" s="7">
        <f t="shared" si="171"/>
        <v>0</v>
      </c>
      <c r="AG162" s="7">
        <f t="shared" si="171"/>
        <v>0</v>
      </c>
      <c r="AH162" s="7">
        <f t="shared" si="171"/>
        <v>0</v>
      </c>
      <c r="AI162" s="7">
        <f t="shared" si="171"/>
        <v>0</v>
      </c>
      <c r="AJ162" s="7">
        <f t="shared" si="171"/>
        <v>0</v>
      </c>
      <c r="AK162" s="7">
        <f t="shared" si="171"/>
        <v>0</v>
      </c>
      <c r="AL162" s="7">
        <f t="shared" si="171"/>
        <v>0</v>
      </c>
      <c r="AM162" s="7">
        <f t="shared" si="171"/>
        <v>0</v>
      </c>
      <c r="AN162" s="7">
        <f t="shared" si="172"/>
        <v>0</v>
      </c>
      <c r="AO162" s="7">
        <f t="shared" si="172"/>
        <v>0</v>
      </c>
      <c r="AP162" s="7">
        <f t="shared" si="172"/>
        <v>0</v>
      </c>
      <c r="AQ162" s="7">
        <f t="shared" si="172"/>
        <v>0</v>
      </c>
      <c r="AR162" s="7">
        <f t="shared" si="172"/>
        <v>0</v>
      </c>
      <c r="AS162" s="7">
        <f t="shared" si="172"/>
        <v>0</v>
      </c>
      <c r="AT162" s="7">
        <f t="shared" si="172"/>
        <v>0</v>
      </c>
      <c r="AU162" s="7">
        <f t="shared" si="173"/>
        <v>0</v>
      </c>
      <c r="AV162" s="7">
        <f t="shared" si="174"/>
        <v>0</v>
      </c>
      <c r="AW162" s="7">
        <f t="shared" si="174"/>
        <v>0</v>
      </c>
      <c r="AX162" s="7"/>
      <c r="AY162" s="7">
        <f>SUM($B$162:B162)</f>
        <v>0</v>
      </c>
      <c r="AZ162" s="7">
        <f>SUM($B$162:C162)</f>
        <v>0</v>
      </c>
      <c r="BA162" s="7">
        <f>SUM($B$162:D162)</f>
        <v>0</v>
      </c>
      <c r="BB162" s="7">
        <f>SUM($B$162:E162)</f>
        <v>0</v>
      </c>
      <c r="BC162" s="7">
        <f>SUM($B$162:F162)</f>
        <v>0</v>
      </c>
      <c r="BD162" s="7">
        <f>SUM($B$162:G162)</f>
        <v>0</v>
      </c>
      <c r="BE162" s="7">
        <f>SUM($B$162:H162)</f>
        <v>0</v>
      </c>
      <c r="BF162" s="7">
        <f>SUM($B$162:I162)</f>
        <v>0</v>
      </c>
      <c r="BG162" s="7">
        <f>SUM($B$162:J162)</f>
        <v>0</v>
      </c>
      <c r="BH162" s="7">
        <f>SUM($B$162:K162)</f>
        <v>0</v>
      </c>
      <c r="BI162" s="7">
        <f>SUM($B$162:L162)</f>
        <v>0</v>
      </c>
      <c r="BJ162" s="7">
        <f>SUM($B$162:M162)</f>
        <v>0</v>
      </c>
      <c r="BK162" s="7">
        <f>SUM($B$162:Q162)</f>
        <v>0</v>
      </c>
      <c r="BL162" s="7">
        <f>SUM($B$162:N162)</f>
        <v>0</v>
      </c>
      <c r="BM162" s="7">
        <f>SUM($B$162:O162)</f>
        <v>0</v>
      </c>
      <c r="BN162" s="7">
        <f>SUM($B$162:P162)</f>
        <v>0</v>
      </c>
      <c r="BO162" s="7">
        <f>SUM($B$162:R162)</f>
        <v>0</v>
      </c>
      <c r="BP162" s="7">
        <f>SUM($B$162:S162)</f>
        <v>0</v>
      </c>
      <c r="BQ162" s="7">
        <f>SUM($B$162:T162)</f>
        <v>0</v>
      </c>
      <c r="BR162" s="7">
        <f>SUM($B$162:V162)</f>
        <v>0</v>
      </c>
      <c r="BS162" s="7">
        <f>SUM($BR$158:BR162)</f>
        <v>0</v>
      </c>
      <c r="BT162">
        <f t="shared" si="146"/>
        <v>0</v>
      </c>
      <c r="BU162">
        <f>SUM($BT$158:BT162)</f>
        <v>0</v>
      </c>
    </row>
    <row r="163" spans="1:73" x14ac:dyDescent="0.35">
      <c r="A163" s="152" t="s">
        <v>27</v>
      </c>
      <c r="B163" s="7"/>
      <c r="C163" s="7"/>
      <c r="D163" s="7"/>
      <c r="E163" s="7"/>
      <c r="F163" s="7"/>
      <c r="G163" s="7"/>
      <c r="H163" s="7"/>
      <c r="I163" s="7"/>
      <c r="J163" s="7"/>
      <c r="K163" s="7"/>
      <c r="L163" s="7"/>
      <c r="M163" s="7"/>
      <c r="N163" s="7"/>
      <c r="O163" s="7"/>
      <c r="P163" s="7"/>
      <c r="Q163" s="7"/>
      <c r="R163" s="7"/>
      <c r="S163" s="7"/>
      <c r="T163" s="7"/>
      <c r="U163" s="7"/>
      <c r="V163" s="7"/>
      <c r="W163" s="7">
        <f t="shared" si="166"/>
        <v>0</v>
      </c>
      <c r="X163" s="7">
        <f t="shared" si="167"/>
        <v>0</v>
      </c>
      <c r="Y163" s="7">
        <f t="shared" si="168"/>
        <v>0</v>
      </c>
      <c r="Z163" s="54"/>
      <c r="AA163" s="196"/>
      <c r="AB163" s="7">
        <f t="shared" si="170"/>
        <v>0</v>
      </c>
      <c r="AC163" s="7" t="s">
        <v>27</v>
      </c>
      <c r="AD163" s="7">
        <f t="shared" si="171"/>
        <v>0</v>
      </c>
      <c r="AE163" s="7">
        <f t="shared" si="171"/>
        <v>0</v>
      </c>
      <c r="AF163" s="7">
        <f t="shared" si="171"/>
        <v>0</v>
      </c>
      <c r="AG163" s="7">
        <f t="shared" si="171"/>
        <v>0</v>
      </c>
      <c r="AH163" s="7">
        <f t="shared" si="171"/>
        <v>0</v>
      </c>
      <c r="AI163" s="7">
        <f t="shared" si="171"/>
        <v>0</v>
      </c>
      <c r="AJ163" s="7">
        <f t="shared" si="171"/>
        <v>0</v>
      </c>
      <c r="AK163" s="7">
        <f t="shared" si="171"/>
        <v>0</v>
      </c>
      <c r="AL163" s="7">
        <f t="shared" si="171"/>
        <v>0</v>
      </c>
      <c r="AM163" s="7">
        <f t="shared" si="171"/>
        <v>0</v>
      </c>
      <c r="AN163" s="7">
        <f t="shared" si="172"/>
        <v>0</v>
      </c>
      <c r="AO163" s="7">
        <f t="shared" si="172"/>
        <v>0</v>
      </c>
      <c r="AP163" s="7">
        <f t="shared" si="172"/>
        <v>0</v>
      </c>
      <c r="AQ163" s="7">
        <f t="shared" si="172"/>
        <v>0</v>
      </c>
      <c r="AR163" s="7">
        <f t="shared" si="172"/>
        <v>0</v>
      </c>
      <c r="AS163" s="7">
        <f t="shared" si="172"/>
        <v>0</v>
      </c>
      <c r="AT163" s="7">
        <f t="shared" si="172"/>
        <v>0</v>
      </c>
      <c r="AU163" s="7">
        <f t="shared" si="173"/>
        <v>0</v>
      </c>
      <c r="AV163" s="7">
        <f t="shared" si="174"/>
        <v>0</v>
      </c>
      <c r="AW163" s="7">
        <f t="shared" si="174"/>
        <v>0</v>
      </c>
      <c r="AX163" s="7"/>
      <c r="AY163" s="7">
        <f>SUM($B$163:B163)</f>
        <v>0</v>
      </c>
      <c r="AZ163" s="7">
        <f>SUM($B$163:C163)</f>
        <v>0</v>
      </c>
      <c r="BA163" s="7">
        <f>SUM($B$163:D163)</f>
        <v>0</v>
      </c>
      <c r="BB163" s="7">
        <f>SUM($B$163:E163)</f>
        <v>0</v>
      </c>
      <c r="BC163" s="7">
        <f>SUM($B$163:F163)</f>
        <v>0</v>
      </c>
      <c r="BD163" s="7">
        <f>SUM($B$163:G163)</f>
        <v>0</v>
      </c>
      <c r="BE163" s="7">
        <f>SUM($B$163:H163)</f>
        <v>0</v>
      </c>
      <c r="BF163" s="7">
        <f>SUM($B$163:I163)</f>
        <v>0</v>
      </c>
      <c r="BG163" s="7">
        <f>SUM($B$163:J163)</f>
        <v>0</v>
      </c>
      <c r="BH163" s="7">
        <f>SUM($B$163:K163)</f>
        <v>0</v>
      </c>
      <c r="BI163" s="7">
        <f>SUM($B$163:L163)</f>
        <v>0</v>
      </c>
      <c r="BJ163" s="7">
        <f>SUM($B$163:M163)</f>
        <v>0</v>
      </c>
      <c r="BK163" s="7">
        <f>SUM($B$163:Q163)</f>
        <v>0</v>
      </c>
      <c r="BL163" s="7">
        <f>SUM($B$163:N163)</f>
        <v>0</v>
      </c>
      <c r="BM163" s="7">
        <f>SUM($B$163:O163)</f>
        <v>0</v>
      </c>
      <c r="BN163" s="7">
        <f>SUM($B$163:P163)</f>
        <v>0</v>
      </c>
      <c r="BO163" s="7">
        <f>SUM($B$163:R163)</f>
        <v>0</v>
      </c>
      <c r="BP163" s="7">
        <f>SUM($B$163:S163)</f>
        <v>0</v>
      </c>
      <c r="BQ163" s="7">
        <f>SUM($B$163:T163)</f>
        <v>0</v>
      </c>
      <c r="BR163" s="7">
        <f>SUM($B$163:V163)</f>
        <v>0</v>
      </c>
      <c r="BS163" s="7">
        <f>SUM($BR$158:BR163)</f>
        <v>0</v>
      </c>
      <c r="BT163">
        <f t="shared" si="146"/>
        <v>0</v>
      </c>
      <c r="BU163">
        <f>SUM($BT$158:BT163)</f>
        <v>0</v>
      </c>
    </row>
    <row r="164" spans="1:73" x14ac:dyDescent="0.35">
      <c r="A164" s="162" t="s">
        <v>28</v>
      </c>
      <c r="B164" s="7"/>
      <c r="C164" s="7"/>
      <c r="D164" s="7"/>
      <c r="E164" s="7"/>
      <c r="F164" s="7"/>
      <c r="G164" s="7"/>
      <c r="H164" s="7"/>
      <c r="I164" s="7"/>
      <c r="J164" s="7"/>
      <c r="K164" s="7"/>
      <c r="L164" s="7"/>
      <c r="M164" s="7"/>
      <c r="N164" s="7"/>
      <c r="O164" s="7"/>
      <c r="P164" s="7"/>
      <c r="Q164" s="7"/>
      <c r="R164" s="7"/>
      <c r="S164" s="7"/>
      <c r="T164" s="7"/>
      <c r="U164" s="7"/>
      <c r="V164" s="7"/>
      <c r="W164" s="7">
        <f t="shared" si="166"/>
        <v>0</v>
      </c>
      <c r="X164" s="7">
        <f t="shared" si="167"/>
        <v>0</v>
      </c>
      <c r="Y164" s="7">
        <f t="shared" si="168"/>
        <v>0</v>
      </c>
      <c r="Z164" s="54"/>
      <c r="AA164" s="196"/>
      <c r="AB164" s="7">
        <f t="shared" si="170"/>
        <v>0</v>
      </c>
      <c r="AC164" s="7" t="s">
        <v>28</v>
      </c>
      <c r="AD164" s="7">
        <f t="shared" si="171"/>
        <v>0</v>
      </c>
      <c r="AE164" s="7">
        <f t="shared" si="171"/>
        <v>0</v>
      </c>
      <c r="AF164" s="7">
        <f t="shared" si="171"/>
        <v>0</v>
      </c>
      <c r="AG164" s="7">
        <f t="shared" si="171"/>
        <v>0</v>
      </c>
      <c r="AH164" s="7">
        <f t="shared" si="171"/>
        <v>0</v>
      </c>
      <c r="AI164" s="7">
        <f t="shared" si="171"/>
        <v>0</v>
      </c>
      <c r="AJ164" s="7">
        <f t="shared" si="171"/>
        <v>0</v>
      </c>
      <c r="AK164" s="7">
        <f t="shared" si="171"/>
        <v>0</v>
      </c>
      <c r="AL164" s="7">
        <f t="shared" si="171"/>
        <v>0</v>
      </c>
      <c r="AM164" s="7">
        <f t="shared" si="171"/>
        <v>0</v>
      </c>
      <c r="AN164" s="7">
        <f t="shared" si="172"/>
        <v>0</v>
      </c>
      <c r="AO164" s="7">
        <f t="shared" si="172"/>
        <v>0</v>
      </c>
      <c r="AP164" s="7">
        <f t="shared" si="172"/>
        <v>0</v>
      </c>
      <c r="AQ164" s="7">
        <f t="shared" si="172"/>
        <v>0</v>
      </c>
      <c r="AR164" s="7">
        <f t="shared" si="172"/>
        <v>0</v>
      </c>
      <c r="AS164" s="7">
        <f t="shared" si="172"/>
        <v>0</v>
      </c>
      <c r="AT164" s="7">
        <f t="shared" si="172"/>
        <v>0</v>
      </c>
      <c r="AU164" s="7">
        <f t="shared" si="173"/>
        <v>0</v>
      </c>
      <c r="AV164" s="7">
        <f t="shared" si="174"/>
        <v>0</v>
      </c>
      <c r="AW164" s="7">
        <f t="shared" si="174"/>
        <v>0</v>
      </c>
      <c r="AX164" s="7"/>
      <c r="AY164" s="7">
        <f>SUM($B$164:B164)</f>
        <v>0</v>
      </c>
      <c r="AZ164" s="7">
        <f>SUM($B$164:C164)</f>
        <v>0</v>
      </c>
      <c r="BA164" s="7">
        <f>SUM($B$164:D164)</f>
        <v>0</v>
      </c>
      <c r="BB164" s="7">
        <f>SUM($B$164:E164)</f>
        <v>0</v>
      </c>
      <c r="BC164" s="7">
        <f>SUM($B$164:F164)</f>
        <v>0</v>
      </c>
      <c r="BD164" s="7">
        <f>SUM($B$164:G164)</f>
        <v>0</v>
      </c>
      <c r="BE164" s="7">
        <f>SUM($B$164:H164)</f>
        <v>0</v>
      </c>
      <c r="BF164" s="7">
        <f>SUM($B$164:I164)</f>
        <v>0</v>
      </c>
      <c r="BG164" s="7">
        <f>SUM($B$164:J164)</f>
        <v>0</v>
      </c>
      <c r="BH164" s="7">
        <f>SUM($B$164:K164)</f>
        <v>0</v>
      </c>
      <c r="BI164" s="7">
        <f>SUM($B$164:L164)</f>
        <v>0</v>
      </c>
      <c r="BJ164" s="7">
        <f>SUM($B$164:M164)</f>
        <v>0</v>
      </c>
      <c r="BK164" s="7">
        <f>SUM($B$164:Q164)</f>
        <v>0</v>
      </c>
      <c r="BL164" s="7">
        <f>SUM($B$164:N164)</f>
        <v>0</v>
      </c>
      <c r="BM164" s="7">
        <f>SUM($B$164:O164)</f>
        <v>0</v>
      </c>
      <c r="BN164" s="7">
        <f>SUM($B$164:P164)</f>
        <v>0</v>
      </c>
      <c r="BO164" s="7">
        <f>SUM($B$164:R164)</f>
        <v>0</v>
      </c>
      <c r="BP164" s="7">
        <f>SUM($B$164:S164)</f>
        <v>0</v>
      </c>
      <c r="BQ164" s="7">
        <f>SUM($B$164:T164)</f>
        <v>0</v>
      </c>
      <c r="BR164" s="7">
        <f>SUM($B$164:V164)</f>
        <v>0</v>
      </c>
      <c r="BS164" s="7">
        <f>SUM($BR$158:BR164)</f>
        <v>0</v>
      </c>
      <c r="BT164">
        <f t="shared" si="146"/>
        <v>0</v>
      </c>
      <c r="BU164">
        <f>SUM($BT$158:BT164)</f>
        <v>0</v>
      </c>
    </row>
    <row r="165" spans="1:73" x14ac:dyDescent="0.35">
      <c r="A165" s="51" t="s">
        <v>29</v>
      </c>
      <c r="B165" s="7">
        <f t="shared" ref="B165:T165" si="175">SUM(B158:B164)</f>
        <v>0</v>
      </c>
      <c r="C165" s="7">
        <f t="shared" si="175"/>
        <v>0</v>
      </c>
      <c r="D165" s="7">
        <f t="shared" si="175"/>
        <v>0</v>
      </c>
      <c r="E165" s="7">
        <f t="shared" si="175"/>
        <v>0</v>
      </c>
      <c r="F165" s="7">
        <f t="shared" si="175"/>
        <v>0</v>
      </c>
      <c r="G165" s="7">
        <f t="shared" si="175"/>
        <v>0</v>
      </c>
      <c r="H165" s="7">
        <f t="shared" si="175"/>
        <v>0</v>
      </c>
      <c r="I165" s="7">
        <f t="shared" si="175"/>
        <v>0</v>
      </c>
      <c r="J165" s="7">
        <f t="shared" si="175"/>
        <v>0</v>
      </c>
      <c r="K165" s="7">
        <f>SUM(K158:K164)</f>
        <v>0</v>
      </c>
      <c r="L165" s="7">
        <f t="shared" si="175"/>
        <v>0</v>
      </c>
      <c r="M165" s="7">
        <f t="shared" si="175"/>
        <v>0</v>
      </c>
      <c r="N165" s="7">
        <f t="shared" si="175"/>
        <v>0</v>
      </c>
      <c r="O165" s="7">
        <f t="shared" si="175"/>
        <v>0</v>
      </c>
      <c r="P165" s="7">
        <f t="shared" si="175"/>
        <v>0</v>
      </c>
      <c r="Q165" s="7">
        <f>SUM(Q158:Q164)</f>
        <v>0</v>
      </c>
      <c r="R165" s="7">
        <f t="shared" si="175"/>
        <v>0</v>
      </c>
      <c r="S165" s="7">
        <f t="shared" si="175"/>
        <v>0</v>
      </c>
      <c r="T165" s="7">
        <f t="shared" si="175"/>
        <v>0</v>
      </c>
      <c r="U165" s="7">
        <f t="shared" ref="U165" si="176">SUM(U158:U164)</f>
        <v>0</v>
      </c>
      <c r="V165" s="7">
        <f>SUM(V158:V164)</f>
        <v>0</v>
      </c>
      <c r="W165" s="31">
        <f>SUM(W158:W164)</f>
        <v>0</v>
      </c>
      <c r="X165" s="7"/>
      <c r="Y165" s="7"/>
      <c r="Z165" s="54" t="s">
        <v>175</v>
      </c>
      <c r="AA165" s="196"/>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row>
    <row r="166" spans="1:73" x14ac:dyDescent="0.35">
      <c r="A166" s="51" t="s">
        <v>33</v>
      </c>
      <c r="B166" s="7">
        <f t="shared" ref="B166:U166" si="177">B165-B151</f>
        <v>0</v>
      </c>
      <c r="C166" s="7">
        <f t="shared" si="177"/>
        <v>0</v>
      </c>
      <c r="D166" s="7">
        <f t="shared" si="177"/>
        <v>0</v>
      </c>
      <c r="E166" s="7">
        <f t="shared" si="177"/>
        <v>0</v>
      </c>
      <c r="F166" s="7">
        <f t="shared" si="177"/>
        <v>0</v>
      </c>
      <c r="G166" s="7">
        <f t="shared" si="177"/>
        <v>0</v>
      </c>
      <c r="H166" s="7">
        <f t="shared" si="177"/>
        <v>0</v>
      </c>
      <c r="I166" s="7">
        <f t="shared" si="177"/>
        <v>0</v>
      </c>
      <c r="J166" s="7">
        <f t="shared" si="177"/>
        <v>0</v>
      </c>
      <c r="K166" s="7">
        <f t="shared" si="177"/>
        <v>0</v>
      </c>
      <c r="L166" s="7">
        <f t="shared" si="177"/>
        <v>0</v>
      </c>
      <c r="M166" s="7">
        <f t="shared" si="177"/>
        <v>0</v>
      </c>
      <c r="N166" s="7">
        <f t="shared" si="177"/>
        <v>0</v>
      </c>
      <c r="O166" s="7">
        <f t="shared" si="177"/>
        <v>0</v>
      </c>
      <c r="P166" s="7">
        <f t="shared" si="177"/>
        <v>0</v>
      </c>
      <c r="Q166" s="7">
        <f t="shared" si="177"/>
        <v>0</v>
      </c>
      <c r="R166" s="7">
        <f t="shared" si="177"/>
        <v>0</v>
      </c>
      <c r="S166" s="7">
        <f t="shared" si="177"/>
        <v>0</v>
      </c>
      <c r="T166" s="7">
        <f t="shared" si="177"/>
        <v>0</v>
      </c>
      <c r="U166" s="7">
        <f t="shared" si="177"/>
        <v>0</v>
      </c>
      <c r="V166" s="7">
        <f>V165-V151</f>
        <v>0</v>
      </c>
      <c r="W166" s="7">
        <f>W165-W151</f>
        <v>0</v>
      </c>
      <c r="X166" s="7"/>
      <c r="Y166" s="7"/>
      <c r="Z166" s="54"/>
      <c r="AA166" s="196"/>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row>
    <row r="167" spans="1:73" x14ac:dyDescent="0.35">
      <c r="A167" s="51" t="s">
        <v>110</v>
      </c>
      <c r="B167" s="7" cm="1">
        <f t="array" ref="B167">IF(COUNTIF(AD157:AD163,0)=0,
    LOOKUP(2,1/(AD157:AD163&lt;&gt;""),AD157:AD163),
    MATCH(0,INDEX(AD157:AD163,MAX(ROW(AD157:AD163))-ROW(AD157:AD163)+1),0)-1
)</f>
        <v>0</v>
      </c>
      <c r="C167" s="7" cm="1">
        <f t="array" ref="C167">IF(COUNTIF(AE157:AE163,0)=0,
    LOOKUP(2,1/(AE157:AE163&lt;&gt;""),AE157:AE163),
    MATCH(0,INDEX(AE157:AE163,MAX(ROW(AE157:AE163))-ROW(AE157:AE163)+1),0)-1
)</f>
        <v>0</v>
      </c>
      <c r="D167" s="7" cm="1">
        <f t="array" ref="D167">IF(COUNTIF(AF157:AF163,0)=0,
    LOOKUP(2,1/(AF157:AF163&lt;&gt;""),AF157:AF163),
    MATCH(0,INDEX(AF157:AF163,MAX(ROW(AF157:AF163))-ROW(AF157:AF163)+1),0)-1
)</f>
        <v>0</v>
      </c>
      <c r="E167" s="7" cm="1">
        <f t="array" ref="E167">IF(COUNTIF(AG157:AG163,0)=0,
    LOOKUP(2,1/(AG157:AG163&lt;&gt;""),AG157:AG163),
    MATCH(0,INDEX(AG157:AG163,MAX(ROW(AG157:AG163))-ROW(AG157:AG163)+1),0)-1
)</f>
        <v>0</v>
      </c>
      <c r="F167" s="7" cm="1">
        <f t="array" ref="F167">IF(COUNTIF(AH157:AH163,0)=0,
    LOOKUP(2,1/(AH157:AH163&lt;&gt;""),AH157:AH163),
    MATCH(0,INDEX(AH157:AH163,MAX(ROW(AH157:AH163))-ROW(AH157:AH163)+1),0)-1
)</f>
        <v>0</v>
      </c>
      <c r="G167" s="7" cm="1">
        <f t="array" ref="G167">IF(COUNTIF(AI157:AI163,0)=0,
    LOOKUP(2,1/(AI157:AI163&lt;&gt;""),AI157:AI163),
    MATCH(0,INDEX(AI157:AI163,MAX(ROW(AI157:AI163))-ROW(AI157:AI163)+1),0)-1
)</f>
        <v>0</v>
      </c>
      <c r="H167" s="7" cm="1">
        <f t="array" ref="H167">IF(COUNTIF(AJ157:AJ163,0)=0,
    LOOKUP(2,1/(AJ157:AJ163&lt;&gt;""),AJ157:AJ163),
    MATCH(0,INDEX(AJ157:AJ163,MAX(ROW(AJ157:AJ163))-ROW(AJ157:AJ163)+1),0)-1
)</f>
        <v>0</v>
      </c>
      <c r="I167" s="7" cm="1">
        <f t="array" ref="I167">IF(COUNTIF(AK157:AK163,0)=0,
    LOOKUP(2,1/(AK157:AK163&lt;&gt;""),AK157:AK163),
    MATCH(0,INDEX(AK157:AK163,MAX(ROW(AK157:AK163))-ROW(AK157:AK163)+1),0)-1
)</f>
        <v>0</v>
      </c>
      <c r="J167" s="7" cm="1">
        <f t="array" ref="J167">IF(COUNTIF(AL157:AL163,0)=0,
    LOOKUP(2,1/(AL157:AL163&lt;&gt;""),AL157:AL163),
    MATCH(0,INDEX(AL157:AL163,MAX(ROW(AL157:AL163))-ROW(AL157:AL163)+1),0)-1
)</f>
        <v>0</v>
      </c>
      <c r="K167" s="7" cm="1">
        <f t="array" ref="K167">IF(COUNTIF(AM157:AM163,0)=0,
    LOOKUP(2,1/(AM157:AM163&lt;&gt;""),AM157:AM163),
    MATCH(0,INDEX(AM157:AM163,MAX(ROW(AM157:AM163))-ROW(AM157:AM163)+1),0)-1
)</f>
        <v>0</v>
      </c>
      <c r="L167" s="7" cm="1">
        <f t="array" ref="L167">IF(COUNTIF(AN157:AN163,0)=0,
    LOOKUP(2,1/(AN157:AN163&lt;&gt;""),AN157:AN163),
    MATCH(0,INDEX(AN157:AN163,MAX(ROW(AN157:AN163))-ROW(AN157:AN163)+1),0)-1
)</f>
        <v>0</v>
      </c>
      <c r="M167" s="7" cm="1">
        <f t="array" ref="M167">IF(COUNTIF(AO157:AO163,0)=0,
    LOOKUP(2,1/(AO157:AO163&lt;&gt;""),AO157:AO163),
    MATCH(0,INDEX(AO157:AO163,MAX(ROW(AO157:AO163))-ROW(AO157:AO163)+1),0)-1
)</f>
        <v>0</v>
      </c>
      <c r="N167" s="7" cm="1">
        <f t="array" ref="N167">IF(COUNTIF(AP157:AP163,0)=0,
    LOOKUP(2,1/(AP157:AP163&lt;&gt;""),AP157:AP163),
    MATCH(0,INDEX(AP157:AP163,MAX(ROW(AP157:AP163))-ROW(AP157:AP163)+1),0)-1
)</f>
        <v>0</v>
      </c>
      <c r="O167" s="7" cm="1">
        <f t="array" ref="O167">IF(COUNTIF(AQ157:AQ163,0)=0,
    LOOKUP(2,1/(AQ157:AQ163&lt;&gt;""),AQ157:AQ163),
    MATCH(0,INDEX(AQ157:AQ163,MAX(ROW(AQ157:AQ163))-ROW(AQ157:AQ163)+1),0)-1
)</f>
        <v>0</v>
      </c>
      <c r="P167" s="7" cm="1">
        <f t="array" ref="P167">IF(COUNTIF(AR157:AR163,0)=0,
    LOOKUP(2,1/(AR157:AR163&lt;&gt;""),AR157:AR163),
    MATCH(0,INDEX(AR157:AR163,MAX(ROW(AR157:AR163))-ROW(AR157:AR163)+1),0)-1
)</f>
        <v>0</v>
      </c>
      <c r="Q167" s="7" cm="1">
        <f t="array" ref="Q167">IF(COUNTIF(AS157:AS163,0)=0,
    LOOKUP(2,1/(AS157:AS163&lt;&gt;""),AS157:AS163),
    MATCH(0,INDEX(AS157:AS163,MAX(ROW(AS157:AS163))-ROW(AS157:AS163)+1),0)-1
)</f>
        <v>0</v>
      </c>
      <c r="R167" s="7" cm="1">
        <f t="array" ref="R167">IF(COUNTIF(AT157:AT163,0)=0,
    LOOKUP(2,1/(AT157:AT163&lt;&gt;""),AT157:AT163),
    MATCH(0,INDEX(AT157:AT163,MAX(ROW(AT157:AT163))-ROW(AT157:AT163)+1),0)-1
)</f>
        <v>0</v>
      </c>
      <c r="S167" s="7" cm="1">
        <f t="array" ref="S167">IF(COUNTIF(AU157:AU163,0)=0,
    LOOKUP(2,1/(AU157:AU163&lt;&gt;""),AU157:AU163),
    MATCH(0,INDEX(AU157:AU163,MAX(ROW(AU157:AU163))-ROW(AU157:AU163)+1),0)-1
)</f>
        <v>0</v>
      </c>
      <c r="T167" s="7" cm="1">
        <f t="array" ref="T167">IF(COUNTIF(AV157:AV163,0)=0,
    LOOKUP(2,1/(AV157:AV163&lt;&gt;""),AV157:AV163),
    MATCH(0,INDEX(AV157:AV163,MAX(ROW(AV157:AV163))-ROW(AV157:AV163)+1),0)-1
)</f>
        <v>0</v>
      </c>
      <c r="U167" s="7" cm="1">
        <f t="array" ref="U167">IF(COUNTIF(AW157:AW163,0)=0,
    LOOKUP(2,1/(AW157:AW163&lt;&gt;""),AW157:AW163),
    MATCH(0,INDEX(AW157:AW163,MAX(ROW(AW157:AW163))-ROW(AW157:AW163)+1),0)-1
)</f>
        <v>0</v>
      </c>
      <c r="V167" s="7" cm="1">
        <f t="array" ref="V167">IF(COUNTIF(AY157:AY163,0)=0,
    LOOKUP(2,1/(AY157:AY163&lt;&gt;""),AY157:AY163),
    MATCH(0,INDEX(AY157:AY163,MAX(ROW(AY157:AY163))-ROW(AY157:AY163)+1),0)-1
)</f>
        <v>0</v>
      </c>
      <c r="W167" s="7"/>
      <c r="X167" s="7" cm="1">
        <f t="array" ref="X167">IF(COUNTIF(Y157:Y163,0)=0,
    LOOKUP(2,1/(Y157:Y163&lt;&gt;""),Y157:Y163),
    MATCH(0,INDEX(Y157:Y163,MAX(ROW(Y157:Y163))-ROW(Y157:Y163)+1),0)-1
)</f>
        <v>0</v>
      </c>
      <c r="Y167" s="7"/>
      <c r="Z167" s="54"/>
      <c r="AA167" s="196"/>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row>
    <row r="168" spans="1:73" x14ac:dyDescent="0.35">
      <c r="A168" s="51" t="s">
        <v>99</v>
      </c>
      <c r="B168" s="7">
        <f t="shared" ref="B168:U168" si="178">B165+B154</f>
        <v>2</v>
      </c>
      <c r="C168" s="7">
        <f t="shared" si="178"/>
        <v>0</v>
      </c>
      <c r="D168" s="7">
        <f t="shared" si="178"/>
        <v>5</v>
      </c>
      <c r="E168" s="7">
        <f t="shared" si="178"/>
        <v>9</v>
      </c>
      <c r="F168" s="7">
        <f t="shared" si="178"/>
        <v>4</v>
      </c>
      <c r="G168" s="7">
        <f t="shared" si="178"/>
        <v>0</v>
      </c>
      <c r="H168" s="7">
        <f t="shared" si="178"/>
        <v>0</v>
      </c>
      <c r="I168" s="7">
        <f t="shared" si="178"/>
        <v>3</v>
      </c>
      <c r="J168" s="7">
        <f t="shared" si="178"/>
        <v>0</v>
      </c>
      <c r="K168" s="7">
        <f t="shared" si="178"/>
        <v>0.75</v>
      </c>
      <c r="L168" s="7">
        <f t="shared" si="178"/>
        <v>2</v>
      </c>
      <c r="M168" s="7">
        <f t="shared" si="178"/>
        <v>1</v>
      </c>
      <c r="N168" s="7">
        <f t="shared" si="178"/>
        <v>2.5</v>
      </c>
      <c r="O168" s="7">
        <f t="shared" si="178"/>
        <v>2</v>
      </c>
      <c r="P168" s="7">
        <f t="shared" si="178"/>
        <v>0</v>
      </c>
      <c r="Q168" s="7">
        <f t="shared" si="178"/>
        <v>0</v>
      </c>
      <c r="R168" s="7">
        <f t="shared" si="178"/>
        <v>1</v>
      </c>
      <c r="S168" s="7">
        <f t="shared" si="178"/>
        <v>3</v>
      </c>
      <c r="T168" s="7">
        <f t="shared" si="178"/>
        <v>0</v>
      </c>
      <c r="U168" s="7">
        <f t="shared" si="178"/>
        <v>-1</v>
      </c>
      <c r="V168" s="7">
        <f>V165+V154</f>
        <v>2</v>
      </c>
      <c r="W168" s="7">
        <f>W154+W165</f>
        <v>36.25</v>
      </c>
      <c r="X168" s="7"/>
      <c r="Y168" s="7">
        <f>SUM(Y158:Y164)</f>
        <v>0</v>
      </c>
      <c r="Z168" s="54" t="s">
        <v>176</v>
      </c>
      <c r="AA168" s="196"/>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row>
    <row r="169" spans="1:73" x14ac:dyDescent="0.35">
      <c r="A169" s="51" t="s">
        <v>112</v>
      </c>
      <c r="B169" s="174">
        <f>(COUNTIF(B4:B10, "&gt;0")+COUNTIF(B18:B24, "&gt;0")+COUNTIF(B32:B38, "&gt;0")+COUNTIF(B46:B52, "&gt;0")+COUNTIF(B60:B66, "&gt;0")+COUNTIF(B74:B80, "&gt;0")+COUNTIF(B88:B94, "&gt;0")+COUNTIF(B102:B108, "&gt;0")+COUNTIF(B116:B122, "&gt;0")+COUNTIF(B130:B136, "&gt;0")+COUNTIF(B144:B150, "&gt;0") + COUNTIF(B158:B164, "&gt;0")) / 84</f>
        <v>1.1904761904761904E-2</v>
      </c>
      <c r="C169" s="174">
        <f t="shared" ref="C169:O169" si="179">(COUNTIF(C4:C10, "&gt;0")+COUNTIF(C18:C24, "&gt;0")+COUNTIF(C32:C38, "&gt;0")+COUNTIF(C46:C52, "&gt;0")+COUNTIF(C60:C66, "&gt;0")+COUNTIF(C74:C80, "&gt;0")+COUNTIF(C88:C94, "&gt;0")+COUNTIF(C102:C108, "&gt;0")+COUNTIF(C116:C122, "&gt;0")+COUNTIF(C130:C136, "&gt;0")+COUNTIF(C144:C150, "&gt;0") + COUNTIF(C158:C164, "&gt;0")) / 84</f>
        <v>0</v>
      </c>
      <c r="D169" s="174">
        <f t="shared" si="179"/>
        <v>1.1904761904761904E-2</v>
      </c>
      <c r="E169" s="174">
        <f t="shared" si="179"/>
        <v>1.1904761904761904E-2</v>
      </c>
      <c r="F169" s="174">
        <f t="shared" si="179"/>
        <v>1.1904761904761904E-2</v>
      </c>
      <c r="G169" s="174">
        <f t="shared" si="179"/>
        <v>0</v>
      </c>
      <c r="H169" s="174">
        <f t="shared" si="179"/>
        <v>0</v>
      </c>
      <c r="I169" s="174">
        <f t="shared" si="179"/>
        <v>1.1904761904761904E-2</v>
      </c>
      <c r="J169" s="174">
        <f t="shared" si="179"/>
        <v>0</v>
      </c>
      <c r="K169" s="174">
        <f t="shared" si="179"/>
        <v>1.1904761904761904E-2</v>
      </c>
      <c r="L169" s="174">
        <f t="shared" si="179"/>
        <v>1.1904761904761904E-2</v>
      </c>
      <c r="M169" s="174">
        <f t="shared" si="179"/>
        <v>1.1904761904761904E-2</v>
      </c>
      <c r="N169" s="174">
        <f t="shared" si="179"/>
        <v>1.1904761904761904E-2</v>
      </c>
      <c r="O169" s="174">
        <f t="shared" si="179"/>
        <v>1.1904761904761904E-2</v>
      </c>
      <c r="P169" s="7"/>
      <c r="Q169" s="7"/>
      <c r="R169" s="7"/>
      <c r="S169" s="7"/>
      <c r="T169" s="7"/>
      <c r="U169" s="51" t="s">
        <v>31</v>
      </c>
      <c r="V169" s="7">
        <f>SUMIF(B165:V165,"&lt;0",B165:V165)</f>
        <v>0</v>
      </c>
      <c r="W169" s="7">
        <f>SUMIF(B165:V165,"&gt;0",B165:V165)</f>
        <v>0</v>
      </c>
      <c r="Y169" s="7"/>
      <c r="Z169" s="54"/>
      <c r="AA169" s="196"/>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row>
    <row r="170" spans="1:73" ht="14.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11"/>
      <c r="AA170" s="11"/>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row>
    <row r="171" spans="1:73"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11"/>
      <c r="AA171" s="11"/>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row>
    <row r="172" spans="1:73"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11"/>
      <c r="AA172" s="11"/>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12"/>
      <c r="AZ172" s="12"/>
      <c r="BA172" s="12"/>
      <c r="BB172" s="12"/>
      <c r="BC172" s="12"/>
      <c r="BD172" s="12"/>
      <c r="BE172" s="12"/>
      <c r="BF172" s="12"/>
      <c r="BG172" s="12"/>
      <c r="BH172" s="12"/>
      <c r="BI172" s="12"/>
      <c r="BJ172" s="12"/>
      <c r="BK172" s="12"/>
      <c r="BL172" s="12"/>
      <c r="BM172" s="12"/>
      <c r="BN172" s="12"/>
      <c r="BO172" s="12"/>
      <c r="BP172" s="12"/>
      <c r="BQ172" s="12"/>
      <c r="BR172" s="12"/>
      <c r="BS172" s="12"/>
    </row>
    <row r="173" spans="1:73"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11"/>
      <c r="AA173" s="11"/>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row>
    <row r="174" spans="1:73"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11"/>
      <c r="AA174" s="11"/>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row>
    <row r="175" spans="1:73"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11"/>
      <c r="AA175" s="11"/>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row>
    <row r="176" spans="1:73"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11"/>
      <c r="AA176" s="11"/>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row>
    <row r="177" spans="1:71" x14ac:dyDescent="0.35">
      <c r="A177" s="7"/>
      <c r="B177" s="7"/>
      <c r="C177" s="7"/>
      <c r="D177" s="7"/>
      <c r="E177" s="7"/>
      <c r="F177" s="7"/>
      <c r="G177" s="7"/>
      <c r="H177" s="7"/>
      <c r="I177" s="7"/>
      <c r="J177" s="7"/>
      <c r="K177" s="7"/>
      <c r="L177" s="179" t="s">
        <v>136</v>
      </c>
      <c r="M177" s="179" t="s">
        <v>135</v>
      </c>
      <c r="N177" s="180" t="s">
        <v>137</v>
      </c>
      <c r="O177" s="178"/>
      <c r="P177" s="7"/>
      <c r="Q177" s="7"/>
      <c r="R177" s="7"/>
      <c r="S177" s="7"/>
      <c r="T177" s="7"/>
      <c r="U177" s="7"/>
      <c r="V177" s="7"/>
      <c r="W177" s="7"/>
      <c r="X177" s="7"/>
      <c r="Y177" s="7"/>
      <c r="Z177" s="11"/>
      <c r="AA177" s="11"/>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row>
    <row r="178" spans="1:7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11"/>
      <c r="AA178" s="11"/>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row>
    <row r="179" spans="1:7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11"/>
      <c r="AA179" s="11"/>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row>
    <row r="180" spans="1:7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11"/>
      <c r="AA180" s="11"/>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row>
    <row r="181" spans="1:7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11"/>
      <c r="AA181" s="11"/>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row>
    <row r="182" spans="1:7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11"/>
      <c r="AA182" s="11"/>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row>
    <row r="183" spans="1:7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11"/>
      <c r="AA183" s="11"/>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row>
    <row r="184" spans="1:7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11"/>
      <c r="AA184" s="11"/>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row>
    <row r="185" spans="1:71" x14ac:dyDescent="0.35">
      <c r="A185" s="7"/>
      <c r="B185" s="7"/>
      <c r="C185" s="7"/>
      <c r="D185" s="7"/>
      <c r="E185" s="7"/>
      <c r="F185" s="7"/>
      <c r="G185" s="7"/>
      <c r="H185" s="7"/>
      <c r="I185" s="7"/>
      <c r="J185" s="7"/>
      <c r="K185" s="7" t="s">
        <v>156</v>
      </c>
      <c r="L185" s="7"/>
      <c r="M185" s="7"/>
      <c r="N185" s="7"/>
      <c r="O185" s="7"/>
      <c r="P185" s="186" t="s">
        <v>157</v>
      </c>
      <c r="Q185" s="7"/>
      <c r="R185" s="7"/>
      <c r="S185" s="7"/>
      <c r="T185" s="7"/>
      <c r="U185" s="7"/>
      <c r="V185" s="7"/>
      <c r="W185" s="7"/>
      <c r="X185" s="7"/>
      <c r="Y185" s="7"/>
      <c r="Z185" s="11"/>
      <c r="AA185" s="11"/>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row>
    <row r="186" spans="1:7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11"/>
      <c r="AA186" s="11"/>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row>
    <row r="187" spans="1:7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11"/>
      <c r="AA187" s="11"/>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row>
    <row r="188" spans="1:7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11"/>
      <c r="AA188" s="11"/>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row>
    <row r="189" spans="1:7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11"/>
      <c r="AA189" s="11"/>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row>
    <row r="190" spans="1:7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11"/>
      <c r="AA190" s="11"/>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row>
    <row r="191" spans="1:7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11"/>
      <c r="AA191" s="11"/>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row>
    <row r="192" spans="1:7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11"/>
      <c r="AA192" s="11"/>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row>
    <row r="193" spans="1:7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11"/>
      <c r="AA193" s="11"/>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row>
    <row r="194" spans="1:7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11"/>
      <c r="AA194" s="11"/>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row>
    <row r="195" spans="1:7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11"/>
      <c r="AA195" s="11"/>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row>
    <row r="196" spans="1:7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11"/>
      <c r="AA196" s="11"/>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row>
    <row r="197" spans="1:7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11"/>
      <c r="AA197" s="11"/>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row>
    <row r="198" spans="1:7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11"/>
      <c r="AA198" s="11"/>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row>
    <row r="199" spans="1:7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11"/>
      <c r="AA199" s="11"/>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row>
    <row r="200" spans="1:7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11"/>
      <c r="AA200" s="11"/>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row>
    <row r="201" spans="1:7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11"/>
      <c r="AA201" s="11"/>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row>
    <row r="202" spans="1:7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11"/>
      <c r="AA202" s="11"/>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row>
    <row r="203" spans="1:7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11"/>
      <c r="AA203" s="11"/>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row>
    <row r="204" spans="1:7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11"/>
      <c r="AA204" s="11"/>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row>
    <row r="205" spans="1:7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11"/>
      <c r="AA205" s="11"/>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row>
    <row r="206" spans="1:7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11"/>
      <c r="AA206" s="11"/>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row>
    <row r="207" spans="1:7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11"/>
      <c r="AA207" s="11"/>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row>
    <row r="208" spans="1:71" x14ac:dyDescent="0.35">
      <c r="A208" s="7"/>
      <c r="B208" s="7"/>
      <c r="C208" s="7"/>
      <c r="D208" s="7"/>
      <c r="E208" s="7" t="s">
        <v>138</v>
      </c>
      <c r="F208" s="7"/>
      <c r="G208" s="7"/>
      <c r="H208" s="7"/>
      <c r="I208" s="7"/>
      <c r="J208" s="7"/>
      <c r="K208" s="7"/>
      <c r="L208" s="7"/>
      <c r="M208" s="7"/>
      <c r="N208" s="7"/>
      <c r="O208" s="7"/>
      <c r="P208" s="7"/>
      <c r="Q208" s="7"/>
      <c r="R208" s="7"/>
      <c r="S208" s="7"/>
      <c r="T208" s="7"/>
      <c r="U208" s="7"/>
      <c r="V208" s="7"/>
      <c r="W208" s="7"/>
      <c r="X208" s="7"/>
      <c r="Y208" s="7"/>
      <c r="Z208" s="11"/>
      <c r="AA208" s="11"/>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row>
    <row r="209" spans="1:7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11"/>
      <c r="AA209" s="11"/>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row>
    <row r="210" spans="1:71" x14ac:dyDescent="0.35">
      <c r="A210" s="7"/>
      <c r="B210" s="7"/>
      <c r="C210" s="7"/>
      <c r="D210" s="7"/>
      <c r="E210" s="7" t="s">
        <v>41</v>
      </c>
      <c r="F210" s="7" t="s">
        <v>42</v>
      </c>
      <c r="G210" s="7" t="s">
        <v>22</v>
      </c>
      <c r="H210" s="7" t="s">
        <v>61</v>
      </c>
      <c r="I210" s="7" t="s">
        <v>24</v>
      </c>
      <c r="J210" s="7" t="s">
        <v>25</v>
      </c>
      <c r="K210" s="7" t="s">
        <v>26</v>
      </c>
      <c r="L210" s="7" t="s">
        <v>27</v>
      </c>
      <c r="M210" s="7" t="s">
        <v>28</v>
      </c>
      <c r="N210" s="7"/>
      <c r="O210" s="7"/>
      <c r="P210" s="7"/>
      <c r="Q210" s="7"/>
      <c r="R210" s="7"/>
      <c r="S210" s="7"/>
      <c r="T210" s="7"/>
      <c r="U210" s="7"/>
      <c r="V210" s="7"/>
      <c r="W210" s="7"/>
      <c r="X210" s="7"/>
      <c r="Y210" s="7"/>
      <c r="Z210" s="11"/>
      <c r="AA210" s="11"/>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row>
    <row r="211" spans="1:71" x14ac:dyDescent="0.35">
      <c r="A211" s="7"/>
      <c r="B211" s="7"/>
      <c r="C211" s="7"/>
      <c r="D211" s="7"/>
      <c r="E211" s="7" t="s">
        <v>62</v>
      </c>
      <c r="F211" s="7"/>
      <c r="G211" s="7"/>
      <c r="H211" s="7"/>
      <c r="I211" s="7"/>
      <c r="J211" s="7"/>
      <c r="K211" s="7"/>
      <c r="L211" s="7"/>
      <c r="M211" s="7"/>
      <c r="N211" s="7"/>
      <c r="O211" s="7"/>
      <c r="P211" s="7"/>
      <c r="Q211" s="7"/>
      <c r="R211" s="7"/>
      <c r="S211" s="7"/>
      <c r="T211" s="7"/>
      <c r="U211" s="7"/>
      <c r="V211" s="7"/>
      <c r="W211" s="7"/>
      <c r="X211" s="7"/>
      <c r="Y211" s="7"/>
      <c r="Z211" s="11"/>
      <c r="AA211" s="11"/>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row>
    <row r="212" spans="1:71" x14ac:dyDescent="0.35">
      <c r="A212" s="7"/>
      <c r="B212" s="7"/>
      <c r="C212" s="7"/>
      <c r="D212" s="7"/>
      <c r="E212" s="7" t="s">
        <v>63</v>
      </c>
      <c r="F212" s="7"/>
      <c r="G212" s="7"/>
      <c r="H212" s="7"/>
      <c r="I212" s="7"/>
      <c r="J212" s="7"/>
      <c r="K212" s="7"/>
      <c r="L212" s="7"/>
      <c r="M212" s="7"/>
      <c r="N212" s="7"/>
      <c r="O212" s="7"/>
      <c r="P212" s="7"/>
      <c r="Q212" s="7"/>
      <c r="R212" s="7"/>
      <c r="S212" s="7"/>
      <c r="T212" s="7"/>
      <c r="U212" s="7"/>
      <c r="V212" s="7"/>
      <c r="W212" s="7"/>
      <c r="X212" s="7"/>
      <c r="Y212" s="7"/>
      <c r="Z212" s="11"/>
      <c r="AA212" s="11"/>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row>
    <row r="213" spans="1:71" x14ac:dyDescent="0.35">
      <c r="A213" s="7"/>
      <c r="B213" s="7"/>
      <c r="C213" s="7"/>
      <c r="D213" s="7"/>
      <c r="E213" s="7" t="s">
        <v>64</v>
      </c>
      <c r="F213" s="7"/>
      <c r="G213" s="7"/>
      <c r="H213" s="7"/>
      <c r="I213" s="7"/>
      <c r="J213" s="7"/>
      <c r="K213" s="7"/>
      <c r="L213" s="7"/>
      <c r="M213" s="7"/>
      <c r="N213" s="7"/>
      <c r="O213" s="7"/>
      <c r="P213" s="7"/>
      <c r="Q213" s="7"/>
      <c r="R213" s="7"/>
      <c r="S213" s="7"/>
      <c r="T213" s="7"/>
      <c r="U213" s="7"/>
      <c r="V213" s="7"/>
      <c r="W213" s="7"/>
      <c r="X213" s="7"/>
      <c r="Y213" s="7"/>
      <c r="Z213" s="11"/>
      <c r="AA213" s="11"/>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row>
    <row r="214" spans="1:71" x14ac:dyDescent="0.35">
      <c r="A214" s="7"/>
      <c r="B214" s="7"/>
      <c r="C214" s="7"/>
      <c r="D214" s="7"/>
      <c r="E214" s="7" t="s">
        <v>65</v>
      </c>
      <c r="F214" s="7"/>
      <c r="G214" s="7"/>
      <c r="H214" s="7"/>
      <c r="I214" s="7"/>
      <c r="J214" s="7"/>
      <c r="K214" s="7"/>
      <c r="L214" s="7"/>
      <c r="M214" s="7"/>
      <c r="N214" s="7"/>
      <c r="O214" s="7"/>
      <c r="P214" s="7"/>
      <c r="Q214" s="7"/>
      <c r="R214" s="7"/>
      <c r="S214" s="7"/>
      <c r="T214" s="7"/>
      <c r="U214" s="7"/>
      <c r="V214" s="7"/>
      <c r="W214" s="7"/>
      <c r="X214" s="7"/>
      <c r="Y214" s="7"/>
      <c r="Z214" s="11"/>
      <c r="AA214" s="11"/>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row>
    <row r="215" spans="1:71" x14ac:dyDescent="0.35">
      <c r="A215" s="7"/>
      <c r="B215" s="7"/>
      <c r="C215" s="7"/>
      <c r="D215" s="7"/>
      <c r="E215" s="7" t="s">
        <v>66</v>
      </c>
      <c r="F215" s="7"/>
      <c r="G215" s="7"/>
      <c r="H215" s="7"/>
      <c r="I215" s="7"/>
      <c r="J215" s="7"/>
      <c r="K215" s="7"/>
      <c r="L215" s="7"/>
      <c r="M215" s="7"/>
      <c r="N215" s="7"/>
      <c r="O215" s="7"/>
      <c r="P215" s="7"/>
      <c r="Q215" s="7"/>
      <c r="R215" s="7"/>
      <c r="S215" s="7"/>
      <c r="T215" s="7"/>
      <c r="U215" s="7"/>
      <c r="V215" s="7"/>
      <c r="W215" s="7"/>
      <c r="X215" s="7"/>
      <c r="Y215" s="7"/>
      <c r="Z215" s="11"/>
      <c r="AA215" s="11"/>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row>
    <row r="216" spans="1:71" x14ac:dyDescent="0.35">
      <c r="A216" s="7"/>
      <c r="B216" s="7"/>
      <c r="C216" s="7"/>
      <c r="D216" s="7"/>
      <c r="E216" s="7" t="s">
        <v>67</v>
      </c>
      <c r="F216" s="7"/>
      <c r="G216" s="7"/>
      <c r="H216" s="7"/>
      <c r="I216" s="7"/>
      <c r="J216" s="7"/>
      <c r="K216" s="7"/>
      <c r="L216" s="7"/>
      <c r="M216" s="7"/>
      <c r="N216" s="7"/>
      <c r="O216" s="7"/>
      <c r="P216" s="7"/>
      <c r="Q216" s="7"/>
      <c r="R216" s="7"/>
      <c r="S216" s="7"/>
      <c r="T216" s="7"/>
      <c r="U216" s="7"/>
      <c r="V216" s="7"/>
      <c r="W216" s="7"/>
      <c r="X216" s="7"/>
      <c r="Y216" s="7"/>
      <c r="Z216" s="11"/>
      <c r="AA216" s="11"/>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row>
    <row r="217" spans="1:71" x14ac:dyDescent="0.35">
      <c r="A217" s="7"/>
      <c r="B217" s="7"/>
      <c r="C217" s="7"/>
      <c r="D217" s="7"/>
      <c r="E217" s="7" t="s">
        <v>68</v>
      </c>
      <c r="F217" s="7"/>
      <c r="G217" s="7"/>
      <c r="H217" s="7"/>
      <c r="I217" s="7"/>
      <c r="J217" s="7"/>
      <c r="K217" s="7"/>
      <c r="L217" s="7"/>
      <c r="M217" s="7"/>
      <c r="N217" s="7"/>
      <c r="O217" s="7"/>
      <c r="P217" s="7"/>
      <c r="Q217" s="7"/>
      <c r="R217" s="7"/>
      <c r="S217" s="7"/>
      <c r="T217" s="7"/>
      <c r="U217" s="7"/>
      <c r="V217" s="7"/>
      <c r="W217" s="7"/>
      <c r="X217" s="7"/>
      <c r="Y217" s="7"/>
      <c r="Z217" s="11"/>
      <c r="AA217" s="11"/>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row>
    <row r="218" spans="1:71" x14ac:dyDescent="0.35">
      <c r="A218" s="7"/>
      <c r="B218" s="7"/>
      <c r="C218" s="7"/>
      <c r="D218" s="7"/>
      <c r="E218" s="7" t="s">
        <v>69</v>
      </c>
      <c r="F218" s="7"/>
      <c r="G218" s="7"/>
      <c r="H218" s="7"/>
      <c r="I218" s="7"/>
      <c r="J218" s="7"/>
      <c r="K218" s="7"/>
      <c r="L218" s="7"/>
      <c r="M218" s="7"/>
      <c r="N218" s="7"/>
      <c r="O218" s="7"/>
      <c r="P218" s="7"/>
      <c r="Q218" s="7"/>
      <c r="R218" s="7"/>
      <c r="S218" s="7"/>
      <c r="T218" s="7"/>
      <c r="U218" s="7"/>
      <c r="V218" s="7"/>
      <c r="W218" s="7"/>
      <c r="X218" s="7"/>
      <c r="Y218" s="7"/>
      <c r="Z218" s="11"/>
      <c r="AA218" s="11"/>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row>
    <row r="219" spans="1:71" x14ac:dyDescent="0.35">
      <c r="A219" s="7"/>
      <c r="B219" s="7"/>
      <c r="C219" s="7"/>
      <c r="D219" s="7"/>
      <c r="E219" s="7" t="s">
        <v>70</v>
      </c>
      <c r="F219" s="7"/>
      <c r="G219" s="7"/>
      <c r="H219" s="7"/>
      <c r="I219" s="7"/>
      <c r="J219" s="7"/>
      <c r="K219" s="7"/>
      <c r="L219" s="7"/>
      <c r="M219" s="7"/>
      <c r="N219" s="7"/>
      <c r="O219" s="7"/>
      <c r="P219" s="7"/>
      <c r="Q219" s="7"/>
      <c r="R219" s="7"/>
      <c r="S219" s="7"/>
      <c r="T219" s="7"/>
      <c r="U219" s="7"/>
      <c r="V219" s="7"/>
      <c r="W219" s="7"/>
      <c r="X219" s="7"/>
      <c r="Y219" s="7"/>
      <c r="Z219" s="11"/>
      <c r="AA219" s="11"/>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row>
    <row r="220" spans="1:71" x14ac:dyDescent="0.35">
      <c r="A220" s="7"/>
      <c r="B220" s="7"/>
      <c r="C220" s="7"/>
      <c r="D220" s="7"/>
      <c r="E220" s="7" t="s">
        <v>71</v>
      </c>
      <c r="F220" s="7"/>
      <c r="G220" s="7"/>
      <c r="H220" s="7"/>
      <c r="I220" s="7"/>
      <c r="J220" s="7"/>
      <c r="K220" s="7"/>
      <c r="L220" s="7"/>
      <c r="M220" s="7"/>
      <c r="N220" s="7"/>
      <c r="O220" s="7"/>
      <c r="P220" s="7"/>
      <c r="Q220" s="7"/>
      <c r="R220" s="7"/>
      <c r="S220" s="7"/>
      <c r="T220" s="7"/>
      <c r="U220" s="7"/>
      <c r="V220" s="7"/>
      <c r="W220" s="7"/>
      <c r="X220" s="7"/>
      <c r="Y220" s="7"/>
      <c r="Z220" s="11"/>
      <c r="AA220" s="11"/>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row>
    <row r="221" spans="1:71" x14ac:dyDescent="0.35">
      <c r="A221" s="7"/>
      <c r="B221" s="7"/>
      <c r="C221" s="7"/>
      <c r="D221" s="7"/>
      <c r="E221" s="7" t="s">
        <v>72</v>
      </c>
      <c r="F221" s="7"/>
      <c r="G221" s="7"/>
      <c r="H221" s="7"/>
      <c r="I221" s="7"/>
      <c r="J221" s="7"/>
      <c r="K221" s="7"/>
      <c r="L221" s="7"/>
      <c r="M221" s="7"/>
      <c r="N221" s="7"/>
      <c r="O221" s="7"/>
      <c r="P221" s="7"/>
      <c r="Q221" s="7"/>
      <c r="R221" s="7"/>
      <c r="S221" s="7"/>
      <c r="T221" s="7"/>
      <c r="U221" s="7"/>
      <c r="V221" s="7"/>
      <c r="W221" s="7"/>
      <c r="X221" s="7"/>
      <c r="Y221" s="7"/>
      <c r="Z221" s="11"/>
      <c r="AA221" s="11"/>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row>
    <row r="222" spans="1:71" x14ac:dyDescent="0.35">
      <c r="A222" s="7"/>
      <c r="B222" s="7"/>
      <c r="C222" s="7"/>
      <c r="D222" s="7"/>
      <c r="E222" s="7" t="s">
        <v>73</v>
      </c>
      <c r="F222" s="7"/>
      <c r="G222" s="7"/>
      <c r="H222" s="7"/>
      <c r="I222" s="7"/>
      <c r="J222" s="7"/>
      <c r="K222" s="7"/>
      <c r="L222" s="7"/>
      <c r="M222" s="7"/>
      <c r="N222" s="7"/>
      <c r="O222" s="7"/>
      <c r="P222" s="7"/>
      <c r="Q222" s="7"/>
      <c r="R222" s="7"/>
      <c r="S222" s="7"/>
      <c r="T222" s="7"/>
      <c r="U222" s="7"/>
      <c r="V222" s="7"/>
      <c r="W222" s="7"/>
      <c r="X222" s="7"/>
      <c r="Y222" s="7"/>
      <c r="Z222" s="11"/>
      <c r="AA222" s="11"/>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row>
  </sheetData>
  <mergeCells count="3">
    <mergeCell ref="B1:O1"/>
    <mergeCell ref="B3:C3"/>
    <mergeCell ref="F3:G3"/>
  </mergeCells>
  <phoneticPr fontId="3" type="noConversion"/>
  <conditionalFormatting sqref="B180">
    <cfRule type="top10" dxfId="217" priority="465" rank="5"/>
    <cfRule type="colorScale" priority="461">
      <colorScale>
        <cfvo type="min"/>
        <cfvo type="percentile" val="50"/>
        <cfvo type="max"/>
        <color rgb="FFF8696B"/>
        <color rgb="FFFFEB84"/>
        <color rgb="FF63BE7B"/>
      </colorScale>
    </cfRule>
  </conditionalFormatting>
  <conditionalFormatting sqref="B180:C180">
    <cfRule type="colorScale" priority="460">
      <colorScale>
        <cfvo type="min"/>
        <cfvo type="percentile" val="50"/>
        <cfvo type="max"/>
        <color rgb="FFF8696B"/>
        <color rgb="FFFFEB84"/>
        <color rgb="FF63BE7B"/>
      </colorScale>
    </cfRule>
  </conditionalFormatting>
  <conditionalFormatting sqref="B15:O15">
    <cfRule type="top10" dxfId="216" priority="3920" percent="1" rank="50"/>
    <cfRule type="top10" dxfId="215" priority="3919" percent="1" bottom="1" rank="49"/>
  </conditionalFormatting>
  <conditionalFormatting sqref="B29:O29">
    <cfRule type="top10" dxfId="214" priority="77" percent="1" bottom="1" rank="49"/>
    <cfRule type="top10" dxfId="213" priority="76" percent="1" rank="50"/>
  </conditionalFormatting>
  <conditionalFormatting sqref="B15:T15">
    <cfRule type="colorScale" priority="4198">
      <colorScale>
        <cfvo type="min"/>
        <cfvo type="max"/>
        <color theme="0" tint="-4.9989318521683403E-2"/>
        <color theme="1" tint="0.249977111117893"/>
      </colorScale>
    </cfRule>
    <cfRule type="colorScale" priority="4197">
      <colorScale>
        <cfvo type="min"/>
        <cfvo type="max"/>
        <color theme="0" tint="-4.9989318521683403E-2"/>
        <color theme="2" tint="-0.749992370372631"/>
      </colorScale>
    </cfRule>
  </conditionalFormatting>
  <conditionalFormatting sqref="B29:T29">
    <cfRule type="colorScale" priority="4201">
      <colorScale>
        <cfvo type="min"/>
        <cfvo type="max"/>
        <color theme="8" tint="0.79998168889431442"/>
        <color theme="8" tint="-0.499984740745262"/>
      </colorScale>
    </cfRule>
  </conditionalFormatting>
  <conditionalFormatting sqref="B43:T43">
    <cfRule type="colorScale" priority="75">
      <colorScale>
        <cfvo type="min"/>
        <cfvo type="max"/>
        <color theme="5" tint="0.79998168889431442"/>
        <color theme="5" tint="-0.499984740745262"/>
      </colorScale>
    </cfRule>
    <cfRule type="top10" dxfId="212" priority="74" percent="1" bottom="1" rank="49"/>
    <cfRule type="top10" dxfId="211" priority="73" percent="1" rank="50"/>
  </conditionalFormatting>
  <conditionalFormatting sqref="B57:T57">
    <cfRule type="colorScale" priority="72">
      <colorScale>
        <cfvo type="min"/>
        <cfvo type="max"/>
        <color theme="4" tint="0.79998168889431442"/>
        <color theme="4" tint="-0.499984740745262"/>
      </colorScale>
    </cfRule>
    <cfRule type="top10" dxfId="210" priority="71" percent="1" rank="50"/>
    <cfRule type="top10" dxfId="209" priority="70" percent="1" bottom="1" rank="49"/>
  </conditionalFormatting>
  <conditionalFormatting sqref="B71:T71">
    <cfRule type="colorScale" priority="69">
      <colorScale>
        <cfvo type="min"/>
        <cfvo type="max"/>
        <color theme="5" tint="0.79998168889431442"/>
        <color rgb="FFC00000"/>
      </colorScale>
    </cfRule>
    <cfRule type="top10" dxfId="208" priority="68" percent="1" rank="50"/>
    <cfRule type="top10" dxfId="207" priority="67" percent="1" bottom="1" rank="49"/>
  </conditionalFormatting>
  <conditionalFormatting sqref="B85:T85">
    <cfRule type="top10" dxfId="206" priority="4059" percent="1" bottom="1" rank="49"/>
    <cfRule type="top10" dxfId="205" priority="4060" percent="1" rank="50"/>
    <cfRule type="colorScale" priority="65">
      <colorScale>
        <cfvo type="min"/>
        <cfvo type="max"/>
        <color theme="6" tint="0.79998168889431442"/>
        <color theme="6" tint="-0.499984740745262"/>
      </colorScale>
    </cfRule>
  </conditionalFormatting>
  <conditionalFormatting sqref="B99:T99">
    <cfRule type="colorScale" priority="62">
      <colorScale>
        <cfvo type="min"/>
        <cfvo type="max"/>
        <color rgb="FFFFFF00"/>
        <color rgb="FFFF9900"/>
      </colorScale>
    </cfRule>
    <cfRule type="top10" dxfId="204" priority="61" percent="1" rank="100"/>
  </conditionalFormatting>
  <conditionalFormatting sqref="B113:T113">
    <cfRule type="colorScale" priority="59">
      <colorScale>
        <cfvo type="min"/>
        <cfvo type="max"/>
        <color theme="5" tint="0.79998168889431442"/>
        <color theme="4" tint="-0.499984740745262"/>
      </colorScale>
    </cfRule>
    <cfRule type="top10" dxfId="203" priority="57" percent="1" rank="50"/>
    <cfRule type="top10" dxfId="202" priority="58" percent="1" bottom="1" rank="49"/>
  </conditionalFormatting>
  <conditionalFormatting sqref="B127:T127">
    <cfRule type="colorScale" priority="56">
      <colorScale>
        <cfvo type="min"/>
        <cfvo type="max"/>
        <color rgb="FFFFFFAF"/>
        <color theme="6" tint="-0.499984740745262"/>
      </colorScale>
    </cfRule>
    <cfRule type="top10" dxfId="201" priority="54" percent="1" bottom="1" rank="49"/>
    <cfRule type="top10" dxfId="200" priority="55" percent="1" rank="50"/>
  </conditionalFormatting>
  <conditionalFormatting sqref="B141:T141">
    <cfRule type="colorScale" priority="4155">
      <colorScale>
        <cfvo type="min"/>
        <cfvo type="percentile" val="50"/>
        <cfvo type="max"/>
        <color theme="4" tint="0.39997558519241921"/>
        <color theme="5" tint="0.39997558519241921"/>
        <color theme="8" tint="0.39997558519241921"/>
      </colorScale>
    </cfRule>
    <cfRule type="top10" dxfId="199" priority="4154" percent="1" rank="50"/>
    <cfRule type="top10" dxfId="198" priority="4153" percent="1" bottom="1" rank="49"/>
  </conditionalFormatting>
  <conditionalFormatting sqref="B155:T155">
    <cfRule type="top10" dxfId="197" priority="49" percent="1" rank="100"/>
    <cfRule type="colorScale" priority="50">
      <colorScale>
        <cfvo type="min"/>
        <cfvo type="percentile" val="50"/>
        <cfvo type="max"/>
        <color rgb="FFFF0000"/>
        <color theme="7" tint="-0.499984740745262"/>
        <color theme="6" tint="0.39997558519241921"/>
      </colorScale>
    </cfRule>
  </conditionalFormatting>
  <conditionalFormatting sqref="B169:T169">
    <cfRule type="colorScale" priority="48">
      <colorScale>
        <cfvo type="min"/>
        <cfvo type="max"/>
        <color theme="0"/>
        <color theme="1"/>
      </colorScale>
    </cfRule>
    <cfRule type="top10" dxfId="196" priority="47" percent="1" rank="50"/>
    <cfRule type="top10" dxfId="195" priority="46" percent="1" bottom="1" rank="49"/>
  </conditionalFormatting>
  <conditionalFormatting sqref="B112:U112">
    <cfRule type="colorScale" priority="60">
      <colorScale>
        <cfvo type="min"/>
        <cfvo type="max"/>
        <color theme="5" tint="0.79998168889431442"/>
        <color theme="4" tint="-0.499984740745262"/>
      </colorScale>
    </cfRule>
  </conditionalFormatting>
  <conditionalFormatting sqref="B11:V11 X11">
    <cfRule type="colorScale" priority="3931">
      <colorScale>
        <cfvo type="min"/>
        <cfvo type="max"/>
        <color theme="0" tint="-4.9989318521683403E-2"/>
        <color theme="1" tint="0.249977111117893"/>
      </colorScale>
    </cfRule>
    <cfRule type="top10" dxfId="194" priority="3930" percent="1" rank="50"/>
    <cfRule type="top10" dxfId="193" priority="3929" percent="1" bottom="1" rank="49"/>
  </conditionalFormatting>
  <conditionalFormatting sqref="B14:V14 X14">
    <cfRule type="colorScale" priority="3943">
      <colorScale>
        <cfvo type="min"/>
        <cfvo type="max"/>
        <color theme="0" tint="-4.9989318521683403E-2"/>
        <color theme="2" tint="-0.749992370372631"/>
      </colorScale>
    </cfRule>
    <cfRule type="top10" dxfId="192" priority="3942" percent="1" rank="50"/>
    <cfRule type="top10" dxfId="191" priority="3941" percent="1" bottom="1" rank="49"/>
  </conditionalFormatting>
  <conditionalFormatting sqref="B25:V25 X25">
    <cfRule type="top10" dxfId="190" priority="3953" percent="1" bottom="1" rank="49"/>
    <cfRule type="colorScale" priority="3955">
      <colorScale>
        <cfvo type="min"/>
        <cfvo type="max"/>
        <color theme="8" tint="0.79998168889431442"/>
        <color theme="8" tint="-0.499984740745262"/>
      </colorScale>
    </cfRule>
    <cfRule type="top10" dxfId="189" priority="3954" percent="1" rank="50"/>
  </conditionalFormatting>
  <conditionalFormatting sqref="B28:V28 X28">
    <cfRule type="colorScale" priority="3967">
      <colorScale>
        <cfvo type="min"/>
        <cfvo type="max"/>
        <color theme="8" tint="0.79998168889431442"/>
        <color theme="8" tint="-0.499984740745262"/>
      </colorScale>
    </cfRule>
    <cfRule type="top10" dxfId="188" priority="3966" percent="1" rank="50"/>
    <cfRule type="top10" dxfId="187" priority="3965" percent="1" bottom="1" rank="49"/>
  </conditionalFormatting>
  <conditionalFormatting sqref="B39:V39 X39">
    <cfRule type="colorScale" priority="3979">
      <colorScale>
        <cfvo type="min"/>
        <cfvo type="max"/>
        <color theme="5" tint="0.79998168889431442"/>
        <color theme="5" tint="-0.499984740745262"/>
      </colorScale>
    </cfRule>
    <cfRule type="top10" dxfId="186" priority="3978" percent="1" rank="50"/>
    <cfRule type="top10" dxfId="185" priority="3977" percent="1" bottom="1" rank="49"/>
  </conditionalFormatting>
  <conditionalFormatting sqref="B42:V42 X42">
    <cfRule type="top10" dxfId="184" priority="3989" percent="1" bottom="1" rank="49"/>
    <cfRule type="colorScale" priority="3991">
      <colorScale>
        <cfvo type="min"/>
        <cfvo type="max"/>
        <color theme="5" tint="0.79998168889431442"/>
        <color theme="5" tint="-0.499984740745262"/>
      </colorScale>
    </cfRule>
    <cfRule type="top10" dxfId="183" priority="3990" percent="1" rank="50"/>
  </conditionalFormatting>
  <conditionalFormatting sqref="B53:V53 X53">
    <cfRule type="colorScale" priority="4001">
      <colorScale>
        <cfvo type="min"/>
        <cfvo type="max"/>
        <color theme="4" tint="0.79998168889431442"/>
        <color theme="4" tint="-0.499984740745262"/>
      </colorScale>
    </cfRule>
    <cfRule type="top10" dxfId="182" priority="4000" percent="1" rank="50"/>
    <cfRule type="top10" dxfId="181" priority="3999" percent="1" bottom="1" rank="49"/>
  </conditionalFormatting>
  <conditionalFormatting sqref="B56:V56 X56">
    <cfRule type="top10" dxfId="180" priority="4012" percent="1" rank="50"/>
    <cfRule type="colorScale" priority="4013">
      <colorScale>
        <cfvo type="min"/>
        <cfvo type="max"/>
        <color theme="4" tint="0.79998168889431442"/>
        <color theme="4" tint="-0.499984740745262"/>
      </colorScale>
    </cfRule>
    <cfRule type="top10" dxfId="179" priority="4011" percent="1" bottom="1" rank="49"/>
  </conditionalFormatting>
  <conditionalFormatting sqref="B68:V68 X68">
    <cfRule type="top10" dxfId="178" priority="4024" percent="1" rank="50"/>
    <cfRule type="top10" dxfId="177" priority="4023" percent="1" bottom="1" rank="49"/>
    <cfRule type="colorScale" priority="4025">
      <colorScale>
        <cfvo type="min"/>
        <cfvo type="max"/>
        <color theme="5" tint="0.79998168889431442"/>
        <color rgb="FFC00000"/>
      </colorScale>
    </cfRule>
  </conditionalFormatting>
  <conditionalFormatting sqref="B69:V69 X69 B67:V67 X67">
    <cfRule type="top10" dxfId="176" priority="4029" percent="1" bottom="1" rank="49"/>
    <cfRule type="top10" dxfId="175" priority="4030" percent="1" rank="50"/>
    <cfRule type="colorScale" priority="4031">
      <colorScale>
        <cfvo type="min"/>
        <cfvo type="max"/>
        <color theme="5" tint="0.79998168889431442"/>
        <color rgb="FFC00000"/>
      </colorScale>
    </cfRule>
  </conditionalFormatting>
  <conditionalFormatting sqref="B70:V70 X70">
    <cfRule type="colorScale" priority="4043">
      <colorScale>
        <cfvo type="min"/>
        <cfvo type="max"/>
        <color theme="5" tint="0.79998168889431442"/>
        <color rgb="FFC00000"/>
      </colorScale>
    </cfRule>
    <cfRule type="top10" dxfId="174" priority="4042" percent="1" rank="50"/>
    <cfRule type="top10" dxfId="173" priority="4041" percent="1" bottom="1" rank="49"/>
  </conditionalFormatting>
  <conditionalFormatting sqref="B81:V81 X81">
    <cfRule type="colorScale" priority="4055">
      <colorScale>
        <cfvo type="min"/>
        <cfvo type="max"/>
        <color theme="6" tint="0.79998168889431442"/>
        <color theme="6" tint="-0.499984740745262"/>
      </colorScale>
    </cfRule>
    <cfRule type="top10" dxfId="172" priority="4053" percent="1" bottom="1" rank="49"/>
    <cfRule type="top10" dxfId="171" priority="4054" percent="1" rank="50"/>
  </conditionalFormatting>
  <conditionalFormatting sqref="B84:V84 X84">
    <cfRule type="colorScale" priority="4069">
      <colorScale>
        <cfvo type="min"/>
        <cfvo type="max"/>
        <color theme="6" tint="0.79998168889431442"/>
        <color theme="6" tint="-0.499984740745262"/>
      </colorScale>
    </cfRule>
    <cfRule type="top10" dxfId="170" priority="4068" percent="1" rank="50"/>
    <cfRule type="top10" dxfId="169" priority="4067" percent="1" bottom="1" rank="49"/>
    <cfRule type="colorScale" priority="66">
      <colorScale>
        <cfvo type="min"/>
        <cfvo type="max"/>
        <color theme="6" tint="0.79998168889431442"/>
        <color theme="6" tint="-0.499984740745262"/>
      </colorScale>
    </cfRule>
  </conditionalFormatting>
  <conditionalFormatting sqref="B95:V95 X95">
    <cfRule type="colorScale" priority="4077">
      <colorScale>
        <cfvo type="min"/>
        <cfvo type="max"/>
        <color rgb="FFFFFFAF"/>
        <color rgb="FFFF9900"/>
      </colorScale>
    </cfRule>
  </conditionalFormatting>
  <conditionalFormatting sqref="B98:V98 X98">
    <cfRule type="colorScale" priority="4083">
      <colorScale>
        <cfvo type="min"/>
        <cfvo type="max"/>
        <color rgb="FFFFFF00"/>
        <color rgb="FFFF9900"/>
      </colorScale>
    </cfRule>
  </conditionalFormatting>
  <conditionalFormatting sqref="B109:V109 X109">
    <cfRule type="top10" dxfId="168" priority="4091" percent="1" bottom="1" rank="49"/>
    <cfRule type="top10" dxfId="167" priority="4092" percent="1" rank="50"/>
    <cfRule type="colorScale" priority="4093">
      <colorScale>
        <cfvo type="min"/>
        <cfvo type="max"/>
        <color theme="5" tint="0.79998168889431442"/>
        <color theme="4" tint="-0.499984740745262"/>
      </colorScale>
    </cfRule>
  </conditionalFormatting>
  <conditionalFormatting sqref="B123:V123 X123">
    <cfRule type="colorScale" priority="4119">
      <colorScale>
        <cfvo type="min"/>
        <cfvo type="max"/>
        <color rgb="FFFFFFAF"/>
        <color theme="6" tint="-0.499984740745262"/>
      </colorScale>
    </cfRule>
    <cfRule type="top10" dxfId="166" priority="4118" percent="1" rank="50"/>
    <cfRule type="top10" dxfId="165" priority="4117" percent="1" bottom="1" rank="49"/>
  </conditionalFormatting>
  <conditionalFormatting sqref="B137:V137 X137">
    <cfRule type="colorScale" priority="4143">
      <colorScale>
        <cfvo type="min"/>
        <cfvo type="percentile" val="50"/>
        <cfvo type="max"/>
        <color theme="4" tint="0.39997558519241921"/>
        <color theme="5" tint="0.39997558519241921"/>
        <color theme="8" tint="0.39997558519241921"/>
      </colorScale>
    </cfRule>
    <cfRule type="top10" dxfId="164" priority="4142" percent="1" rank="50"/>
    <cfRule type="top10" dxfId="163" priority="4141" percent="1" bottom="1" rank="49"/>
  </conditionalFormatting>
  <conditionalFormatting sqref="B140:V140 X140">
    <cfRule type="top10" dxfId="162" priority="52" percent="1" rank="50"/>
    <cfRule type="top10" dxfId="161" priority="51" percent="1" bottom="1" rank="49"/>
    <cfRule type="colorScale" priority="53">
      <colorScale>
        <cfvo type="min"/>
        <cfvo type="percentile" val="50"/>
        <cfvo type="max"/>
        <color theme="4" tint="0.39997558519241921"/>
        <color theme="5" tint="0.39997558519241921"/>
        <color theme="8" tint="0.39997558519241921"/>
      </colorScale>
    </cfRule>
  </conditionalFormatting>
  <conditionalFormatting sqref="B151:V151 X151">
    <cfRule type="colorScale" priority="4163">
      <colorScale>
        <cfvo type="min"/>
        <cfvo type="percentile" val="50"/>
        <cfvo type="max"/>
        <color rgb="FFFF0000"/>
        <color theme="7" tint="-0.499984740745262"/>
        <color theme="6" tint="0.39997558519241921"/>
      </colorScale>
    </cfRule>
  </conditionalFormatting>
  <conditionalFormatting sqref="B154:V154 X154">
    <cfRule type="colorScale" priority="4169">
      <colorScale>
        <cfvo type="min"/>
        <cfvo type="percentile" val="50"/>
        <cfvo type="max"/>
        <color rgb="FFFF0000"/>
        <color theme="7" tint="-0.499984740745262"/>
        <color theme="6" tint="0.39997558519241921"/>
      </colorScale>
    </cfRule>
  </conditionalFormatting>
  <conditionalFormatting sqref="B165:V165 X165">
    <cfRule type="top10" dxfId="160" priority="4177" percent="1" bottom="1" rank="49"/>
    <cfRule type="top10" dxfId="159" priority="4178" percent="1" rank="50"/>
    <cfRule type="colorScale" priority="4179">
      <colorScale>
        <cfvo type="min"/>
        <cfvo type="max"/>
        <color theme="0"/>
        <color theme="1"/>
      </colorScale>
    </cfRule>
  </conditionalFormatting>
  <conditionalFormatting sqref="B168:V168 X168">
    <cfRule type="top10" dxfId="158" priority="4190" percent="1" rank="50"/>
    <cfRule type="top10" dxfId="157" priority="4189" percent="1" bottom="1" rank="49"/>
    <cfRule type="colorScale" priority="4191">
      <colorScale>
        <cfvo type="min"/>
        <cfvo type="max"/>
        <color theme="0"/>
        <color theme="1"/>
      </colorScale>
    </cfRule>
  </conditionalFormatting>
  <conditionalFormatting sqref="B181:V181">
    <cfRule type="colorScale" priority="5246">
      <colorScale>
        <cfvo type="min"/>
        <cfvo type="percentile" val="50"/>
        <cfvo type="max"/>
        <color rgb="FFF8696B"/>
        <color rgb="FFFFEB84"/>
        <color rgb="FF63BE7B"/>
      </colorScale>
    </cfRule>
  </conditionalFormatting>
  <conditionalFormatting sqref="C180">
    <cfRule type="top10" dxfId="156" priority="464" rank="5"/>
  </conditionalFormatting>
  <conditionalFormatting sqref="D180">
    <cfRule type="top10" dxfId="155" priority="463" rank="5"/>
    <cfRule type="top10" dxfId="154" priority="462" rank="5"/>
    <cfRule type="colorScale" priority="459">
      <colorScale>
        <cfvo type="min"/>
        <cfvo type="percentile" val="50"/>
        <cfvo type="max"/>
        <color rgb="FFF8696B"/>
        <color rgb="FFFFEB84"/>
        <color rgb="FF63BE7B"/>
      </colorScale>
    </cfRule>
  </conditionalFormatting>
  <conditionalFormatting sqref="E180">
    <cfRule type="colorScale" priority="458">
      <colorScale>
        <cfvo type="min"/>
        <cfvo type="percentile" val="50"/>
        <cfvo type="max"/>
        <color rgb="FFF8696B"/>
        <color rgb="FFFFEB84"/>
        <color rgb="FF63BE7B"/>
      </colorScale>
    </cfRule>
  </conditionalFormatting>
  <conditionalFormatting sqref="F180">
    <cfRule type="colorScale" priority="457">
      <colorScale>
        <cfvo type="min"/>
        <cfvo type="percentile" val="50"/>
        <cfvo type="max"/>
        <color rgb="FFF8696B"/>
        <color rgb="FFFFEB84"/>
        <color rgb="FF63BE7B"/>
      </colorScale>
    </cfRule>
  </conditionalFormatting>
  <conditionalFormatting sqref="G180">
    <cfRule type="colorScale" priority="456">
      <colorScale>
        <cfvo type="min"/>
        <cfvo type="percentile" val="50"/>
        <cfvo type="max"/>
        <color rgb="FFF8696B"/>
        <color rgb="FFFFEB84"/>
        <color rgb="FF63BE7B"/>
      </colorScale>
    </cfRule>
  </conditionalFormatting>
  <conditionalFormatting sqref="H180">
    <cfRule type="colorScale" priority="455">
      <colorScale>
        <cfvo type="min"/>
        <cfvo type="percentile" val="50"/>
        <cfvo type="max"/>
        <color rgb="FFF8696B"/>
        <color rgb="FFFFEB84"/>
        <color rgb="FF63BE7B"/>
      </colorScale>
    </cfRule>
  </conditionalFormatting>
  <conditionalFormatting sqref="I180">
    <cfRule type="colorScale" priority="454">
      <colorScale>
        <cfvo type="min"/>
        <cfvo type="percentile" val="50"/>
        <cfvo type="max"/>
        <color rgb="FFF8696B"/>
        <color rgb="FFFFEB84"/>
        <color rgb="FF63BE7B"/>
      </colorScale>
    </cfRule>
  </conditionalFormatting>
  <conditionalFormatting sqref="J180">
    <cfRule type="colorScale" priority="453">
      <colorScale>
        <cfvo type="min"/>
        <cfvo type="percentile" val="50"/>
        <cfvo type="max"/>
        <color rgb="FFF8696B"/>
        <color rgb="FFFFEB84"/>
        <color rgb="FF63BE7B"/>
      </colorScale>
    </cfRule>
  </conditionalFormatting>
  <conditionalFormatting sqref="K180">
    <cfRule type="colorScale" priority="452">
      <colorScale>
        <cfvo type="min"/>
        <cfvo type="percentile" val="50"/>
        <cfvo type="max"/>
        <color rgb="FFF8696B"/>
        <color rgb="FFFFEB84"/>
        <color rgb="FF63BE7B"/>
      </colorScale>
    </cfRule>
  </conditionalFormatting>
  <conditionalFormatting sqref="L180">
    <cfRule type="colorScale" priority="451">
      <colorScale>
        <cfvo type="min"/>
        <cfvo type="percentile" val="50"/>
        <cfvo type="max"/>
        <color rgb="FFF8696B"/>
        <color rgb="FFFFEB84"/>
        <color rgb="FF63BE7B"/>
      </colorScale>
    </cfRule>
  </conditionalFormatting>
  <conditionalFormatting sqref="M180">
    <cfRule type="colorScale" priority="450">
      <colorScale>
        <cfvo type="min"/>
        <cfvo type="percentile" val="50"/>
        <cfvo type="max"/>
        <color rgb="FFF8696B"/>
        <color rgb="FFFFEB84"/>
        <color rgb="FF63BE7B"/>
      </colorScale>
    </cfRule>
  </conditionalFormatting>
  <conditionalFormatting sqref="N180">
    <cfRule type="colorScale" priority="3918">
      <colorScale>
        <cfvo type="min"/>
        <cfvo type="percentile" val="50"/>
        <cfvo type="max"/>
        <color rgb="FFF8696B"/>
        <color rgb="FFFFEB84"/>
        <color rgb="FF63BE7B"/>
      </colorScale>
    </cfRule>
  </conditionalFormatting>
  <conditionalFormatting sqref="O180">
    <cfRule type="colorScale" priority="447">
      <colorScale>
        <cfvo type="min"/>
        <cfvo type="percentile" val="50"/>
        <cfvo type="max"/>
        <color rgb="FFF8696B"/>
        <color rgb="FFFFEB84"/>
        <color rgb="FF63BE7B"/>
      </colorScale>
    </cfRule>
  </conditionalFormatting>
  <conditionalFormatting sqref="P180:Q180">
    <cfRule type="colorScale" priority="3423">
      <colorScale>
        <cfvo type="min"/>
        <cfvo type="percentile" val="50"/>
        <cfvo type="max"/>
        <color rgb="FFF8696B"/>
        <color rgb="FFFFEB84"/>
        <color rgb="FF63BE7B"/>
      </colorScale>
    </cfRule>
  </conditionalFormatting>
  <conditionalFormatting sqref="R180">
    <cfRule type="colorScale" priority="445">
      <colorScale>
        <cfvo type="min"/>
        <cfvo type="percentile" val="50"/>
        <cfvo type="max"/>
        <color rgb="FFF8696B"/>
        <color rgb="FFFFEB84"/>
        <color rgb="FF63BE7B"/>
      </colorScale>
    </cfRule>
  </conditionalFormatting>
  <conditionalFormatting sqref="S180">
    <cfRule type="colorScale" priority="444">
      <colorScale>
        <cfvo type="min"/>
        <cfvo type="percentile" val="50"/>
        <cfvo type="max"/>
        <color rgb="FFF8696B"/>
        <color rgb="FFFFEB84"/>
        <color rgb="FF63BE7B"/>
      </colorScale>
    </cfRule>
  </conditionalFormatting>
  <conditionalFormatting sqref="T180">
    <cfRule type="colorScale" priority="443">
      <colorScale>
        <cfvo type="min"/>
        <cfvo type="percentile" val="50"/>
        <cfvo type="max"/>
        <color rgb="FFF8696B"/>
        <color rgb="FFFFEB84"/>
        <color rgb="FF63BE7B"/>
      </colorScale>
    </cfRule>
  </conditionalFormatting>
  <conditionalFormatting sqref="U15:V15 V29 X29:Y29 U43:V43 U57:V57 U71:V71 U85:V85 U99:V99 U113:V113 U127:V127 U141:V141 U155:V155 U169:V169">
    <cfRule type="cellIs" dxfId="153" priority="106" operator="lessThan">
      <formula>0</formula>
    </cfRule>
  </conditionalFormatting>
  <conditionalFormatting sqref="U180:V180">
    <cfRule type="colorScale" priority="5247">
      <colorScale>
        <cfvo type="min"/>
        <cfvo type="percentile" val="50"/>
        <cfvo type="max"/>
        <color rgb="FFF8696B"/>
        <color rgb="FFFFEB84"/>
        <color rgb="FF63BE7B"/>
      </colorScale>
    </cfRule>
  </conditionalFormatting>
  <conditionalFormatting sqref="V15:W15">
    <cfRule type="colorScale" priority="5342">
      <colorScale>
        <cfvo type="min"/>
        <cfvo type="max"/>
        <color theme="0" tint="-0.14999847407452621"/>
        <color theme="2" tint="-0.749992370372631"/>
      </colorScale>
    </cfRule>
    <cfRule type="top10" dxfId="152" priority="5341" rank="1"/>
  </conditionalFormatting>
  <conditionalFormatting sqref="V43:W43">
    <cfRule type="top10" dxfId="151" priority="5345" percent="1" bottom="1" rank="49"/>
    <cfRule type="top10" dxfId="150" priority="5346" percent="1" rank="50"/>
    <cfRule type="colorScale" priority="5347">
      <colorScale>
        <cfvo type="min"/>
        <cfvo type="max"/>
        <color theme="5" tint="0.79998168889431442"/>
        <color theme="5" tint="-0.499984740745262"/>
      </colorScale>
    </cfRule>
  </conditionalFormatting>
  <conditionalFormatting sqref="V57:W57">
    <cfRule type="top10" dxfId="149" priority="5351" percent="1" bottom="1" rank="49"/>
    <cfRule type="top10" dxfId="148" priority="5352" percent="1" rank="50"/>
    <cfRule type="colorScale" priority="5353">
      <colorScale>
        <cfvo type="min"/>
        <cfvo type="max"/>
        <color theme="4" tint="0.79998168889431442"/>
        <color theme="4" tint="-0.499984740745262"/>
      </colorScale>
    </cfRule>
  </conditionalFormatting>
  <conditionalFormatting sqref="V71:W71">
    <cfRule type="top10" dxfId="147" priority="5357" percent="1" bottom="1" rank="10"/>
    <cfRule type="top10" dxfId="146" priority="5358" percent="1" rank="10"/>
    <cfRule type="colorScale" priority="5359">
      <colorScale>
        <cfvo type="min"/>
        <cfvo type="max"/>
        <color theme="5" tint="0.79998168889431442"/>
        <color rgb="FFC00000"/>
      </colorScale>
    </cfRule>
  </conditionalFormatting>
  <conditionalFormatting sqref="V85:W85">
    <cfRule type="top10" dxfId="145" priority="5365" percent="1" rank="10"/>
    <cfRule type="top10" dxfId="144" priority="5364" percent="1" bottom="1" rank="10"/>
    <cfRule type="colorScale" priority="5363">
      <colorScale>
        <cfvo type="min"/>
        <cfvo type="max"/>
        <color theme="6" tint="0.79998168889431442"/>
        <color theme="6" tint="-0.499984740745262"/>
      </colorScale>
    </cfRule>
  </conditionalFormatting>
  <conditionalFormatting sqref="V99:W99">
    <cfRule type="top10" dxfId="143" priority="5370" percent="1" rank="100"/>
    <cfRule type="colorScale" priority="5369">
      <colorScale>
        <cfvo type="min"/>
        <cfvo type="max"/>
        <color rgb="FFFFFF00"/>
        <color rgb="FFFF9900"/>
      </colorScale>
    </cfRule>
  </conditionalFormatting>
  <conditionalFormatting sqref="V113:W113">
    <cfRule type="top10" dxfId="142" priority="5374" percent="1" rank="50"/>
    <cfRule type="top10" dxfId="141" priority="5373" percent="1" bottom="1" rank="49"/>
    <cfRule type="colorScale" priority="5375">
      <colorScale>
        <cfvo type="min"/>
        <cfvo type="max"/>
        <color theme="5" tint="0.79998168889431442"/>
        <color theme="4" tint="-0.499984740745262"/>
      </colorScale>
    </cfRule>
  </conditionalFormatting>
  <conditionalFormatting sqref="V127:W127">
    <cfRule type="top10" dxfId="140" priority="5379" percent="1" bottom="1" rank="49"/>
    <cfRule type="top10" dxfId="139" priority="5380" percent="1" rank="50"/>
    <cfRule type="colorScale" priority="5381">
      <colorScale>
        <cfvo type="min"/>
        <cfvo type="max"/>
        <color rgb="FFFFFFAF"/>
        <color theme="6" tint="-0.499984740745262"/>
      </colorScale>
    </cfRule>
  </conditionalFormatting>
  <conditionalFormatting sqref="V141:W141">
    <cfRule type="top10" dxfId="138" priority="5385" percent="1" bottom="1" rank="49"/>
    <cfRule type="top10" dxfId="137" priority="5386" percent="1" rank="50"/>
    <cfRule type="colorScale" priority="5387">
      <colorScale>
        <cfvo type="min"/>
        <cfvo type="percentile" val="50"/>
        <cfvo type="max"/>
        <color theme="4" tint="0.39997558519241921"/>
        <color theme="5" tint="0.39997558519241921"/>
        <color theme="8" tint="0.39997558519241921"/>
      </colorScale>
    </cfRule>
  </conditionalFormatting>
  <conditionalFormatting sqref="V155:W155">
    <cfRule type="top10" dxfId="136" priority="5391" percent="1" rank="100"/>
    <cfRule type="colorScale" priority="5392">
      <colorScale>
        <cfvo type="min"/>
        <cfvo type="percentile" val="50"/>
        <cfvo type="max"/>
        <color rgb="FFFF0000"/>
        <color theme="7" tint="-0.499984740745262"/>
        <color theme="6" tint="0.39997558519241921"/>
      </colorScale>
    </cfRule>
  </conditionalFormatting>
  <conditionalFormatting sqref="V169:W169">
    <cfRule type="colorScale" priority="5397">
      <colorScale>
        <cfvo type="min"/>
        <cfvo type="max"/>
        <color theme="0"/>
        <color theme="1"/>
      </colorScale>
    </cfRule>
    <cfRule type="top10" dxfId="135" priority="5396" percent="1" rank="50"/>
    <cfRule type="top10" dxfId="134" priority="5395" percent="1" bottom="1" rank="49"/>
  </conditionalFormatting>
  <conditionalFormatting sqref="W3">
    <cfRule type="top10" dxfId="133" priority="4970" rank="1"/>
  </conditionalFormatting>
  <conditionalFormatting sqref="W4:W10">
    <cfRule type="colorScale" priority="4975">
      <colorScale>
        <cfvo type="min"/>
        <cfvo type="max"/>
        <color theme="0"/>
        <color theme="2" tint="-0.749992370372631"/>
      </colorScale>
    </cfRule>
    <cfRule type="top10" dxfId="132" priority="5008" percent="1" rank="50"/>
    <cfRule type="top10" dxfId="131" priority="5009" percent="1" bottom="1" rank="49"/>
  </conditionalFormatting>
  <conditionalFormatting sqref="W18:W24">
    <cfRule type="top10" dxfId="130" priority="5003" percent="1" rank="50"/>
    <cfRule type="colorScale" priority="4974">
      <colorScale>
        <cfvo type="min"/>
        <cfvo type="max"/>
        <color theme="8" tint="0.79998168889431442"/>
        <color theme="8" tint="-0.499984740745262"/>
      </colorScale>
    </cfRule>
    <cfRule type="top10" dxfId="129" priority="5007" percent="1" bottom="1" rank="49"/>
  </conditionalFormatting>
  <conditionalFormatting sqref="W32:W38 W46:W52 W60:W66 W74:W80 W88:W94 W102:W108 W116:W122 W130:W136 W144:W150 W158:W164 W4:W10 W18:W24">
    <cfRule type="top10" dxfId="128" priority="4985" rank="10"/>
    <cfRule type="top10" dxfId="127" priority="43" rank="1"/>
  </conditionalFormatting>
  <conditionalFormatting sqref="W32:W38">
    <cfRule type="top10" dxfId="126" priority="4989" percent="1" rank="50"/>
    <cfRule type="colorScale" priority="4976">
      <colorScale>
        <cfvo type="min"/>
        <cfvo type="max"/>
        <color theme="5" tint="0.79998168889431442"/>
        <color theme="5" tint="-0.499984740745262"/>
      </colorScale>
    </cfRule>
    <cfRule type="top10" dxfId="125" priority="5001" percent="1" bottom="1" rank="49"/>
  </conditionalFormatting>
  <conditionalFormatting sqref="W46:W52">
    <cfRule type="top10" dxfId="124" priority="4987" percent="1" rank="50"/>
    <cfRule type="top10" dxfId="123" priority="4988" percent="1" bottom="1" rank="49"/>
    <cfRule type="colorScale" priority="4977">
      <colorScale>
        <cfvo type="min"/>
        <cfvo type="max"/>
        <color theme="4" tint="0.79998168889431442"/>
        <color theme="3" tint="9.9978637043366805E-2"/>
      </colorScale>
    </cfRule>
  </conditionalFormatting>
  <conditionalFormatting sqref="W60:W66">
    <cfRule type="colorScale" priority="4978">
      <colorScale>
        <cfvo type="min"/>
        <cfvo type="max"/>
        <color theme="5" tint="0.79998168889431442"/>
        <color rgb="FFC00000"/>
      </colorScale>
    </cfRule>
    <cfRule type="top10" dxfId="122" priority="5004" percent="1" rank="50"/>
    <cfRule type="top10" dxfId="121" priority="5006" percent="1" bottom="1" rank="49"/>
  </conditionalFormatting>
  <conditionalFormatting sqref="W74:W80">
    <cfRule type="top10" dxfId="120" priority="4991" percent="1" bottom="1" rank="49"/>
    <cfRule type="top10" dxfId="119" priority="4990" percent="1" rank="50"/>
    <cfRule type="colorScale" priority="4979">
      <colorScale>
        <cfvo type="min"/>
        <cfvo type="max"/>
        <color theme="6" tint="0.79998168889431442"/>
        <color theme="6" tint="-0.499984740745262"/>
      </colorScale>
    </cfRule>
  </conditionalFormatting>
  <conditionalFormatting sqref="W88:W94">
    <cfRule type="top10" dxfId="118" priority="4993" percent="1" rank="50"/>
    <cfRule type="top10" dxfId="117" priority="4994" percent="1" bottom="1" rank="49"/>
    <cfRule type="colorScale" priority="4973">
      <colorScale>
        <cfvo type="min"/>
        <cfvo type="max"/>
        <color rgb="FFFFFF00"/>
        <color rgb="FFFF9900"/>
      </colorScale>
    </cfRule>
  </conditionalFormatting>
  <conditionalFormatting sqref="W102:W108">
    <cfRule type="colorScale" priority="4980">
      <colorScale>
        <cfvo type="min"/>
        <cfvo type="max"/>
        <color theme="5" tint="0.79998168889431442"/>
        <color theme="4" tint="-0.499984740745262"/>
      </colorScale>
    </cfRule>
    <cfRule type="top10" dxfId="116" priority="4995" percent="1" bottom="1" rank="49"/>
    <cfRule type="top10" dxfId="115" priority="4996" percent="1" rank="50"/>
  </conditionalFormatting>
  <conditionalFormatting sqref="W116:W122">
    <cfRule type="top10" dxfId="114" priority="4998" percent="1" bottom="1" rank="49"/>
    <cfRule type="colorScale" priority="4982">
      <colorScale>
        <cfvo type="min"/>
        <cfvo type="max"/>
        <color rgb="FFFFFFAF"/>
        <color theme="6" tint="-0.499984740745262"/>
      </colorScale>
    </cfRule>
    <cfRule type="top10" dxfId="113" priority="4997" percent="1" rank="50"/>
  </conditionalFormatting>
  <conditionalFormatting sqref="W130:W136">
    <cfRule type="top10" dxfId="112" priority="4999" percent="1" bottom="1" rank="49"/>
    <cfRule type="top10" dxfId="111" priority="5000" percent="1" rank="50"/>
    <cfRule type="colorScale" priority="4984">
      <colorScale>
        <cfvo type="min"/>
        <cfvo type="percentile" val="50"/>
        <cfvo type="max"/>
        <color theme="4" tint="0.39997558519241921"/>
        <color theme="5" tint="0.39997558519241921"/>
        <color theme="8" tint="0.39997558519241921"/>
      </colorScale>
    </cfRule>
  </conditionalFormatting>
  <conditionalFormatting sqref="W144:W150">
    <cfRule type="colorScale" priority="4981">
      <colorScale>
        <cfvo type="min"/>
        <cfvo type="percentile" val="50"/>
        <cfvo type="max"/>
        <color rgb="FFFF0000"/>
        <color theme="7" tint="-0.499984740745262"/>
        <color theme="6" tint="0.39997558519241921"/>
      </colorScale>
    </cfRule>
    <cfRule type="top10" dxfId="110" priority="5002" percent="1" rank="100"/>
  </conditionalFormatting>
  <conditionalFormatting sqref="W158:W164 W144:W150 W130:W136 W116:W122 W88:W94 W74:W80 W60:W66 W32:W38 W46:W52 W102:W108 W4:W10 W18:W24">
    <cfRule type="top10" dxfId="109" priority="4986" bottom="1" rank="10"/>
    <cfRule type="top10" dxfId="108" priority="4971" bottom="1" rank="1"/>
    <cfRule type="iconSet" priority="5099">
      <iconSet iconSet="4Arrows">
        <cfvo type="percent" val="0"/>
        <cfvo type="percent" val="25"/>
        <cfvo type="percent" val="50"/>
        <cfvo type="percent" val="75"/>
      </iconSet>
    </cfRule>
    <cfRule type="top10" dxfId="107" priority="44" rank="3"/>
    <cfRule type="top10" dxfId="106" priority="4972" bottom="1" rank="3"/>
  </conditionalFormatting>
  <conditionalFormatting sqref="W158:W164">
    <cfRule type="top10" dxfId="105" priority="5100" percent="1" bottom="1" rank="49"/>
    <cfRule type="colorScale" priority="4992">
      <colorScale>
        <cfvo type="min"/>
        <cfvo type="max"/>
        <color theme="0"/>
        <color theme="1"/>
      </colorScale>
    </cfRule>
    <cfRule type="top10" dxfId="104" priority="5101" percent="1" rank="50"/>
  </conditionalFormatting>
  <conditionalFormatting sqref="W165 W151 W137 W123 W95 W81 W67 W69 W11 W25 W39 W53 W109">
    <cfRule type="top10" dxfId="103" priority="5104" rank="3"/>
    <cfRule type="top10" dxfId="102" priority="5102" bottom="1" rank="1"/>
    <cfRule type="top10" dxfId="101" priority="5103" rank="1"/>
  </conditionalFormatting>
  <conditionalFormatting sqref="W82:Y83 W12:Y13 W26:Y27 W40:Y41 W54:Y55 W68:Y69 W96:Y97 W110:Y111 W124:Y125 W138:Y139 W152:Y153 W166:Y167">
    <cfRule type="cellIs" dxfId="100" priority="296" operator="greaterThan">
      <formula>0</formula>
    </cfRule>
    <cfRule type="cellIs" dxfId="99" priority="295" operator="lessThan">
      <formula>0</formula>
    </cfRule>
  </conditionalFormatting>
  <conditionalFormatting sqref="X4:X10 B4:V10">
    <cfRule type="top10" dxfId="98" priority="3924" percent="1" rank="50"/>
    <cfRule type="top10" dxfId="97" priority="3923" percent="1" bottom="1" rank="49"/>
    <cfRule type="colorScale" priority="3925">
      <colorScale>
        <cfvo type="min"/>
        <cfvo type="max"/>
        <color theme="0" tint="-4.9989318521683403E-2"/>
        <color theme="1" tint="0.249977111117893"/>
      </colorScale>
    </cfRule>
  </conditionalFormatting>
  <conditionalFormatting sqref="X4:X10 V4:V10 B18:V24 X18:X24 B32:V38 X32:X38 B46:V52 X46:X52 B60:V66 X60:X66 B74:V80 X74:X80 B88:V94 X88:X94 B102:V108 X102:X108 B116:V122 X116:X122 B130:V136 X130:X136 B144:V150 X144:X150 B158:V164 X158:X164">
    <cfRule type="top10" dxfId="96" priority="1921" bottom="1" rank="3"/>
    <cfRule type="top10" dxfId="95" priority="1920" bottom="1" rank="1"/>
    <cfRule type="top10" dxfId="94" priority="1919" rank="3"/>
    <cfRule type="top10" dxfId="93" priority="1918" rank="1"/>
  </conditionalFormatting>
  <conditionalFormatting sqref="X4:X10 V4:V10">
    <cfRule type="top10" dxfId="92" priority="1233" percent="1" rank="50"/>
  </conditionalFormatting>
  <conditionalFormatting sqref="X12:X13 B12:V13">
    <cfRule type="top10" dxfId="91" priority="3935" percent="1" bottom="1" rank="49"/>
    <cfRule type="colorScale" priority="3937">
      <colorScale>
        <cfvo type="min"/>
        <cfvo type="max"/>
        <color theme="0" tint="-4.9989318521683403E-2"/>
        <color theme="2" tint="-0.749992370372631"/>
      </colorScale>
    </cfRule>
    <cfRule type="top10" dxfId="90" priority="3936" percent="1" rank="50"/>
  </conditionalFormatting>
  <conditionalFormatting sqref="X18:X24 B18:V24">
    <cfRule type="colorScale" priority="3949">
      <colorScale>
        <cfvo type="min"/>
        <cfvo type="max"/>
        <color theme="8" tint="0.79998168889431442"/>
        <color theme="8" tint="-0.499984740745262"/>
      </colorScale>
    </cfRule>
    <cfRule type="top10" dxfId="89" priority="3948" percent="1" bottom="1" rank="49"/>
    <cfRule type="top10" dxfId="88" priority="3947" percent="1" rank="50"/>
  </conditionalFormatting>
  <conditionalFormatting sqref="X26:X27 B26:V27">
    <cfRule type="top10" dxfId="87" priority="3960" percent="1" rank="50"/>
    <cfRule type="top10" dxfId="86" priority="3959" percent="1" bottom="1" rank="49"/>
    <cfRule type="colorScale" priority="3961">
      <colorScale>
        <cfvo type="min"/>
        <cfvo type="max"/>
        <color theme="8" tint="0.79998168889431442"/>
        <color theme="8" tint="-0.499984740745262"/>
      </colorScale>
    </cfRule>
  </conditionalFormatting>
  <conditionalFormatting sqref="X32:X38 B32:V38">
    <cfRule type="colorScale" priority="3973">
      <colorScale>
        <cfvo type="min"/>
        <cfvo type="max"/>
        <color theme="8" tint="0.79998168889431442"/>
        <color theme="8" tint="-0.499984740745262"/>
      </colorScale>
    </cfRule>
    <cfRule type="top10" dxfId="85" priority="3971" percent="1" rank="50"/>
    <cfRule type="colorScale" priority="3972">
      <colorScale>
        <cfvo type="min"/>
        <cfvo type="max"/>
        <color theme="5" tint="0.79998168889431442"/>
        <color theme="5" tint="-0.499984740745262"/>
      </colorScale>
    </cfRule>
  </conditionalFormatting>
  <conditionalFormatting sqref="X40:X41 B40:V41">
    <cfRule type="top10" dxfId="84" priority="3984" percent="1" rank="50"/>
    <cfRule type="colorScale" priority="3985">
      <colorScale>
        <cfvo type="min"/>
        <cfvo type="max"/>
        <color theme="5" tint="0.79998168889431442"/>
        <color theme="5" tint="-0.499984740745262"/>
      </colorScale>
    </cfRule>
    <cfRule type="top10" dxfId="83" priority="3983" percent="1" bottom="1" rank="49"/>
  </conditionalFormatting>
  <conditionalFormatting sqref="X46:X52 B46:V52">
    <cfRule type="top10" dxfId="82" priority="3996" percent="1" rank="50"/>
    <cfRule type="colorScale" priority="3995">
      <colorScale>
        <cfvo type="min"/>
        <cfvo type="max"/>
        <color theme="3" tint="0.89999084444715716"/>
        <color theme="3" tint="9.9978637043366805E-2"/>
      </colorScale>
    </cfRule>
  </conditionalFormatting>
  <conditionalFormatting sqref="X54:X55 B54:V55">
    <cfRule type="colorScale" priority="4007">
      <colorScale>
        <cfvo type="min"/>
        <cfvo type="max"/>
        <color theme="4" tint="0.79998168889431442"/>
        <color theme="4" tint="-0.499984740745262"/>
      </colorScale>
    </cfRule>
    <cfRule type="top10" dxfId="81" priority="4006" percent="1" rank="50"/>
    <cfRule type="top10" dxfId="80" priority="4005" percent="1" bottom="1" rank="49"/>
  </conditionalFormatting>
  <conditionalFormatting sqref="X60:X66 B60:V66">
    <cfRule type="colorScale" priority="4017">
      <colorScale>
        <cfvo type="min"/>
        <cfvo type="max"/>
        <color theme="5" tint="0.79998168889431442"/>
        <color rgb="FFC00000"/>
      </colorScale>
    </cfRule>
    <cfRule type="top10" dxfId="79" priority="4018" percent="1" rank="50"/>
    <cfRule type="top10" dxfId="78" priority="4019" percent="1" bottom="1" rank="50"/>
  </conditionalFormatting>
  <conditionalFormatting sqref="X74:X80 B74:V80">
    <cfRule type="colorScale" priority="4049">
      <colorScale>
        <cfvo type="min"/>
        <cfvo type="max"/>
        <color theme="6" tint="0.79998168889431442"/>
        <color theme="6" tint="-0.499984740745262"/>
      </colorScale>
    </cfRule>
    <cfRule type="top10" dxfId="77" priority="4048" percent="1" rank="50"/>
    <cfRule type="top10" dxfId="76" priority="4047" percent="1" bottom="1" rank="49"/>
  </conditionalFormatting>
  <conditionalFormatting sqref="X82:X83 B82:V83">
    <cfRule type="colorScale" priority="4061">
      <colorScale>
        <cfvo type="min"/>
        <cfvo type="max"/>
        <color theme="6" tint="0.79998168889431442"/>
        <color theme="6" tint="-0.499984740745262"/>
      </colorScale>
    </cfRule>
  </conditionalFormatting>
  <conditionalFormatting sqref="X82:X84 B82:V84">
    <cfRule type="colorScale" priority="4065">
      <colorScale>
        <cfvo type="min"/>
        <cfvo type="percentile" val="50"/>
        <cfvo type="max"/>
        <color rgb="FFF8696B"/>
        <color rgb="FFFFEB84"/>
        <color rgb="FF63BE7B"/>
      </colorScale>
    </cfRule>
  </conditionalFormatting>
  <conditionalFormatting sqref="X83 B83:V83">
    <cfRule type="top10" dxfId="75" priority="64" percent="1" bottom="1" rank="49"/>
    <cfRule type="top10" dxfId="74" priority="63" percent="1" rank="50"/>
  </conditionalFormatting>
  <conditionalFormatting sqref="X88:X94 B88:V94">
    <cfRule type="top10" dxfId="73" priority="4073" percent="1" rank="100"/>
    <cfRule type="colorScale" priority="4074">
      <colorScale>
        <cfvo type="min"/>
        <cfvo type="max"/>
        <color rgb="FFFFFF00"/>
        <color rgb="FFFF9900"/>
      </colorScale>
    </cfRule>
  </conditionalFormatting>
  <conditionalFormatting sqref="X96:X97 B96:V97">
    <cfRule type="colorScale" priority="4079">
      <colorScale>
        <cfvo type="min"/>
        <cfvo type="max"/>
        <color rgb="FFFFFF00"/>
        <color rgb="FFFF9900"/>
      </colorScale>
    </cfRule>
  </conditionalFormatting>
  <conditionalFormatting sqref="X96:X98 B96:V98">
    <cfRule type="top10" dxfId="72" priority="4081" percent="1" rank="100"/>
  </conditionalFormatting>
  <conditionalFormatting sqref="X102:X108 B102:V108">
    <cfRule type="top10" dxfId="71" priority="4085" percent="1" bottom="1" rank="49"/>
    <cfRule type="top10" dxfId="70" priority="4086" percent="1" rank="50"/>
    <cfRule type="colorScale" priority="4087">
      <colorScale>
        <cfvo type="min"/>
        <cfvo type="max"/>
        <color theme="5" tint="0.79998168889431442"/>
        <color theme="4" tint="-0.499984740745262"/>
      </colorScale>
    </cfRule>
  </conditionalFormatting>
  <conditionalFormatting sqref="X110:X111 B110:V111">
    <cfRule type="colorScale" priority="4099">
      <colorScale>
        <cfvo type="min"/>
        <cfvo type="max"/>
        <color theme="5" tint="0.79998168889431442"/>
        <color theme="4" tint="-0.499984740745262"/>
      </colorScale>
    </cfRule>
    <cfRule type="top10" dxfId="69" priority="4098" percent="1" rank="50"/>
    <cfRule type="top10" dxfId="68" priority="4097" percent="1" bottom="1" rank="49"/>
  </conditionalFormatting>
  <conditionalFormatting sqref="X110:X112 B110:V112 Y112">
    <cfRule type="colorScale" priority="4103">
      <colorScale>
        <cfvo type="min"/>
        <cfvo type="percentile" val="50"/>
        <cfvo type="max"/>
        <color rgb="FFF8696B"/>
        <color rgb="FFFFEB84"/>
        <color rgb="FF63BE7B"/>
      </colorScale>
    </cfRule>
  </conditionalFormatting>
  <conditionalFormatting sqref="X116:X122 B116:V122">
    <cfRule type="top10" dxfId="67" priority="4113" percent="1" rank="50"/>
    <cfRule type="top10" dxfId="66" priority="4112" percent="1" bottom="1" rank="49"/>
    <cfRule type="colorScale" priority="4111">
      <colorScale>
        <cfvo type="min"/>
        <cfvo type="max"/>
        <color rgb="FFFFFFAF"/>
        <color theme="6" tint="-0.499984740745262"/>
      </colorScale>
    </cfRule>
  </conditionalFormatting>
  <conditionalFormatting sqref="X124:X125 B124:V125">
    <cfRule type="top10" dxfId="65" priority="4123" percent="1" bottom="1" rank="49"/>
    <cfRule type="top10" dxfId="64" priority="4124" percent="1" rank="50"/>
    <cfRule type="colorScale" priority="4125">
      <colorScale>
        <cfvo type="min"/>
        <cfvo type="max"/>
        <color rgb="FFFFFFAF"/>
        <color theme="6" tint="-0.499984740745262"/>
      </colorScale>
    </cfRule>
  </conditionalFormatting>
  <conditionalFormatting sqref="X130:X136 B130:V136">
    <cfRule type="top10" dxfId="63" priority="4137" percent="1" rank="50"/>
    <cfRule type="colorScale" priority="4135">
      <colorScale>
        <cfvo type="min"/>
        <cfvo type="percentile" val="50"/>
        <cfvo type="max"/>
        <color theme="4" tint="0.39997558519241921"/>
        <color theme="5" tint="0.39997558519241921"/>
        <color theme="8" tint="0.39997558519241921"/>
      </colorScale>
    </cfRule>
    <cfRule type="top10" dxfId="62" priority="4136" percent="1" bottom="1" rank="49"/>
  </conditionalFormatting>
  <conditionalFormatting sqref="X138:X139 B138:V139">
    <cfRule type="colorScale" priority="4149">
      <colorScale>
        <cfvo type="min"/>
        <cfvo type="percentile" val="50"/>
        <cfvo type="max"/>
        <color theme="4" tint="0.39997558519241921"/>
        <color theme="5" tint="0.39997558519241921"/>
        <color theme="8" tint="0.39997558519241921"/>
      </colorScale>
    </cfRule>
    <cfRule type="top10" dxfId="61" priority="4148" percent="1" rank="50"/>
    <cfRule type="top10" dxfId="60" priority="4147" percent="1" bottom="1" rank="49"/>
  </conditionalFormatting>
  <conditionalFormatting sqref="X144:X150 B144:V150">
    <cfRule type="top10" dxfId="59" priority="4159" percent="1" rank="100"/>
    <cfRule type="colorScale" priority="4160">
      <colorScale>
        <cfvo type="min"/>
        <cfvo type="percentile" val="50"/>
        <cfvo type="max"/>
        <color rgb="FFFF0000"/>
        <color theme="7" tint="-0.499984740745262"/>
        <color theme="6" tint="0.39997558519241921"/>
      </colorScale>
    </cfRule>
  </conditionalFormatting>
  <conditionalFormatting sqref="X151:X154 B151:V154">
    <cfRule type="top10" dxfId="58" priority="4165" percent="1" rank="100"/>
  </conditionalFormatting>
  <conditionalFormatting sqref="X152:X153 B152:V153">
    <cfRule type="colorScale" priority="4167">
      <colorScale>
        <cfvo type="min"/>
        <cfvo type="percentile" val="50"/>
        <cfvo type="max"/>
        <color rgb="FFFF0000"/>
        <color theme="7" tint="-0.499984740745262"/>
        <color theme="6" tint="0.39997558519241921"/>
      </colorScale>
    </cfRule>
  </conditionalFormatting>
  <conditionalFormatting sqref="X158:X164 B158:V164">
    <cfRule type="colorScale" priority="4173">
      <colorScale>
        <cfvo type="min"/>
        <cfvo type="max"/>
        <color theme="0"/>
        <color theme="1"/>
      </colorScale>
    </cfRule>
    <cfRule type="top10" dxfId="57" priority="4171" percent="1" bottom="1" rank="49"/>
    <cfRule type="top10" dxfId="56" priority="4172" percent="1" rank="50"/>
  </conditionalFormatting>
  <conditionalFormatting sqref="X166:X167 B166:V167">
    <cfRule type="top10" dxfId="55" priority="4183" percent="1" bottom="1" rank="49"/>
    <cfRule type="top10" dxfId="54" priority="4184" percent="1" rank="50"/>
    <cfRule type="colorScale" priority="4185">
      <colorScale>
        <cfvo type="min"/>
        <cfvo type="max"/>
        <color theme="0"/>
        <color theme="1"/>
      </colorScale>
    </cfRule>
  </conditionalFormatting>
  <conditionalFormatting sqref="X27:Y28 B26:B28 C27:V28">
    <cfRule type="cellIs" dxfId="53" priority="675" operator="greaterThan">
      <formula>"""ratio"""</formula>
    </cfRule>
  </conditionalFormatting>
  <conditionalFormatting sqref="X112:Y112 B112:V112">
    <cfRule type="colorScale" priority="4107">
      <colorScale>
        <cfvo type="min"/>
        <cfvo type="max"/>
        <color theme="5" tint="0.79998168889431442"/>
        <color theme="4" tint="-0.499984740745262"/>
      </colorScale>
    </cfRule>
    <cfRule type="top10" dxfId="52" priority="4105" percent="1" bottom="1" rank="49"/>
    <cfRule type="top10" dxfId="51" priority="4106" percent="1" rank="50"/>
  </conditionalFormatting>
  <conditionalFormatting sqref="X126:Y126 B126:V126">
    <cfRule type="top10" dxfId="50" priority="4129" percent="1" bottom="1" rank="49"/>
    <cfRule type="top10" dxfId="49" priority="4130" percent="1" rank="50"/>
    <cfRule type="colorScale" priority="4131">
      <colorScale>
        <cfvo type="min"/>
        <cfvo type="max"/>
        <color rgb="FFFFFFAF"/>
        <color theme="6" tint="-0.499984740745262"/>
      </colorScale>
    </cfRule>
  </conditionalFormatting>
  <conditionalFormatting sqref="Y4:Y10 Y18:Y24 Y32:Y38 Y46:Y52 Y60:Y66 Y74:Y80 Y88:Y94 Y102:Y108 Y116:Y122 Y130:Y136 Y144:Y150 Y158:Y164">
    <cfRule type="top10" dxfId="48" priority="2" rank="1"/>
    <cfRule type="top10" dxfId="47" priority="19" bottom="1" rank="10"/>
    <cfRule type="top10" dxfId="46" priority="18" rank="10"/>
    <cfRule type="iconSet" priority="1">
      <iconSet iconSet="4Arrows">
        <cfvo type="percent" val="0"/>
        <cfvo type="percent" val="25"/>
        <cfvo type="percent" val="50"/>
        <cfvo type="percent" val="75"/>
      </iconSet>
    </cfRule>
    <cfRule type="top10" dxfId="45" priority="3" rank="3"/>
    <cfRule type="top10" dxfId="44" priority="4" bottom="1" rank="1"/>
    <cfRule type="top10" dxfId="43" priority="5" bottom="1" rank="3"/>
  </conditionalFormatting>
  <conditionalFormatting sqref="Y4:Y10">
    <cfRule type="top10" dxfId="42" priority="42" percent="1" bottom="1" rank="49"/>
    <cfRule type="colorScale" priority="12">
      <colorScale>
        <cfvo type="min"/>
        <cfvo type="max"/>
        <color theme="0"/>
        <color theme="2" tint="-0.749992370372631"/>
      </colorScale>
    </cfRule>
    <cfRule type="top10" dxfId="41" priority="41" percent="1" rank="50"/>
  </conditionalFormatting>
  <conditionalFormatting sqref="Y18:Y24">
    <cfRule type="colorScale" priority="15">
      <colorScale>
        <cfvo type="min"/>
        <cfvo type="max"/>
        <color theme="8" tint="0.79998168889431442"/>
        <color theme="8" tint="-0.499984740745262"/>
      </colorScale>
    </cfRule>
    <cfRule type="top10" dxfId="40" priority="40" percent="1" rank="50"/>
    <cfRule type="top10" dxfId="39" priority="39" percent="1" bottom="1" rank="49"/>
  </conditionalFormatting>
  <conditionalFormatting sqref="Y32:Y38">
    <cfRule type="colorScale" priority="16">
      <colorScale>
        <cfvo type="min"/>
        <cfvo type="max"/>
        <color theme="5" tint="0.79998168889431442"/>
        <color theme="5" tint="-0.499984740745262"/>
      </colorScale>
    </cfRule>
    <cfRule type="top10" dxfId="38" priority="38" percent="1" bottom="1" rank="49"/>
    <cfRule type="top10" dxfId="37" priority="37" percent="1" rank="50"/>
  </conditionalFormatting>
  <conditionalFormatting sqref="Y46:Y52">
    <cfRule type="colorScale" priority="17">
      <colorScale>
        <cfvo type="min"/>
        <cfvo type="max"/>
        <color theme="4" tint="0.79998168889431442"/>
        <color theme="3" tint="9.9978637043366805E-2"/>
      </colorScale>
    </cfRule>
    <cfRule type="top10" dxfId="36" priority="36" percent="1" bottom="1" rank="49"/>
    <cfRule type="top10" dxfId="35" priority="35" percent="1" rank="50"/>
  </conditionalFormatting>
  <conditionalFormatting sqref="Y60:Y66">
    <cfRule type="colorScale" priority="14">
      <colorScale>
        <cfvo type="min"/>
        <cfvo type="max"/>
        <color theme="5" tint="0.79998168889431442"/>
        <color rgb="FFC00000"/>
      </colorScale>
    </cfRule>
    <cfRule type="top10" dxfId="34" priority="34" percent="1" rank="50"/>
    <cfRule type="top10" dxfId="33" priority="26" percent="1" bottom="1" rank="49"/>
  </conditionalFormatting>
  <conditionalFormatting sqref="Y74:Y80">
    <cfRule type="colorScale" priority="13">
      <colorScale>
        <cfvo type="min"/>
        <cfvo type="max"/>
        <color theme="6" tint="0.79998168889431442"/>
        <color theme="6" tint="-0.499984740745262"/>
      </colorScale>
    </cfRule>
    <cfRule type="top10" dxfId="32" priority="33" percent="1" bottom="1" rank="49"/>
    <cfRule type="top10" dxfId="31" priority="25" percent="1" rank="50"/>
  </conditionalFormatting>
  <conditionalFormatting sqref="Y88:Y94">
    <cfRule type="colorScale" priority="11">
      <colorScale>
        <cfvo type="min"/>
        <cfvo type="max"/>
        <color rgb="FFFFFF00"/>
        <color rgb="FFFF9900"/>
      </colorScale>
    </cfRule>
    <cfRule type="top10" dxfId="30" priority="24" percent="1" rank="50"/>
    <cfRule type="top10" dxfId="29" priority="32" percent="1" bottom="1" rank="49"/>
  </conditionalFormatting>
  <conditionalFormatting sqref="Y102:Y108">
    <cfRule type="colorScale" priority="10">
      <colorScale>
        <cfvo type="min"/>
        <cfvo type="max"/>
        <color theme="5" tint="0.79998168889431442"/>
        <color theme="4" tint="-0.499984740745262"/>
      </colorScale>
    </cfRule>
    <cfRule type="top10" dxfId="28" priority="21" percent="1" bottom="1" rank="49"/>
    <cfRule type="top10" dxfId="27" priority="31" percent="1" rank="50"/>
  </conditionalFormatting>
  <conditionalFormatting sqref="Y116:Y122">
    <cfRule type="colorScale" priority="9">
      <colorScale>
        <cfvo type="min"/>
        <cfvo type="max"/>
        <color rgb="FFFFFFAF"/>
        <color theme="6" tint="-0.499984740745262"/>
      </colorScale>
    </cfRule>
    <cfRule type="top10" dxfId="26" priority="23" percent="1" bottom="1" rank="49"/>
    <cfRule type="top10" dxfId="25" priority="30" percent="1" rank="50"/>
  </conditionalFormatting>
  <conditionalFormatting sqref="Y130:Y136">
    <cfRule type="top10" dxfId="24" priority="29" percent="1" rank="50"/>
    <cfRule type="colorScale" priority="8">
      <colorScale>
        <cfvo type="min"/>
        <cfvo type="percentile" val="50"/>
        <cfvo type="max"/>
        <color theme="4" tint="0.39997558519241921"/>
        <color theme="5" tint="0.39997558519241921"/>
        <color theme="8" tint="0.39997558519241921"/>
      </colorScale>
    </cfRule>
    <cfRule type="top10" dxfId="23" priority="22" percent="1" bottom="1" rank="49"/>
  </conditionalFormatting>
  <conditionalFormatting sqref="Y144:Y150">
    <cfRule type="colorScale" priority="7">
      <colorScale>
        <cfvo type="min"/>
        <cfvo type="percentile" val="50"/>
        <cfvo type="max"/>
        <color rgb="FFFF0000"/>
        <color theme="7" tint="-0.499984740745262"/>
        <color theme="6" tint="0.39997558519241921"/>
      </colorScale>
    </cfRule>
    <cfRule type="top10" dxfId="22" priority="28" percent="1" rank="100"/>
  </conditionalFormatting>
  <conditionalFormatting sqref="Y158:Y164">
    <cfRule type="colorScale" priority="6">
      <colorScale>
        <cfvo type="min"/>
        <cfvo type="max"/>
        <color theme="0"/>
        <color theme="1"/>
      </colorScale>
    </cfRule>
    <cfRule type="top10" dxfId="21" priority="27" percent="1" rank="50"/>
    <cfRule type="top10" dxfId="20" priority="20" percent="1" bottom="1" rank="49"/>
  </conditionalFormatting>
  <conditionalFormatting sqref="Z88:Z99">
    <cfRule type="colorScale" priority="196">
      <colorScale>
        <cfvo type="min"/>
        <cfvo type="max"/>
        <color rgb="FFFFFF00"/>
        <color rgb="FFFF9900"/>
      </colorScale>
    </cfRule>
  </conditionalFormatting>
  <conditionalFormatting sqref="AB4:AB10">
    <cfRule type="top10" dxfId="19" priority="288" percent="1" rank="50"/>
    <cfRule type="colorScale" priority="289">
      <colorScale>
        <cfvo type="min"/>
        <cfvo type="max"/>
        <color theme="0" tint="-4.9989318521683403E-2"/>
        <color theme="2" tint="-0.749992370372631"/>
      </colorScale>
    </cfRule>
  </conditionalFormatting>
  <conditionalFormatting sqref="AB18:AB24">
    <cfRule type="top10" dxfId="18" priority="293" percent="1" rank="50"/>
    <cfRule type="colorScale" priority="294">
      <colorScale>
        <cfvo type="min"/>
        <cfvo type="max"/>
        <color theme="8" tint="0.79998168889431442"/>
        <color theme="8" tint="-0.499984740745262"/>
      </colorScale>
    </cfRule>
  </conditionalFormatting>
  <conditionalFormatting sqref="AB32:AB38">
    <cfRule type="top10" dxfId="17" priority="265" percent="1" bottom="1" rank="49"/>
    <cfRule type="top10" dxfId="16" priority="266" percent="1" rank="50"/>
    <cfRule type="colorScale" priority="267">
      <colorScale>
        <cfvo type="min"/>
        <cfvo type="max"/>
        <color theme="5" tint="0.79998168889431442"/>
        <color theme="5" tint="-0.499984740745262"/>
      </colorScale>
    </cfRule>
  </conditionalFormatting>
  <conditionalFormatting sqref="AB46:AB52">
    <cfRule type="colorScale" priority="242">
      <colorScale>
        <cfvo type="min"/>
        <cfvo type="max"/>
        <color theme="4" tint="0.79998168889431442"/>
        <color theme="4" tint="-0.499984740745262"/>
      </colorScale>
    </cfRule>
    <cfRule type="top10" dxfId="15" priority="241" percent="1" rank="50"/>
    <cfRule type="top10" dxfId="14" priority="240" percent="1" bottom="1" rank="49"/>
  </conditionalFormatting>
  <conditionalFormatting sqref="AB60:AB66">
    <cfRule type="top10" dxfId="13" priority="224" percent="1" rank="50"/>
    <cfRule type="top10" dxfId="12" priority="223" percent="1" bottom="1" rank="49"/>
    <cfRule type="colorScale" priority="225">
      <colorScale>
        <cfvo type="min"/>
        <cfvo type="max"/>
        <color theme="5" tint="0.79998168889431442"/>
        <color rgb="FFC00000"/>
      </colorScale>
    </cfRule>
  </conditionalFormatting>
  <conditionalFormatting sqref="AB74:AB80">
    <cfRule type="top10" dxfId="11" priority="202" percent="1" rank="50"/>
    <cfRule type="top10" dxfId="10" priority="201" percent="1" bottom="1" rank="49"/>
    <cfRule type="colorScale" priority="203">
      <colorScale>
        <cfvo type="min"/>
        <cfvo type="max"/>
        <color theme="6" tint="0.79998168889431442"/>
        <color theme="6" tint="-0.499984740745262"/>
      </colorScale>
    </cfRule>
  </conditionalFormatting>
  <conditionalFormatting sqref="AB88:AB94">
    <cfRule type="top10" dxfId="9" priority="184" percent="1" rank="100"/>
    <cfRule type="colorScale" priority="185">
      <colorScale>
        <cfvo type="min"/>
        <cfvo type="max"/>
        <color rgb="FFFFFF00"/>
        <color rgb="FFFF9900"/>
      </colorScale>
    </cfRule>
  </conditionalFormatting>
  <conditionalFormatting sqref="AB102:AB108">
    <cfRule type="top10" dxfId="8" priority="156" percent="1" bottom="1" rank="49"/>
    <cfRule type="top10" dxfId="7" priority="157" percent="1" rank="50"/>
    <cfRule type="colorScale" priority="158">
      <colorScale>
        <cfvo type="min"/>
        <cfvo type="max"/>
        <color theme="5" tint="0.79998168889431442"/>
        <color theme="4" tint="-0.499984740745262"/>
      </colorScale>
    </cfRule>
  </conditionalFormatting>
  <conditionalFormatting sqref="AB116:AB122">
    <cfRule type="top10" dxfId="6" priority="137" percent="1" rank="50"/>
    <cfRule type="colorScale" priority="138">
      <colorScale>
        <cfvo type="min"/>
        <cfvo type="max"/>
        <color rgb="FFFFFFAF"/>
        <color theme="6" tint="-0.499984740745262"/>
      </colorScale>
    </cfRule>
    <cfRule type="top10" dxfId="5" priority="136" percent="1" bottom="1" rank="49"/>
  </conditionalFormatting>
  <conditionalFormatting sqref="AB130:AB136">
    <cfRule type="top10" dxfId="4" priority="123" percent="1" rank="50"/>
    <cfRule type="colorScale" priority="125">
      <colorScale>
        <cfvo type="min"/>
        <cfvo type="percentile" val="50"/>
        <cfvo type="max"/>
        <color theme="4" tint="0.39997558519241921"/>
        <color theme="5" tint="0.39997558519241921"/>
        <color theme="8" tint="0.39997558519241921"/>
      </colorScale>
    </cfRule>
    <cfRule type="top10" dxfId="3" priority="117" percent="1" bottom="1" rank="49"/>
  </conditionalFormatting>
  <conditionalFormatting sqref="AB144:AB150">
    <cfRule type="colorScale" priority="109">
      <colorScale>
        <cfvo type="min"/>
        <cfvo type="percentile" val="50"/>
        <cfvo type="max"/>
        <color rgb="FFFF0000"/>
        <color theme="7" tint="-0.499984740745262"/>
        <color theme="6" tint="0.39997558519241921"/>
      </colorScale>
    </cfRule>
    <cfRule type="top10" dxfId="2" priority="105" percent="1" rank="100"/>
  </conditionalFormatting>
  <conditionalFormatting sqref="AB158:AB164">
    <cfRule type="top10" dxfId="1" priority="95" percent="1" rank="50"/>
    <cfRule type="colorScale" priority="100">
      <colorScale>
        <cfvo type="min"/>
        <cfvo type="max"/>
        <color theme="0"/>
        <color theme="1"/>
      </colorScale>
    </cfRule>
    <cfRule type="top10" dxfId="0" priority="87" percent="1" bottom="1" rank="49"/>
  </conditionalFormatting>
  <hyperlinks>
    <hyperlink ref="P185" r:id="rId1" xr:uid="{B66C1FB3-53AB-4EC3-AE75-F6BA456134C5}"/>
  </hyperlinks>
  <pageMargins left="0.70000000000000007" right="0.70000000000000007" top="0.75" bottom="0.75" header="0.30000000000000004" footer="0.30000000000000004"/>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274C-8D7C-413B-B773-DC6D0DAAAE0C}">
  <sheetPr codeName="Sheet2"/>
  <dimension ref="A2:O611"/>
  <sheetViews>
    <sheetView showGridLines="0" topLeftCell="B388" zoomScale="70" zoomScaleNormal="70" workbookViewId="0">
      <selection activeCell="I409" sqref="I409"/>
    </sheetView>
  </sheetViews>
  <sheetFormatPr defaultRowHeight="14.5" x14ac:dyDescent="0.35"/>
  <cols>
    <col min="1" max="1" width="0" hidden="1" customWidth="1"/>
    <col min="2" max="2" width="30.26953125" bestFit="1" customWidth="1"/>
    <col min="3" max="4" width="10.08984375" bestFit="1" customWidth="1"/>
    <col min="5" max="5" width="15.26953125" bestFit="1" customWidth="1"/>
    <col min="7" max="7" width="10.26953125" bestFit="1" customWidth="1"/>
    <col min="8" max="9" width="10.08984375" customWidth="1"/>
    <col min="10" max="10" width="10.26953125" bestFit="1" customWidth="1"/>
    <col min="15" max="15" width="16.81640625" bestFit="1" customWidth="1"/>
  </cols>
  <sheetData>
    <row r="2" spans="1:15" ht="62.5" x14ac:dyDescent="1.4">
      <c r="B2" s="7"/>
      <c r="C2" s="7"/>
      <c r="D2" s="7"/>
      <c r="E2" s="7"/>
      <c r="F2" s="7"/>
      <c r="G2" s="7"/>
      <c r="H2" s="7"/>
      <c r="I2" s="7"/>
      <c r="J2" s="7"/>
      <c r="K2" s="7"/>
      <c r="L2" s="7"/>
      <c r="M2" s="7"/>
      <c r="N2" s="7"/>
      <c r="O2" s="2" t="s">
        <v>43</v>
      </c>
    </row>
    <row r="3" spans="1:15" ht="45.5" customHeight="1" x14ac:dyDescent="1.4">
      <c r="B3" s="7"/>
      <c r="C3" s="7"/>
      <c r="D3" s="7"/>
      <c r="E3" s="7"/>
      <c r="F3" s="7"/>
      <c r="G3" s="7"/>
      <c r="H3" s="7"/>
      <c r="I3" s="7"/>
      <c r="J3" s="7"/>
      <c r="K3" s="7"/>
      <c r="L3" s="7"/>
      <c r="M3" s="7"/>
      <c r="N3" s="7"/>
      <c r="O3" s="2"/>
    </row>
    <row r="4" spans="1:15" x14ac:dyDescent="0.35">
      <c r="B4" s="7"/>
      <c r="C4" s="7"/>
      <c r="D4" s="7"/>
      <c r="E4" s="7"/>
      <c r="F4" s="7"/>
      <c r="G4" s="10" t="s">
        <v>80</v>
      </c>
      <c r="H4" s="7"/>
      <c r="I4" s="7"/>
      <c r="J4" s="10" t="s">
        <v>81</v>
      </c>
      <c r="K4" s="7"/>
      <c r="L4" s="7"/>
      <c r="M4" s="7"/>
      <c r="N4" s="7"/>
      <c r="O4" s="7"/>
    </row>
    <row r="5" spans="1:15" x14ac:dyDescent="0.35">
      <c r="B5" s="7"/>
      <c r="C5" s="7"/>
      <c r="D5" s="7"/>
      <c r="E5" s="7"/>
      <c r="F5" s="7"/>
      <c r="G5" s="7"/>
      <c r="H5" s="7"/>
      <c r="I5" s="7"/>
      <c r="J5" s="7"/>
      <c r="K5" s="7"/>
      <c r="L5" s="7"/>
      <c r="M5" s="7"/>
      <c r="N5" s="7"/>
      <c r="O5" s="7"/>
    </row>
    <row r="6" spans="1:15" ht="94.5" x14ac:dyDescent="2.2000000000000002">
      <c r="B6" s="4" t="s">
        <v>44</v>
      </c>
      <c r="C6" s="7"/>
      <c r="D6" s="7"/>
      <c r="E6" s="7"/>
      <c r="F6" s="7"/>
      <c r="G6" s="6">
        <f>Game!D3</f>
        <v>46027</v>
      </c>
      <c r="H6" s="5" t="s">
        <v>74</v>
      </c>
      <c r="I6" s="5"/>
      <c r="J6" s="6">
        <f>Game!C157</f>
        <v>46110</v>
      </c>
      <c r="K6" s="7"/>
      <c r="L6" s="7"/>
      <c r="M6" s="7"/>
      <c r="N6" s="7"/>
      <c r="O6" s="7"/>
    </row>
    <row r="7" spans="1:15" s="7" customFormat="1" x14ac:dyDescent="0.35">
      <c r="A7" t="s">
        <v>116</v>
      </c>
      <c r="B7" s="177"/>
      <c r="G7" s="6"/>
      <c r="H7" s="5"/>
      <c r="I7" s="5"/>
      <c r="J7" s="6"/>
    </row>
    <row r="8" spans="1:15" s="7" customFormat="1" hidden="1" x14ac:dyDescent="0.35">
      <c r="A8" t="s">
        <v>118</v>
      </c>
      <c r="B8" s="177"/>
      <c r="G8" s="6"/>
      <c r="H8" s="5"/>
      <c r="I8" s="5"/>
      <c r="J8" s="6"/>
    </row>
    <row r="9" spans="1:15" s="7" customFormat="1" hidden="1" x14ac:dyDescent="0.35">
      <c r="A9" t="s">
        <v>118</v>
      </c>
      <c r="B9" s="177"/>
      <c r="G9" s="6"/>
      <c r="H9" s="5"/>
      <c r="I9" s="5"/>
      <c r="J9" s="6"/>
    </row>
    <row r="10" spans="1:15" s="7" customFormat="1" hidden="1" x14ac:dyDescent="0.35">
      <c r="A10" t="s">
        <v>118</v>
      </c>
      <c r="B10" s="177"/>
      <c r="G10" s="6"/>
      <c r="H10" s="5"/>
      <c r="I10" s="5"/>
      <c r="J10" s="6"/>
    </row>
    <row r="11" spans="1:15" s="7" customFormat="1" hidden="1" x14ac:dyDescent="0.35">
      <c r="A11" t="s">
        <v>118</v>
      </c>
      <c r="B11" s="177"/>
      <c r="G11" s="6"/>
      <c r="H11" s="5"/>
      <c r="I11" s="5"/>
      <c r="J11" s="6"/>
    </row>
    <row r="12" spans="1:15" s="7" customFormat="1" hidden="1" x14ac:dyDescent="0.35">
      <c r="A12" t="s">
        <v>118</v>
      </c>
      <c r="B12" s="177"/>
      <c r="G12" s="6"/>
      <c r="H12" s="5"/>
      <c r="I12" s="5"/>
      <c r="J12" s="6"/>
    </row>
    <row r="13" spans="1:15" s="7" customFormat="1" hidden="1" x14ac:dyDescent="0.35">
      <c r="A13" t="s">
        <v>118</v>
      </c>
      <c r="B13" s="177"/>
      <c r="G13" s="6"/>
      <c r="H13" s="5"/>
      <c r="I13" s="5"/>
      <c r="J13" s="6"/>
    </row>
    <row r="14" spans="1:15" s="7" customFormat="1" hidden="1" x14ac:dyDescent="0.35">
      <c r="A14" t="s">
        <v>118</v>
      </c>
      <c r="B14" s="177"/>
      <c r="G14" s="6"/>
      <c r="H14" s="5"/>
      <c r="I14" s="5"/>
      <c r="J14" s="6"/>
    </row>
    <row r="15" spans="1:15" s="7" customFormat="1" hidden="1" x14ac:dyDescent="0.35">
      <c r="A15" t="s">
        <v>118</v>
      </c>
      <c r="B15" s="177"/>
      <c r="G15" s="6"/>
      <c r="H15" s="5"/>
      <c r="I15" s="5"/>
      <c r="J15" s="6"/>
    </row>
    <row r="16" spans="1:15" s="7" customFormat="1" hidden="1" x14ac:dyDescent="0.35">
      <c r="A16" t="s">
        <v>118</v>
      </c>
      <c r="B16" s="177"/>
      <c r="G16" s="6"/>
      <c r="H16" s="5"/>
      <c r="I16" s="5"/>
      <c r="J16" s="6"/>
    </row>
    <row r="17" spans="1:10" s="7" customFormat="1" hidden="1" x14ac:dyDescent="0.35">
      <c r="A17" t="s">
        <v>118</v>
      </c>
      <c r="B17" s="177"/>
      <c r="G17" s="6"/>
      <c r="H17" s="5"/>
      <c r="I17" s="5"/>
      <c r="J17" s="6"/>
    </row>
    <row r="18" spans="1:10" s="7" customFormat="1" hidden="1" x14ac:dyDescent="0.35">
      <c r="A18" t="s">
        <v>118</v>
      </c>
      <c r="B18" s="177"/>
      <c r="G18" s="6"/>
      <c r="H18" s="5"/>
      <c r="I18" s="5"/>
      <c r="J18" s="6"/>
    </row>
    <row r="19" spans="1:10" s="7" customFormat="1" hidden="1" x14ac:dyDescent="0.35">
      <c r="A19" t="s">
        <v>118</v>
      </c>
      <c r="B19" s="177"/>
      <c r="G19" s="6"/>
      <c r="H19" s="5"/>
      <c r="I19" s="5"/>
      <c r="J19" s="6"/>
    </row>
    <row r="20" spans="1:10" s="7" customFormat="1" hidden="1" x14ac:dyDescent="0.35">
      <c r="A20" t="s">
        <v>118</v>
      </c>
      <c r="B20" s="177"/>
      <c r="G20" s="6"/>
      <c r="H20" s="5"/>
      <c r="I20" s="5"/>
      <c r="J20" s="6"/>
    </row>
    <row r="21" spans="1:10" s="7" customFormat="1" hidden="1" x14ac:dyDescent="0.35">
      <c r="A21" t="s">
        <v>118</v>
      </c>
      <c r="B21" s="177"/>
      <c r="G21" s="6"/>
      <c r="H21" s="5"/>
      <c r="I21" s="5"/>
      <c r="J21" s="6"/>
    </row>
    <row r="22" spans="1:10" s="7" customFormat="1" hidden="1" x14ac:dyDescent="0.35">
      <c r="A22" t="s">
        <v>118</v>
      </c>
      <c r="B22" s="177"/>
      <c r="G22" s="6"/>
      <c r="H22" s="5"/>
      <c r="I22" s="5"/>
      <c r="J22" s="6"/>
    </row>
    <row r="23" spans="1:10" s="7" customFormat="1" hidden="1" x14ac:dyDescent="0.35">
      <c r="A23" t="s">
        <v>118</v>
      </c>
      <c r="B23" s="177"/>
      <c r="G23" s="6"/>
      <c r="H23" s="5"/>
      <c r="I23" s="5"/>
      <c r="J23" s="6"/>
    </row>
    <row r="24" spans="1:10" s="7" customFormat="1" hidden="1" x14ac:dyDescent="0.35">
      <c r="A24" t="s">
        <v>118</v>
      </c>
      <c r="B24" s="177"/>
      <c r="G24" s="6"/>
      <c r="H24" s="5"/>
      <c r="I24" s="5"/>
      <c r="J24" s="6"/>
    </row>
    <row r="25" spans="1:10" s="7" customFormat="1" hidden="1" x14ac:dyDescent="0.35">
      <c r="A25" t="s">
        <v>118</v>
      </c>
      <c r="B25" s="177"/>
      <c r="G25" s="6"/>
      <c r="H25" s="5"/>
      <c r="I25" s="5"/>
      <c r="J25" s="6"/>
    </row>
    <row r="26" spans="1:10" s="7" customFormat="1" hidden="1" x14ac:dyDescent="0.35">
      <c r="A26" t="s">
        <v>118</v>
      </c>
      <c r="B26" s="177"/>
      <c r="G26" s="6"/>
      <c r="H26" s="5"/>
      <c r="I26" s="5"/>
      <c r="J26" s="6"/>
    </row>
    <row r="27" spans="1:10" s="7" customFormat="1" hidden="1" x14ac:dyDescent="0.35">
      <c r="A27" t="s">
        <v>118</v>
      </c>
      <c r="B27" s="177"/>
      <c r="G27" s="6"/>
      <c r="H27" s="5"/>
      <c r="I27" s="5"/>
      <c r="J27" s="6"/>
    </row>
    <row r="28" spans="1:10" s="7" customFormat="1" hidden="1" x14ac:dyDescent="0.35">
      <c r="A28" t="s">
        <v>118</v>
      </c>
      <c r="B28" s="177"/>
      <c r="G28" s="6"/>
      <c r="H28" s="5"/>
      <c r="I28" s="5"/>
      <c r="J28" s="6"/>
    </row>
    <row r="29" spans="1:10" s="7" customFormat="1" hidden="1" x14ac:dyDescent="0.35">
      <c r="A29" t="s">
        <v>118</v>
      </c>
      <c r="B29" s="177"/>
      <c r="G29" s="6"/>
      <c r="H29" s="5"/>
      <c r="I29" s="5"/>
      <c r="J29" s="6"/>
    </row>
    <row r="30" spans="1:10" s="7" customFormat="1" hidden="1" x14ac:dyDescent="0.35">
      <c r="A30" t="s">
        <v>118</v>
      </c>
      <c r="B30" s="177"/>
      <c r="G30" s="6"/>
      <c r="H30" s="5"/>
      <c r="I30" s="5"/>
      <c r="J30" s="6"/>
    </row>
    <row r="31" spans="1:10" s="7" customFormat="1" hidden="1" x14ac:dyDescent="0.35">
      <c r="A31" t="s">
        <v>118</v>
      </c>
      <c r="B31" s="177"/>
      <c r="G31" s="6"/>
      <c r="H31" s="5"/>
      <c r="I31" s="5"/>
      <c r="J31" s="6"/>
    </row>
    <row r="32" spans="1:10" s="7" customFormat="1" hidden="1" x14ac:dyDescent="0.35">
      <c r="A32" t="s">
        <v>118</v>
      </c>
      <c r="B32" s="177"/>
      <c r="G32" s="6"/>
      <c r="H32" s="5"/>
      <c r="I32" s="5"/>
      <c r="J32" s="6"/>
    </row>
    <row r="33" spans="1:10" s="7" customFormat="1" hidden="1" x14ac:dyDescent="0.35">
      <c r="A33" t="s">
        <v>118</v>
      </c>
      <c r="B33" s="177"/>
      <c r="G33" s="6"/>
      <c r="H33" s="5"/>
      <c r="I33" s="5"/>
      <c r="J33" s="6"/>
    </row>
    <row r="34" spans="1:10" s="7" customFormat="1" hidden="1" x14ac:dyDescent="0.35">
      <c r="A34" t="s">
        <v>118</v>
      </c>
      <c r="B34" s="177"/>
      <c r="G34" s="6"/>
      <c r="H34" s="5"/>
      <c r="I34" s="5"/>
      <c r="J34" s="6"/>
    </row>
    <row r="35" spans="1:10" s="7" customFormat="1" hidden="1" x14ac:dyDescent="0.35">
      <c r="A35" t="s">
        <v>118</v>
      </c>
      <c r="B35" s="177"/>
      <c r="G35" s="6"/>
      <c r="H35" s="5"/>
      <c r="I35" s="5"/>
      <c r="J35" s="6"/>
    </row>
    <row r="36" spans="1:10" s="7" customFormat="1" hidden="1" x14ac:dyDescent="0.35">
      <c r="A36" t="s">
        <v>118</v>
      </c>
      <c r="B36" s="177"/>
      <c r="G36" s="6"/>
      <c r="H36" s="5"/>
      <c r="I36" s="5"/>
      <c r="J36" s="6"/>
    </row>
    <row r="37" spans="1:10" s="7" customFormat="1" hidden="1" x14ac:dyDescent="0.35">
      <c r="A37" t="s">
        <v>118</v>
      </c>
      <c r="B37" s="177"/>
      <c r="G37" s="6"/>
      <c r="H37" s="5"/>
      <c r="I37" s="5"/>
      <c r="J37" s="6"/>
    </row>
    <row r="38" spans="1:10" s="7" customFormat="1" hidden="1" x14ac:dyDescent="0.35">
      <c r="A38" t="s">
        <v>118</v>
      </c>
      <c r="B38" s="177"/>
      <c r="G38" s="6"/>
      <c r="H38" s="5"/>
      <c r="I38" s="5"/>
      <c r="J38" s="6"/>
    </row>
    <row r="39" spans="1:10" s="7" customFormat="1" hidden="1" x14ac:dyDescent="0.35">
      <c r="A39" t="s">
        <v>118</v>
      </c>
      <c r="B39" s="177"/>
      <c r="G39" s="6"/>
      <c r="H39" s="5"/>
      <c r="I39" s="5"/>
      <c r="J39" s="6"/>
    </row>
    <row r="40" spans="1:10" s="7" customFormat="1" hidden="1" x14ac:dyDescent="0.35">
      <c r="A40" t="s">
        <v>118</v>
      </c>
      <c r="B40" s="177"/>
      <c r="G40" s="6"/>
      <c r="H40" s="5"/>
      <c r="I40" s="5"/>
      <c r="J40" s="6"/>
    </row>
    <row r="41" spans="1:10" s="7" customFormat="1" hidden="1" x14ac:dyDescent="0.35">
      <c r="A41" t="s">
        <v>118</v>
      </c>
      <c r="B41" s="177"/>
      <c r="G41" s="6"/>
      <c r="H41" s="5"/>
      <c r="I41" s="5"/>
      <c r="J41" s="6"/>
    </row>
    <row r="42" spans="1:10" s="7" customFormat="1" hidden="1" x14ac:dyDescent="0.35">
      <c r="A42" t="s">
        <v>118</v>
      </c>
      <c r="B42" s="177"/>
      <c r="G42" s="6"/>
      <c r="H42" s="5"/>
      <c r="I42" s="5"/>
      <c r="J42" s="6"/>
    </row>
    <row r="43" spans="1:10" s="7" customFormat="1" hidden="1" x14ac:dyDescent="0.35">
      <c r="A43" t="s">
        <v>118</v>
      </c>
      <c r="B43" s="177"/>
      <c r="G43" s="6"/>
      <c r="H43" s="5"/>
      <c r="I43" s="5"/>
      <c r="J43" s="6"/>
    </row>
    <row r="44" spans="1:10" s="7" customFormat="1" hidden="1" x14ac:dyDescent="0.35">
      <c r="A44" t="s">
        <v>118</v>
      </c>
      <c r="B44" s="177"/>
      <c r="G44" s="6"/>
      <c r="H44" s="5"/>
      <c r="I44" s="5"/>
      <c r="J44" s="6"/>
    </row>
    <row r="45" spans="1:10" s="7" customFormat="1" hidden="1" x14ac:dyDescent="0.35">
      <c r="A45" t="s">
        <v>118</v>
      </c>
      <c r="B45" s="177"/>
      <c r="G45" s="6"/>
      <c r="H45" s="5"/>
      <c r="I45" s="5"/>
      <c r="J45" s="6"/>
    </row>
    <row r="46" spans="1:10" s="7" customFormat="1" hidden="1" x14ac:dyDescent="0.35">
      <c r="A46" t="s">
        <v>118</v>
      </c>
      <c r="B46" s="177"/>
      <c r="G46" s="6"/>
      <c r="H46" s="5"/>
      <c r="I46" s="5"/>
      <c r="J46" s="6"/>
    </row>
    <row r="47" spans="1:10" s="7" customFormat="1" hidden="1" x14ac:dyDescent="0.35">
      <c r="A47" t="s">
        <v>118</v>
      </c>
      <c r="B47" s="177"/>
      <c r="G47" s="6"/>
      <c r="H47" s="5"/>
      <c r="I47" s="5"/>
      <c r="J47" s="6"/>
    </row>
    <row r="48" spans="1:10" s="7" customFormat="1" hidden="1" x14ac:dyDescent="0.35">
      <c r="A48" t="s">
        <v>118</v>
      </c>
      <c r="B48" s="177"/>
      <c r="G48" s="6"/>
      <c r="H48" s="5"/>
      <c r="I48" s="5"/>
      <c r="J48" s="6"/>
    </row>
    <row r="49" spans="1:10" s="7" customFormat="1" hidden="1" x14ac:dyDescent="0.35">
      <c r="A49" t="s">
        <v>118</v>
      </c>
      <c r="B49" s="177"/>
      <c r="G49" s="6"/>
      <c r="H49" s="5"/>
      <c r="I49" s="5"/>
      <c r="J49" s="6"/>
    </row>
    <row r="50" spans="1:10" s="7" customFormat="1" hidden="1" x14ac:dyDescent="0.35">
      <c r="A50" t="s">
        <v>118</v>
      </c>
      <c r="B50" s="177"/>
      <c r="G50" s="6"/>
      <c r="H50" s="5"/>
      <c r="I50" s="5"/>
      <c r="J50" s="6"/>
    </row>
    <row r="51" spans="1:10" s="7" customFormat="1" hidden="1" x14ac:dyDescent="0.35">
      <c r="A51" t="s">
        <v>118</v>
      </c>
      <c r="B51" s="177"/>
      <c r="G51" s="6"/>
      <c r="H51" s="5"/>
      <c r="I51" s="5"/>
      <c r="J51" s="6"/>
    </row>
    <row r="52" spans="1:10" s="7" customFormat="1" hidden="1" x14ac:dyDescent="0.35">
      <c r="A52" t="s">
        <v>118</v>
      </c>
      <c r="B52" s="177"/>
      <c r="G52" s="6"/>
      <c r="H52" s="5"/>
      <c r="I52" s="5"/>
      <c r="J52" s="6"/>
    </row>
    <row r="53" spans="1:10" s="7" customFormat="1" hidden="1" x14ac:dyDescent="0.35">
      <c r="A53" t="s">
        <v>118</v>
      </c>
      <c r="B53" s="177"/>
      <c r="G53" s="6"/>
      <c r="H53" s="5"/>
      <c r="I53" s="5"/>
      <c r="J53" s="6"/>
    </row>
    <row r="54" spans="1:10" s="7" customFormat="1" hidden="1" x14ac:dyDescent="0.35">
      <c r="A54" t="s">
        <v>118</v>
      </c>
      <c r="B54" s="177"/>
      <c r="G54" s="6"/>
      <c r="H54" s="5"/>
      <c r="I54" s="5"/>
      <c r="J54" s="6"/>
    </row>
    <row r="55" spans="1:10" s="7" customFormat="1" hidden="1" x14ac:dyDescent="0.35">
      <c r="A55" t="s">
        <v>118</v>
      </c>
      <c r="B55" s="177"/>
      <c r="G55" s="6"/>
      <c r="H55" s="5"/>
      <c r="I55" s="5"/>
      <c r="J55" s="6"/>
    </row>
    <row r="56" spans="1:10" s="7" customFormat="1" hidden="1" x14ac:dyDescent="0.35">
      <c r="A56" t="s">
        <v>118</v>
      </c>
      <c r="B56" s="177"/>
      <c r="G56" s="6"/>
      <c r="H56" s="5"/>
      <c r="I56" s="5"/>
      <c r="J56" s="6"/>
    </row>
    <row r="57" spans="1:10" s="7" customFormat="1" hidden="1" x14ac:dyDescent="0.35">
      <c r="A57" t="s">
        <v>118</v>
      </c>
      <c r="B57" s="177"/>
      <c r="G57" s="6"/>
      <c r="H57" s="5"/>
      <c r="I57" s="5"/>
      <c r="J57" s="6"/>
    </row>
    <row r="58" spans="1:10" s="7" customFormat="1" hidden="1" x14ac:dyDescent="0.35">
      <c r="A58" t="s">
        <v>118</v>
      </c>
      <c r="B58" s="177"/>
      <c r="G58" s="6"/>
      <c r="H58" s="5"/>
      <c r="I58" s="5"/>
      <c r="J58" s="6"/>
    </row>
    <row r="59" spans="1:10" s="7" customFormat="1" hidden="1" x14ac:dyDescent="0.35">
      <c r="A59" t="s">
        <v>118</v>
      </c>
      <c r="B59" s="177"/>
      <c r="G59" s="6"/>
      <c r="H59" s="5"/>
      <c r="I59" s="5"/>
      <c r="J59" s="6"/>
    </row>
    <row r="60" spans="1:10" s="7" customFormat="1" hidden="1" x14ac:dyDescent="0.35">
      <c r="A60" t="s">
        <v>118</v>
      </c>
      <c r="B60" s="177"/>
      <c r="G60" s="6"/>
      <c r="H60" s="5"/>
      <c r="I60" s="5"/>
      <c r="J60" s="6"/>
    </row>
    <row r="61" spans="1:10" s="7" customFormat="1" hidden="1" x14ac:dyDescent="0.35">
      <c r="A61" t="s">
        <v>118</v>
      </c>
      <c r="B61" s="177"/>
      <c r="G61" s="6"/>
      <c r="H61" s="5"/>
      <c r="I61" s="5"/>
      <c r="J61" s="6"/>
    </row>
    <row r="62" spans="1:10" s="7" customFormat="1" hidden="1" x14ac:dyDescent="0.35">
      <c r="A62" t="s">
        <v>118</v>
      </c>
      <c r="B62" s="177"/>
      <c r="G62" s="6"/>
      <c r="H62" s="5"/>
      <c r="I62" s="5"/>
      <c r="J62" s="6"/>
    </row>
    <row r="63" spans="1:10" s="7" customFormat="1" hidden="1" x14ac:dyDescent="0.35">
      <c r="A63" t="s">
        <v>118</v>
      </c>
      <c r="B63" s="177"/>
      <c r="G63" s="6"/>
      <c r="H63" s="5"/>
      <c r="I63" s="5"/>
      <c r="J63" s="6"/>
    </row>
    <row r="64" spans="1:10" s="7" customFormat="1" hidden="1" x14ac:dyDescent="0.35">
      <c r="A64" t="s">
        <v>118</v>
      </c>
      <c r="B64" s="177"/>
      <c r="G64" s="6"/>
      <c r="H64" s="5"/>
      <c r="I64" s="5"/>
      <c r="J64" s="6"/>
    </row>
    <row r="65" spans="1:10" s="7" customFormat="1" hidden="1" x14ac:dyDescent="0.35">
      <c r="A65" t="s">
        <v>117</v>
      </c>
      <c r="B65" s="177"/>
      <c r="G65" s="6"/>
      <c r="H65" s="5"/>
      <c r="I65" s="5"/>
      <c r="J65" s="6"/>
    </row>
    <row r="66" spans="1:10" s="7" customFormat="1" hidden="1" x14ac:dyDescent="0.35">
      <c r="A66" t="s">
        <v>117</v>
      </c>
      <c r="B66" s="177"/>
      <c r="G66" s="6"/>
      <c r="H66" s="5"/>
      <c r="I66" s="5"/>
      <c r="J66" s="6"/>
    </row>
    <row r="67" spans="1:10" s="7" customFormat="1" hidden="1" x14ac:dyDescent="0.35">
      <c r="A67" t="s">
        <v>117</v>
      </c>
      <c r="B67" s="177"/>
      <c r="G67" s="6"/>
      <c r="H67" s="5"/>
      <c r="I67" s="5"/>
      <c r="J67" s="6"/>
    </row>
    <row r="68" spans="1:10" s="7" customFormat="1" hidden="1" x14ac:dyDescent="0.35">
      <c r="A68" t="s">
        <v>117</v>
      </c>
      <c r="B68" s="177"/>
      <c r="G68" s="6"/>
      <c r="H68" s="5"/>
      <c r="I68" s="5"/>
      <c r="J68" s="6"/>
    </row>
    <row r="69" spans="1:10" s="7" customFormat="1" hidden="1" x14ac:dyDescent="0.35">
      <c r="A69" t="s">
        <v>117</v>
      </c>
      <c r="B69" s="177"/>
      <c r="G69" s="6"/>
      <c r="H69" s="5"/>
      <c r="I69" s="5"/>
      <c r="J69" s="6"/>
    </row>
    <row r="70" spans="1:10" s="7" customFormat="1" hidden="1" x14ac:dyDescent="0.35">
      <c r="A70" t="s">
        <v>117</v>
      </c>
      <c r="B70" s="177"/>
      <c r="G70" s="6"/>
      <c r="H70" s="5"/>
      <c r="I70" s="5"/>
      <c r="J70" s="6"/>
    </row>
    <row r="71" spans="1:10" s="7" customFormat="1" hidden="1" x14ac:dyDescent="0.35">
      <c r="A71" t="s">
        <v>117</v>
      </c>
      <c r="B71" s="177"/>
      <c r="G71" s="6"/>
      <c r="H71" s="5"/>
      <c r="I71" s="5"/>
      <c r="J71" s="6"/>
    </row>
    <row r="72" spans="1:10" s="7" customFormat="1" hidden="1" x14ac:dyDescent="0.35">
      <c r="A72" t="s">
        <v>117</v>
      </c>
      <c r="B72" s="177"/>
      <c r="G72" s="6"/>
      <c r="H72" s="5"/>
      <c r="I72" s="5"/>
      <c r="J72" s="6"/>
    </row>
    <row r="73" spans="1:10" s="7" customFormat="1" hidden="1" x14ac:dyDescent="0.35">
      <c r="A73" t="s">
        <v>117</v>
      </c>
      <c r="B73" s="177"/>
      <c r="G73" s="6"/>
      <c r="H73" s="5"/>
      <c r="I73" s="5"/>
      <c r="J73" s="6"/>
    </row>
    <row r="74" spans="1:10" s="7" customFormat="1" hidden="1" x14ac:dyDescent="0.35">
      <c r="A74" t="s">
        <v>117</v>
      </c>
      <c r="B74" s="177"/>
      <c r="G74" s="6"/>
      <c r="H74" s="5"/>
      <c r="I74" s="5"/>
      <c r="J74" s="6"/>
    </row>
    <row r="75" spans="1:10" s="7" customFormat="1" hidden="1" x14ac:dyDescent="0.35">
      <c r="A75" t="s">
        <v>117</v>
      </c>
      <c r="B75" s="177"/>
      <c r="G75" s="6"/>
      <c r="H75" s="5"/>
      <c r="I75" s="5"/>
      <c r="J75" s="6"/>
    </row>
    <row r="76" spans="1:10" s="7" customFormat="1" hidden="1" x14ac:dyDescent="0.35">
      <c r="A76" t="s">
        <v>117</v>
      </c>
      <c r="B76" s="177"/>
      <c r="G76" s="6"/>
      <c r="H76" s="5"/>
      <c r="I76" s="5"/>
      <c r="J76" s="6"/>
    </row>
    <row r="77" spans="1:10" s="7" customFormat="1" hidden="1" x14ac:dyDescent="0.35">
      <c r="A77" t="s">
        <v>117</v>
      </c>
      <c r="B77" s="177"/>
      <c r="G77" s="6"/>
      <c r="H77" s="5"/>
      <c r="I77" s="5"/>
      <c r="J77" s="6"/>
    </row>
    <row r="78" spans="1:10" s="7" customFormat="1" hidden="1" x14ac:dyDescent="0.35">
      <c r="A78" t="s">
        <v>117</v>
      </c>
      <c r="B78" s="177"/>
      <c r="G78" s="6"/>
      <c r="H78" s="5"/>
      <c r="I78" s="5"/>
      <c r="J78" s="6"/>
    </row>
    <row r="79" spans="1:10" s="7" customFormat="1" hidden="1" x14ac:dyDescent="0.35">
      <c r="A79" t="s">
        <v>117</v>
      </c>
      <c r="B79" s="177"/>
      <c r="G79" s="6"/>
      <c r="H79" s="5"/>
      <c r="I79" s="5"/>
      <c r="J79" s="6"/>
    </row>
    <row r="80" spans="1:10" s="7" customFormat="1" hidden="1" x14ac:dyDescent="0.35">
      <c r="A80" t="s">
        <v>117</v>
      </c>
      <c r="B80" s="177"/>
      <c r="G80" s="6"/>
      <c r="H80" s="5"/>
      <c r="I80" s="5"/>
      <c r="J80" s="6"/>
    </row>
    <row r="81" spans="1:10" s="7" customFormat="1" hidden="1" x14ac:dyDescent="0.35">
      <c r="A81" t="s">
        <v>117</v>
      </c>
      <c r="B81" s="177"/>
      <c r="G81" s="6"/>
      <c r="H81" s="5"/>
      <c r="I81" s="5"/>
      <c r="J81" s="6"/>
    </row>
    <row r="82" spans="1:10" s="7" customFormat="1" hidden="1" x14ac:dyDescent="0.35">
      <c r="A82" t="s">
        <v>117</v>
      </c>
      <c r="B82" s="177"/>
      <c r="G82" s="6"/>
      <c r="H82" s="5"/>
      <c r="I82" s="5"/>
      <c r="J82" s="6"/>
    </row>
    <row r="83" spans="1:10" s="7" customFormat="1" hidden="1" x14ac:dyDescent="0.35">
      <c r="A83" t="s">
        <v>117</v>
      </c>
      <c r="B83" s="177"/>
      <c r="G83" s="6"/>
      <c r="H83" s="5"/>
      <c r="I83" s="5"/>
      <c r="J83" s="6"/>
    </row>
    <row r="84" spans="1:10" s="7" customFormat="1" hidden="1" x14ac:dyDescent="0.35">
      <c r="A84" t="s">
        <v>117</v>
      </c>
      <c r="B84" s="177"/>
      <c r="G84" s="6"/>
      <c r="H84" s="5"/>
      <c r="I84" s="5"/>
      <c r="J84" s="6"/>
    </row>
    <row r="85" spans="1:10" s="7" customFormat="1" hidden="1" x14ac:dyDescent="0.35">
      <c r="A85" t="s">
        <v>117</v>
      </c>
      <c r="B85" s="177"/>
      <c r="G85" s="6"/>
      <c r="H85" s="5"/>
      <c r="I85" s="5"/>
      <c r="J85" s="6"/>
    </row>
    <row r="86" spans="1:10" s="7" customFormat="1" hidden="1" x14ac:dyDescent="0.35">
      <c r="A86" t="s">
        <v>117</v>
      </c>
      <c r="B86" s="177"/>
      <c r="G86" s="6"/>
      <c r="H86" s="5"/>
      <c r="I86" s="5"/>
      <c r="J86" s="6"/>
    </row>
    <row r="87" spans="1:10" s="7" customFormat="1" hidden="1" x14ac:dyDescent="0.35">
      <c r="A87" t="s">
        <v>117</v>
      </c>
      <c r="B87" s="177"/>
      <c r="G87" s="6"/>
      <c r="H87" s="5"/>
      <c r="I87" s="5"/>
      <c r="J87" s="6"/>
    </row>
    <row r="88" spans="1:10" s="7" customFormat="1" hidden="1" x14ac:dyDescent="0.35">
      <c r="A88" t="s">
        <v>117</v>
      </c>
      <c r="B88" s="177"/>
      <c r="G88" s="6"/>
      <c r="H88" s="5"/>
      <c r="I88" s="5"/>
      <c r="J88" s="6"/>
    </row>
    <row r="89" spans="1:10" s="7" customFormat="1" hidden="1" x14ac:dyDescent="0.35">
      <c r="A89" t="s">
        <v>117</v>
      </c>
      <c r="B89" s="177"/>
      <c r="G89" s="6"/>
      <c r="H89" s="5"/>
      <c r="I89" s="5"/>
      <c r="J89" s="6"/>
    </row>
    <row r="90" spans="1:10" s="7" customFormat="1" hidden="1" x14ac:dyDescent="0.35">
      <c r="A90" t="s">
        <v>117</v>
      </c>
      <c r="B90" s="177"/>
      <c r="G90" s="6"/>
      <c r="H90" s="5"/>
      <c r="I90" s="5"/>
      <c r="J90" s="6"/>
    </row>
    <row r="91" spans="1:10" s="7" customFormat="1" hidden="1" x14ac:dyDescent="0.35">
      <c r="A91" t="s">
        <v>117</v>
      </c>
      <c r="B91" s="177"/>
      <c r="G91" s="6"/>
      <c r="H91" s="5"/>
      <c r="I91" s="5"/>
      <c r="J91" s="6"/>
    </row>
    <row r="92" spans="1:10" s="7" customFormat="1" hidden="1" x14ac:dyDescent="0.35">
      <c r="A92" t="s">
        <v>117</v>
      </c>
      <c r="B92" s="177"/>
      <c r="G92" s="6"/>
      <c r="H92" s="5"/>
      <c r="I92" s="5"/>
      <c r="J92" s="6"/>
    </row>
    <row r="93" spans="1:10" s="7" customFormat="1" hidden="1" x14ac:dyDescent="0.35">
      <c r="A93" t="s">
        <v>117</v>
      </c>
      <c r="B93" s="177"/>
      <c r="G93" s="6"/>
      <c r="H93" s="5"/>
      <c r="I93" s="5"/>
      <c r="J93" s="6"/>
    </row>
    <row r="94" spans="1:10" s="7" customFormat="1" hidden="1" x14ac:dyDescent="0.35">
      <c r="A94" t="s">
        <v>117</v>
      </c>
      <c r="B94" s="177"/>
      <c r="G94" s="6"/>
      <c r="H94" s="5"/>
      <c r="I94" s="5"/>
      <c r="J94" s="6"/>
    </row>
    <row r="95" spans="1:10" s="7" customFormat="1" hidden="1" x14ac:dyDescent="0.35">
      <c r="A95" t="s">
        <v>117</v>
      </c>
      <c r="B95" s="177"/>
      <c r="G95" s="6"/>
      <c r="H95" s="5"/>
      <c r="I95" s="5"/>
      <c r="J95" s="6"/>
    </row>
    <row r="96" spans="1:10" s="7" customFormat="1" hidden="1" x14ac:dyDescent="0.35">
      <c r="A96" t="s">
        <v>117</v>
      </c>
      <c r="B96" s="177"/>
      <c r="G96" s="6"/>
      <c r="H96" s="5"/>
      <c r="I96" s="5"/>
      <c r="J96" s="6"/>
    </row>
    <row r="97" spans="1:10" s="7" customFormat="1" hidden="1" x14ac:dyDescent="0.35">
      <c r="A97" t="s">
        <v>117</v>
      </c>
      <c r="B97" s="177"/>
      <c r="G97" s="6"/>
      <c r="H97" s="5"/>
      <c r="I97" s="5"/>
      <c r="J97" s="6"/>
    </row>
    <row r="98" spans="1:10" s="7" customFormat="1" hidden="1" x14ac:dyDescent="0.35">
      <c r="A98" t="s">
        <v>117</v>
      </c>
      <c r="B98" s="177"/>
      <c r="G98" s="6"/>
      <c r="H98" s="5"/>
      <c r="I98" s="5"/>
      <c r="J98" s="6"/>
    </row>
    <row r="99" spans="1:10" s="7" customFormat="1" hidden="1" x14ac:dyDescent="0.35">
      <c r="A99" t="s">
        <v>117</v>
      </c>
      <c r="B99" s="177"/>
      <c r="G99" s="6"/>
      <c r="H99" s="5"/>
      <c r="I99" s="5"/>
      <c r="J99" s="6"/>
    </row>
    <row r="100" spans="1:10" s="7" customFormat="1" hidden="1" x14ac:dyDescent="0.35">
      <c r="A100" t="s">
        <v>117</v>
      </c>
      <c r="B100" s="177"/>
      <c r="G100" s="6"/>
      <c r="H100" s="5"/>
      <c r="I100" s="5"/>
      <c r="J100" s="6"/>
    </row>
    <row r="101" spans="1:10" s="7" customFormat="1" hidden="1" x14ac:dyDescent="0.35">
      <c r="A101" t="s">
        <v>117</v>
      </c>
      <c r="B101" s="177"/>
      <c r="G101" s="6"/>
      <c r="H101" s="5"/>
      <c r="I101" s="5"/>
      <c r="J101" s="6"/>
    </row>
    <row r="102" spans="1:10" s="7" customFormat="1" hidden="1" x14ac:dyDescent="0.35">
      <c r="A102" t="s">
        <v>117</v>
      </c>
      <c r="B102" s="177"/>
      <c r="G102" s="6"/>
      <c r="H102" s="5"/>
      <c r="I102" s="5"/>
      <c r="J102" s="6"/>
    </row>
    <row r="103" spans="1:10" s="7" customFormat="1" hidden="1" x14ac:dyDescent="0.35">
      <c r="A103" t="s">
        <v>117</v>
      </c>
      <c r="B103" s="177"/>
      <c r="G103" s="6"/>
      <c r="H103" s="5"/>
      <c r="I103" s="5"/>
      <c r="J103" s="6"/>
    </row>
    <row r="104" spans="1:10" s="7" customFormat="1" hidden="1" x14ac:dyDescent="0.35">
      <c r="A104" t="s">
        <v>117</v>
      </c>
      <c r="B104" s="177"/>
      <c r="G104" s="6"/>
      <c r="H104" s="5"/>
      <c r="I104" s="5"/>
      <c r="J104" s="6"/>
    </row>
    <row r="105" spans="1:10" s="7" customFormat="1" hidden="1" x14ac:dyDescent="0.35">
      <c r="A105" t="s">
        <v>117</v>
      </c>
      <c r="B105" s="177"/>
      <c r="G105" s="6"/>
      <c r="H105" s="5"/>
      <c r="I105" s="5"/>
      <c r="J105" s="6"/>
    </row>
    <row r="106" spans="1:10" s="7" customFormat="1" hidden="1" x14ac:dyDescent="0.35">
      <c r="A106" t="s">
        <v>117</v>
      </c>
      <c r="B106" s="177"/>
      <c r="G106" s="6"/>
      <c r="H106" s="5"/>
      <c r="I106" s="5"/>
      <c r="J106" s="6"/>
    </row>
    <row r="107" spans="1:10" s="7" customFormat="1" hidden="1" x14ac:dyDescent="0.35">
      <c r="A107" t="s">
        <v>117</v>
      </c>
      <c r="B107" s="177"/>
      <c r="G107" s="6"/>
      <c r="H107" s="5"/>
      <c r="I107" s="5"/>
      <c r="J107" s="6"/>
    </row>
    <row r="108" spans="1:10" s="7" customFormat="1" hidden="1" x14ac:dyDescent="0.35">
      <c r="A108" t="s">
        <v>117</v>
      </c>
      <c r="B108" s="177"/>
      <c r="G108" s="6"/>
      <c r="H108" s="5"/>
      <c r="I108" s="5"/>
      <c r="J108" s="6"/>
    </row>
    <row r="109" spans="1:10" s="7" customFormat="1" hidden="1" x14ac:dyDescent="0.35">
      <c r="A109" t="s">
        <v>117</v>
      </c>
      <c r="B109" s="177"/>
      <c r="G109" s="6"/>
      <c r="H109" s="5"/>
      <c r="I109" s="5"/>
      <c r="J109" s="6"/>
    </row>
    <row r="110" spans="1:10" s="7" customFormat="1" hidden="1" x14ac:dyDescent="0.35">
      <c r="A110" t="s">
        <v>117</v>
      </c>
      <c r="B110" s="177"/>
      <c r="G110" s="6"/>
      <c r="H110" s="5"/>
      <c r="I110" s="5"/>
      <c r="J110" s="6"/>
    </row>
    <row r="111" spans="1:10" s="7" customFormat="1" hidden="1" x14ac:dyDescent="0.35">
      <c r="A111" t="s">
        <v>117</v>
      </c>
      <c r="B111" s="177"/>
      <c r="G111" s="6"/>
      <c r="H111" s="5"/>
      <c r="I111" s="5"/>
      <c r="J111" s="6"/>
    </row>
    <row r="112" spans="1:10" s="7" customFormat="1" hidden="1" x14ac:dyDescent="0.35">
      <c r="A112" t="s">
        <v>117</v>
      </c>
      <c r="B112" s="177"/>
      <c r="G112" s="6"/>
      <c r="H112" s="5"/>
      <c r="I112" s="5"/>
      <c r="J112" s="6"/>
    </row>
    <row r="113" spans="1:10" s="7" customFormat="1" hidden="1" x14ac:dyDescent="0.35">
      <c r="A113" t="s">
        <v>117</v>
      </c>
      <c r="B113" s="177"/>
      <c r="G113" s="6"/>
      <c r="H113" s="5"/>
      <c r="I113" s="5"/>
      <c r="J113" s="6"/>
    </row>
    <row r="114" spans="1:10" s="7" customFormat="1" hidden="1" x14ac:dyDescent="0.35">
      <c r="A114" t="s">
        <v>117</v>
      </c>
      <c r="B114" s="177"/>
      <c r="G114" s="6"/>
      <c r="H114" s="5"/>
      <c r="I114" s="5"/>
      <c r="J114" s="6"/>
    </row>
    <row r="115" spans="1:10" s="7" customFormat="1" hidden="1" x14ac:dyDescent="0.35">
      <c r="A115" t="s">
        <v>117</v>
      </c>
      <c r="B115" s="177"/>
      <c r="G115" s="6"/>
      <c r="H115" s="5"/>
      <c r="I115" s="5"/>
      <c r="J115" s="6"/>
    </row>
    <row r="116" spans="1:10" s="7" customFormat="1" hidden="1" x14ac:dyDescent="0.35">
      <c r="A116" t="s">
        <v>117</v>
      </c>
      <c r="B116" s="177"/>
      <c r="G116" s="6"/>
      <c r="H116" s="5"/>
      <c r="I116" s="5"/>
      <c r="J116" s="6"/>
    </row>
    <row r="117" spans="1:10" s="7" customFormat="1" hidden="1" x14ac:dyDescent="0.35">
      <c r="A117" t="s">
        <v>117</v>
      </c>
      <c r="B117" s="177"/>
      <c r="G117" s="6"/>
      <c r="H117" s="5"/>
      <c r="I117" s="5"/>
      <c r="J117" s="6"/>
    </row>
    <row r="118" spans="1:10" s="7" customFormat="1" hidden="1" x14ac:dyDescent="0.35">
      <c r="A118" t="s">
        <v>117</v>
      </c>
      <c r="B118" s="177"/>
      <c r="G118" s="6"/>
      <c r="H118" s="5"/>
      <c r="I118" s="5"/>
      <c r="J118" s="6"/>
    </row>
    <row r="119" spans="1:10" s="7" customFormat="1" hidden="1" x14ac:dyDescent="0.35">
      <c r="A119" t="s">
        <v>117</v>
      </c>
      <c r="B119" s="177"/>
      <c r="G119" s="6"/>
      <c r="H119" s="5"/>
      <c r="I119" s="5"/>
      <c r="J119" s="6"/>
    </row>
    <row r="120" spans="1:10" s="7" customFormat="1" hidden="1" x14ac:dyDescent="0.35">
      <c r="A120" t="s">
        <v>117</v>
      </c>
      <c r="B120" s="177"/>
      <c r="G120" s="6"/>
      <c r="H120" s="5"/>
      <c r="I120" s="5"/>
      <c r="J120" s="6"/>
    </row>
    <row r="121" spans="1:10" s="7" customFormat="1" hidden="1" x14ac:dyDescent="0.35">
      <c r="A121" t="s">
        <v>117</v>
      </c>
      <c r="B121" s="177"/>
      <c r="G121" s="6"/>
      <c r="H121" s="5"/>
      <c r="I121" s="5"/>
      <c r="J121" s="6"/>
    </row>
    <row r="122" spans="1:10" s="7" customFormat="1" hidden="1" x14ac:dyDescent="0.35">
      <c r="A122" t="s">
        <v>119</v>
      </c>
      <c r="B122" s="177"/>
      <c r="G122" s="6"/>
      <c r="H122" s="5"/>
      <c r="I122" s="5"/>
      <c r="J122" s="6"/>
    </row>
    <row r="123" spans="1:10" s="7" customFormat="1" hidden="1" x14ac:dyDescent="0.35">
      <c r="A123" t="s">
        <v>119</v>
      </c>
      <c r="B123" s="177"/>
      <c r="G123" s="6"/>
      <c r="H123" s="5"/>
      <c r="I123" s="5"/>
      <c r="J123" s="6"/>
    </row>
    <row r="124" spans="1:10" s="7" customFormat="1" hidden="1" x14ac:dyDescent="0.35">
      <c r="A124" t="s">
        <v>119</v>
      </c>
      <c r="B124" s="177"/>
      <c r="G124" s="6"/>
      <c r="H124" s="5"/>
      <c r="I124" s="5"/>
      <c r="J124" s="6"/>
    </row>
    <row r="125" spans="1:10" s="7" customFormat="1" hidden="1" x14ac:dyDescent="0.35">
      <c r="A125" t="s">
        <v>119</v>
      </c>
      <c r="B125" s="177"/>
      <c r="G125" s="6"/>
      <c r="H125" s="5"/>
      <c r="I125" s="5"/>
      <c r="J125" s="6"/>
    </row>
    <row r="126" spans="1:10" s="7" customFormat="1" hidden="1" x14ac:dyDescent="0.35">
      <c r="A126" t="s">
        <v>119</v>
      </c>
      <c r="B126" s="177"/>
      <c r="G126" s="6"/>
      <c r="H126" s="5"/>
      <c r="I126" s="5"/>
      <c r="J126" s="6"/>
    </row>
    <row r="127" spans="1:10" s="7" customFormat="1" hidden="1" x14ac:dyDescent="0.35">
      <c r="A127" t="s">
        <v>119</v>
      </c>
      <c r="B127" s="177"/>
      <c r="G127" s="6"/>
      <c r="H127" s="5"/>
      <c r="I127" s="5"/>
      <c r="J127" s="6"/>
    </row>
    <row r="128" spans="1:10" s="7" customFormat="1" hidden="1" x14ac:dyDescent="0.35">
      <c r="A128" t="s">
        <v>119</v>
      </c>
      <c r="B128" s="177"/>
      <c r="G128" s="6"/>
      <c r="H128" s="5"/>
      <c r="I128" s="5"/>
      <c r="J128" s="6"/>
    </row>
    <row r="129" spans="1:10" s="7" customFormat="1" hidden="1" x14ac:dyDescent="0.35">
      <c r="A129" t="s">
        <v>119</v>
      </c>
      <c r="B129" s="177"/>
      <c r="G129" s="6"/>
      <c r="H129" s="5"/>
      <c r="I129" s="5"/>
      <c r="J129" s="6"/>
    </row>
    <row r="130" spans="1:10" s="7" customFormat="1" hidden="1" x14ac:dyDescent="0.35">
      <c r="A130" t="s">
        <v>119</v>
      </c>
      <c r="B130" s="177"/>
      <c r="G130" s="6"/>
      <c r="H130" s="5"/>
      <c r="I130" s="5"/>
      <c r="J130" s="6"/>
    </row>
    <row r="131" spans="1:10" s="7" customFormat="1" hidden="1" x14ac:dyDescent="0.35">
      <c r="A131" t="s">
        <v>119</v>
      </c>
      <c r="B131" s="177"/>
      <c r="G131" s="6"/>
      <c r="H131" s="5"/>
      <c r="I131" s="5"/>
      <c r="J131" s="6"/>
    </row>
    <row r="132" spans="1:10" s="7" customFormat="1" hidden="1" x14ac:dyDescent="0.35">
      <c r="A132" t="s">
        <v>119</v>
      </c>
      <c r="B132" s="177"/>
      <c r="G132" s="6"/>
      <c r="H132" s="5"/>
      <c r="I132" s="5"/>
      <c r="J132" s="6"/>
    </row>
    <row r="133" spans="1:10" s="7" customFormat="1" hidden="1" x14ac:dyDescent="0.35">
      <c r="A133" t="s">
        <v>119</v>
      </c>
      <c r="B133" s="177"/>
      <c r="G133" s="6"/>
      <c r="H133" s="5"/>
      <c r="I133" s="5"/>
      <c r="J133" s="6"/>
    </row>
    <row r="134" spans="1:10" s="7" customFormat="1" hidden="1" x14ac:dyDescent="0.35">
      <c r="A134" t="s">
        <v>119</v>
      </c>
      <c r="B134" s="177"/>
      <c r="G134" s="6"/>
      <c r="H134" s="5"/>
      <c r="I134" s="5"/>
      <c r="J134" s="6"/>
    </row>
    <row r="135" spans="1:10" s="7" customFormat="1" hidden="1" x14ac:dyDescent="0.35">
      <c r="A135" t="s">
        <v>119</v>
      </c>
      <c r="B135" s="177"/>
      <c r="G135" s="6"/>
      <c r="H135" s="5"/>
      <c r="I135" s="5"/>
      <c r="J135" s="6"/>
    </row>
    <row r="136" spans="1:10" s="7" customFormat="1" hidden="1" x14ac:dyDescent="0.35">
      <c r="A136" t="s">
        <v>119</v>
      </c>
      <c r="B136" s="177"/>
      <c r="G136" s="6"/>
      <c r="H136" s="5"/>
      <c r="I136" s="5"/>
      <c r="J136" s="6"/>
    </row>
    <row r="137" spans="1:10" s="7" customFormat="1" hidden="1" x14ac:dyDescent="0.35">
      <c r="A137" t="s">
        <v>119</v>
      </c>
      <c r="B137" s="177"/>
      <c r="G137" s="6"/>
      <c r="H137" s="5"/>
      <c r="I137" s="5"/>
      <c r="J137" s="6"/>
    </row>
    <row r="138" spans="1:10" s="7" customFormat="1" hidden="1" x14ac:dyDescent="0.35">
      <c r="A138" t="s">
        <v>119</v>
      </c>
      <c r="B138" s="177"/>
      <c r="G138" s="6"/>
      <c r="H138" s="5"/>
      <c r="I138" s="5"/>
      <c r="J138" s="6"/>
    </row>
    <row r="139" spans="1:10" s="7" customFormat="1" hidden="1" x14ac:dyDescent="0.35">
      <c r="A139" t="s">
        <v>119</v>
      </c>
      <c r="B139" s="177"/>
      <c r="G139" s="6"/>
      <c r="H139" s="5"/>
      <c r="I139" s="5"/>
      <c r="J139" s="6"/>
    </row>
    <row r="140" spans="1:10" s="7" customFormat="1" hidden="1" x14ac:dyDescent="0.35">
      <c r="A140" t="s">
        <v>119</v>
      </c>
      <c r="B140" s="177"/>
      <c r="G140" s="6"/>
      <c r="H140" s="5"/>
      <c r="I140" s="5"/>
      <c r="J140" s="6"/>
    </row>
    <row r="141" spans="1:10" s="7" customFormat="1" hidden="1" x14ac:dyDescent="0.35">
      <c r="A141" t="s">
        <v>119</v>
      </c>
      <c r="B141" s="177"/>
      <c r="G141" s="6"/>
      <c r="H141" s="5"/>
      <c r="I141" s="5"/>
      <c r="J141" s="6"/>
    </row>
    <row r="142" spans="1:10" s="7" customFormat="1" hidden="1" x14ac:dyDescent="0.35">
      <c r="A142" t="s">
        <v>119</v>
      </c>
      <c r="B142" s="177"/>
      <c r="G142" s="6"/>
      <c r="H142" s="5"/>
      <c r="I142" s="5"/>
      <c r="J142" s="6"/>
    </row>
    <row r="143" spans="1:10" s="7" customFormat="1" hidden="1" x14ac:dyDescent="0.35">
      <c r="A143" t="s">
        <v>119</v>
      </c>
      <c r="B143" s="177"/>
      <c r="G143" s="6"/>
      <c r="H143" s="5"/>
      <c r="I143" s="5"/>
      <c r="J143" s="6"/>
    </row>
    <row r="144" spans="1:10" s="7" customFormat="1" hidden="1" x14ac:dyDescent="0.35">
      <c r="A144" t="s">
        <v>119</v>
      </c>
      <c r="B144" s="177"/>
      <c r="G144" s="6"/>
      <c r="H144" s="5"/>
      <c r="I144" s="5"/>
      <c r="J144" s="6"/>
    </row>
    <row r="145" spans="1:10" s="7" customFormat="1" hidden="1" x14ac:dyDescent="0.35">
      <c r="A145" t="s">
        <v>119</v>
      </c>
      <c r="B145" s="177"/>
      <c r="G145" s="6"/>
      <c r="H145" s="5"/>
      <c r="I145" s="5"/>
      <c r="J145" s="6"/>
    </row>
    <row r="146" spans="1:10" s="7" customFormat="1" hidden="1" x14ac:dyDescent="0.35">
      <c r="A146" t="s">
        <v>119</v>
      </c>
      <c r="B146" s="177"/>
      <c r="G146" s="6"/>
      <c r="H146" s="5"/>
      <c r="I146" s="5"/>
      <c r="J146" s="6"/>
    </row>
    <row r="147" spans="1:10" s="7" customFormat="1" hidden="1" x14ac:dyDescent="0.35">
      <c r="A147" t="s">
        <v>119</v>
      </c>
      <c r="B147" s="177"/>
      <c r="G147" s="6"/>
      <c r="H147" s="5"/>
      <c r="I147" s="5"/>
      <c r="J147" s="6"/>
    </row>
    <row r="148" spans="1:10" s="7" customFormat="1" hidden="1" x14ac:dyDescent="0.35">
      <c r="A148" t="s">
        <v>119</v>
      </c>
      <c r="B148" s="177"/>
      <c r="G148" s="6"/>
      <c r="H148" s="5"/>
      <c r="I148" s="5"/>
      <c r="J148" s="6"/>
    </row>
    <row r="149" spans="1:10" s="7" customFormat="1" hidden="1" x14ac:dyDescent="0.35">
      <c r="A149" t="s">
        <v>119</v>
      </c>
      <c r="B149" s="177"/>
      <c r="G149" s="6"/>
      <c r="H149" s="5"/>
      <c r="I149" s="5"/>
      <c r="J149" s="6"/>
    </row>
    <row r="150" spans="1:10" s="7" customFormat="1" hidden="1" x14ac:dyDescent="0.35">
      <c r="A150" t="s">
        <v>119</v>
      </c>
      <c r="B150" s="177"/>
      <c r="G150" s="6"/>
      <c r="H150" s="5"/>
      <c r="I150" s="5"/>
      <c r="J150" s="6"/>
    </row>
    <row r="151" spans="1:10" s="7" customFormat="1" hidden="1" x14ac:dyDescent="0.35">
      <c r="A151" t="s">
        <v>119</v>
      </c>
      <c r="B151" s="177"/>
      <c r="G151" s="6"/>
      <c r="H151" s="5"/>
      <c r="I151" s="5"/>
      <c r="J151" s="6"/>
    </row>
    <row r="152" spans="1:10" s="7" customFormat="1" hidden="1" x14ac:dyDescent="0.35">
      <c r="A152" t="s">
        <v>119</v>
      </c>
      <c r="B152" s="177"/>
      <c r="G152" s="6"/>
      <c r="H152" s="5"/>
      <c r="I152" s="5"/>
      <c r="J152" s="6"/>
    </row>
    <row r="153" spans="1:10" s="7" customFormat="1" hidden="1" x14ac:dyDescent="0.35">
      <c r="A153" t="s">
        <v>119</v>
      </c>
      <c r="B153" s="177"/>
      <c r="G153" s="6"/>
      <c r="H153" s="5"/>
      <c r="I153" s="5"/>
      <c r="J153" s="6"/>
    </row>
    <row r="154" spans="1:10" s="7" customFormat="1" hidden="1" x14ac:dyDescent="0.35">
      <c r="A154" t="s">
        <v>119</v>
      </c>
      <c r="B154" s="177"/>
      <c r="G154" s="6"/>
      <c r="H154" s="5"/>
      <c r="I154" s="5"/>
      <c r="J154" s="6"/>
    </row>
    <row r="155" spans="1:10" s="7" customFormat="1" hidden="1" x14ac:dyDescent="0.35">
      <c r="A155" t="s">
        <v>119</v>
      </c>
      <c r="B155" s="177"/>
      <c r="G155" s="6"/>
      <c r="H155" s="5"/>
      <c r="I155" s="5"/>
      <c r="J155" s="6"/>
    </row>
    <row r="156" spans="1:10" s="7" customFormat="1" hidden="1" x14ac:dyDescent="0.35">
      <c r="A156" t="s">
        <v>119</v>
      </c>
      <c r="B156" s="177"/>
      <c r="G156" s="6"/>
      <c r="H156" s="5"/>
      <c r="I156" s="5"/>
      <c r="J156" s="6"/>
    </row>
    <row r="157" spans="1:10" s="7" customFormat="1" hidden="1" x14ac:dyDescent="0.35">
      <c r="A157" t="s">
        <v>119</v>
      </c>
      <c r="B157" s="177"/>
      <c r="G157" s="6"/>
      <c r="H157" s="5"/>
      <c r="I157" s="5"/>
      <c r="J157" s="6"/>
    </row>
    <row r="158" spans="1:10" s="7" customFormat="1" hidden="1" x14ac:dyDescent="0.35">
      <c r="A158" t="s">
        <v>119</v>
      </c>
      <c r="B158" s="177"/>
      <c r="G158" s="6"/>
      <c r="H158" s="5"/>
      <c r="I158" s="5"/>
      <c r="J158" s="6"/>
    </row>
    <row r="159" spans="1:10" s="7" customFormat="1" hidden="1" x14ac:dyDescent="0.35">
      <c r="A159" t="s">
        <v>119</v>
      </c>
      <c r="B159" s="177"/>
      <c r="G159" s="6"/>
      <c r="H159" s="5"/>
      <c r="I159" s="5"/>
      <c r="J159" s="6"/>
    </row>
    <row r="160" spans="1:10" s="7" customFormat="1" hidden="1" x14ac:dyDescent="0.35">
      <c r="A160" t="s">
        <v>119</v>
      </c>
      <c r="B160" s="177"/>
      <c r="G160" s="6"/>
      <c r="H160" s="5"/>
      <c r="I160" s="5"/>
      <c r="J160" s="6"/>
    </row>
    <row r="161" spans="1:10" s="7" customFormat="1" hidden="1" x14ac:dyDescent="0.35">
      <c r="A161" t="s">
        <v>119</v>
      </c>
      <c r="B161" s="177"/>
      <c r="G161" s="6"/>
      <c r="H161" s="5"/>
      <c r="I161" s="5"/>
      <c r="J161" s="6"/>
    </row>
    <row r="162" spans="1:10" s="7" customFormat="1" hidden="1" x14ac:dyDescent="0.35">
      <c r="A162" t="s">
        <v>119</v>
      </c>
      <c r="B162" s="177"/>
      <c r="G162" s="6"/>
      <c r="H162" s="5"/>
      <c r="I162" s="5"/>
      <c r="J162" s="6"/>
    </row>
    <row r="163" spans="1:10" s="7" customFormat="1" hidden="1" x14ac:dyDescent="0.35">
      <c r="A163" t="s">
        <v>119</v>
      </c>
      <c r="B163" s="177"/>
      <c r="G163" s="6"/>
      <c r="H163" s="5"/>
      <c r="I163" s="5"/>
      <c r="J163" s="6"/>
    </row>
    <row r="164" spans="1:10" s="7" customFormat="1" hidden="1" x14ac:dyDescent="0.35">
      <c r="A164" t="s">
        <v>119</v>
      </c>
      <c r="B164" s="177"/>
      <c r="G164" s="6"/>
      <c r="H164" s="5"/>
      <c r="I164" s="5"/>
      <c r="J164" s="6"/>
    </row>
    <row r="165" spans="1:10" s="7" customFormat="1" hidden="1" x14ac:dyDescent="0.35">
      <c r="A165" t="s">
        <v>119</v>
      </c>
      <c r="B165" s="177"/>
      <c r="G165" s="6"/>
      <c r="H165" s="5"/>
      <c r="I165" s="5"/>
      <c r="J165" s="6"/>
    </row>
    <row r="166" spans="1:10" s="7" customFormat="1" hidden="1" x14ac:dyDescent="0.35">
      <c r="A166" t="s">
        <v>119</v>
      </c>
      <c r="B166" s="177"/>
      <c r="G166" s="6"/>
      <c r="H166" s="5"/>
      <c r="I166" s="5"/>
      <c r="J166" s="6"/>
    </row>
    <row r="167" spans="1:10" s="7" customFormat="1" hidden="1" x14ac:dyDescent="0.35">
      <c r="A167" t="s">
        <v>119</v>
      </c>
      <c r="B167" s="177"/>
      <c r="G167" s="6"/>
      <c r="H167" s="5"/>
      <c r="I167" s="5"/>
      <c r="J167" s="6"/>
    </row>
    <row r="168" spans="1:10" s="7" customFormat="1" hidden="1" x14ac:dyDescent="0.35">
      <c r="A168" t="s">
        <v>119</v>
      </c>
      <c r="B168" s="177"/>
      <c r="G168" s="6"/>
      <c r="H168" s="5"/>
      <c r="I168" s="5"/>
      <c r="J168" s="6"/>
    </row>
    <row r="169" spans="1:10" s="7" customFormat="1" hidden="1" x14ac:dyDescent="0.35">
      <c r="A169" t="s">
        <v>119</v>
      </c>
      <c r="B169" s="177"/>
      <c r="G169" s="6"/>
      <c r="H169" s="5"/>
      <c r="I169" s="5"/>
      <c r="J169" s="6"/>
    </row>
    <row r="170" spans="1:10" s="7" customFormat="1" hidden="1" x14ac:dyDescent="0.35">
      <c r="A170" t="s">
        <v>119</v>
      </c>
      <c r="B170" s="177"/>
      <c r="G170" s="6"/>
      <c r="H170" s="5"/>
      <c r="I170" s="5"/>
      <c r="J170" s="6"/>
    </row>
    <row r="171" spans="1:10" s="7" customFormat="1" hidden="1" x14ac:dyDescent="0.35">
      <c r="A171" t="s">
        <v>119</v>
      </c>
      <c r="B171" s="177"/>
      <c r="G171" s="6"/>
      <c r="H171" s="5"/>
      <c r="I171" s="5"/>
      <c r="J171" s="6"/>
    </row>
    <row r="172" spans="1:10" s="7" customFormat="1" hidden="1" x14ac:dyDescent="0.35">
      <c r="A172" t="s">
        <v>119</v>
      </c>
      <c r="B172" s="177"/>
      <c r="G172" s="6"/>
      <c r="H172" s="5"/>
      <c r="I172" s="5"/>
      <c r="J172" s="6"/>
    </row>
    <row r="173" spans="1:10" s="7" customFormat="1" hidden="1" x14ac:dyDescent="0.35">
      <c r="A173" t="s">
        <v>119</v>
      </c>
      <c r="B173" s="177"/>
      <c r="G173" s="6"/>
      <c r="H173" s="5"/>
      <c r="I173" s="5"/>
      <c r="J173" s="6"/>
    </row>
    <row r="174" spans="1:10" s="7" customFormat="1" hidden="1" x14ac:dyDescent="0.35">
      <c r="A174" t="s">
        <v>119</v>
      </c>
      <c r="B174" s="177"/>
      <c r="G174" s="6"/>
      <c r="H174" s="5"/>
      <c r="I174" s="5"/>
      <c r="J174" s="6"/>
    </row>
    <row r="175" spans="1:10" s="7" customFormat="1" hidden="1" x14ac:dyDescent="0.35">
      <c r="A175" t="s">
        <v>119</v>
      </c>
      <c r="B175" s="177"/>
      <c r="G175" s="6"/>
      <c r="H175" s="5"/>
      <c r="I175" s="5"/>
      <c r="J175" s="6"/>
    </row>
    <row r="176" spans="1:10" s="7" customFormat="1" hidden="1" x14ac:dyDescent="0.35">
      <c r="A176" t="s">
        <v>119</v>
      </c>
      <c r="B176" s="177"/>
      <c r="G176" s="6"/>
      <c r="H176" s="5"/>
      <c r="I176" s="5"/>
      <c r="J176" s="6"/>
    </row>
    <row r="177" spans="1:10" s="7" customFormat="1" hidden="1" x14ac:dyDescent="0.35">
      <c r="A177" t="s">
        <v>119</v>
      </c>
      <c r="B177" s="177"/>
      <c r="G177" s="6"/>
      <c r="H177" s="5"/>
      <c r="I177" s="5"/>
      <c r="J177" s="6"/>
    </row>
    <row r="178" spans="1:10" s="7" customFormat="1" hidden="1" x14ac:dyDescent="0.35">
      <c r="A178" t="s">
        <v>119</v>
      </c>
      <c r="B178" s="177"/>
      <c r="G178" s="6"/>
      <c r="H178" s="5"/>
      <c r="I178" s="5"/>
      <c r="J178" s="6"/>
    </row>
    <row r="179" spans="1:10" s="7" customFormat="1" x14ac:dyDescent="0.35">
      <c r="A179" t="s">
        <v>120</v>
      </c>
      <c r="B179" s="177"/>
      <c r="G179" s="6"/>
      <c r="H179" s="5"/>
      <c r="I179" s="5"/>
      <c r="J179" s="6"/>
    </row>
    <row r="180" spans="1:10" s="7" customFormat="1" x14ac:dyDescent="0.35">
      <c r="A180" t="s">
        <v>120</v>
      </c>
      <c r="B180" s="177"/>
      <c r="G180" s="6"/>
      <c r="H180" s="5"/>
      <c r="I180" s="5"/>
      <c r="J180" s="6"/>
    </row>
    <row r="181" spans="1:10" s="7" customFormat="1" x14ac:dyDescent="0.35">
      <c r="A181" t="s">
        <v>120</v>
      </c>
      <c r="B181" s="177"/>
      <c r="G181" s="6"/>
      <c r="H181" s="5"/>
      <c r="I181" s="5"/>
      <c r="J181" s="6"/>
    </row>
    <row r="182" spans="1:10" s="7" customFormat="1" x14ac:dyDescent="0.35">
      <c r="A182" t="s">
        <v>120</v>
      </c>
      <c r="B182" s="177"/>
      <c r="G182" s="6"/>
      <c r="H182" s="5"/>
      <c r="I182" s="5"/>
      <c r="J182" s="6"/>
    </row>
    <row r="183" spans="1:10" s="7" customFormat="1" x14ac:dyDescent="0.35">
      <c r="A183" t="s">
        <v>120</v>
      </c>
      <c r="B183" s="177"/>
      <c r="G183" s="6"/>
      <c r="H183" s="5"/>
      <c r="I183" s="5"/>
      <c r="J183" s="6"/>
    </row>
    <row r="184" spans="1:10" s="7" customFormat="1" x14ac:dyDescent="0.35">
      <c r="A184" t="s">
        <v>120</v>
      </c>
      <c r="B184" s="177"/>
      <c r="G184" s="6"/>
      <c r="H184" s="5"/>
      <c r="I184" s="5"/>
      <c r="J184" s="6"/>
    </row>
    <row r="185" spans="1:10" s="7" customFormat="1" x14ac:dyDescent="0.35">
      <c r="A185" t="s">
        <v>120</v>
      </c>
      <c r="B185" s="177"/>
      <c r="G185" s="6"/>
      <c r="H185" s="5"/>
      <c r="I185" s="5"/>
      <c r="J185" s="6"/>
    </row>
    <row r="186" spans="1:10" s="7" customFormat="1" x14ac:dyDescent="0.35">
      <c r="A186" t="s">
        <v>120</v>
      </c>
      <c r="B186" s="177"/>
      <c r="G186" s="6"/>
      <c r="H186" s="5"/>
      <c r="I186" s="5"/>
      <c r="J186" s="6"/>
    </row>
    <row r="187" spans="1:10" s="7" customFormat="1" x14ac:dyDescent="0.35">
      <c r="A187" t="s">
        <v>120</v>
      </c>
      <c r="B187" s="177"/>
      <c r="G187" s="6"/>
      <c r="H187" s="5"/>
      <c r="I187" s="5"/>
      <c r="J187" s="6"/>
    </row>
    <row r="188" spans="1:10" s="7" customFormat="1" x14ac:dyDescent="0.35">
      <c r="A188" t="s">
        <v>120</v>
      </c>
      <c r="B188" s="177"/>
      <c r="G188" s="6"/>
      <c r="H188" s="5"/>
      <c r="I188" s="5"/>
      <c r="J188" s="6"/>
    </row>
    <row r="189" spans="1:10" s="7" customFormat="1" x14ac:dyDescent="0.35">
      <c r="A189" t="s">
        <v>120</v>
      </c>
      <c r="B189" s="177"/>
      <c r="G189" s="6"/>
      <c r="H189" s="5"/>
      <c r="I189" s="5"/>
      <c r="J189" s="6"/>
    </row>
    <row r="190" spans="1:10" s="7" customFormat="1" x14ac:dyDescent="0.35">
      <c r="A190" t="s">
        <v>120</v>
      </c>
      <c r="B190" s="177"/>
      <c r="G190" s="6"/>
      <c r="H190" s="5"/>
      <c r="I190" s="5"/>
      <c r="J190" s="6"/>
    </row>
    <row r="191" spans="1:10" s="7" customFormat="1" x14ac:dyDescent="0.35">
      <c r="A191" t="s">
        <v>120</v>
      </c>
      <c r="B191" s="177"/>
      <c r="G191" s="6"/>
      <c r="H191" s="5"/>
      <c r="I191" s="5"/>
      <c r="J191" s="6"/>
    </row>
    <row r="192" spans="1:10" s="7" customFormat="1" x14ac:dyDescent="0.35">
      <c r="A192" t="s">
        <v>120</v>
      </c>
      <c r="B192" s="177"/>
      <c r="G192" s="6"/>
      <c r="H192" s="5"/>
      <c r="I192" s="5"/>
      <c r="J192" s="6"/>
    </row>
    <row r="193" spans="1:10" s="7" customFormat="1" x14ac:dyDescent="0.35">
      <c r="A193" t="s">
        <v>120</v>
      </c>
      <c r="B193" s="177"/>
      <c r="G193" s="6"/>
      <c r="H193" s="5"/>
      <c r="I193" s="5"/>
      <c r="J193" s="6"/>
    </row>
    <row r="194" spans="1:10" s="7" customFormat="1" x14ac:dyDescent="0.35">
      <c r="A194" t="s">
        <v>120</v>
      </c>
      <c r="B194" s="177"/>
      <c r="G194" s="6"/>
      <c r="H194" s="5"/>
      <c r="I194" s="5"/>
      <c r="J194" s="6"/>
    </row>
    <row r="195" spans="1:10" s="7" customFormat="1" x14ac:dyDescent="0.35">
      <c r="A195" t="s">
        <v>120</v>
      </c>
      <c r="B195" s="177"/>
      <c r="G195" s="6"/>
      <c r="H195" s="5"/>
      <c r="I195" s="5"/>
      <c r="J195" s="6"/>
    </row>
    <row r="196" spans="1:10" s="7" customFormat="1" x14ac:dyDescent="0.35">
      <c r="A196" t="s">
        <v>120</v>
      </c>
      <c r="B196" s="177"/>
      <c r="G196" s="6"/>
      <c r="H196" s="5"/>
      <c r="I196" s="5"/>
      <c r="J196" s="6"/>
    </row>
    <row r="197" spans="1:10" s="7" customFormat="1" x14ac:dyDescent="0.35">
      <c r="A197" t="s">
        <v>120</v>
      </c>
      <c r="B197" s="177"/>
      <c r="G197" s="6"/>
      <c r="H197" s="5"/>
      <c r="I197" s="5"/>
      <c r="J197" s="6"/>
    </row>
    <row r="198" spans="1:10" s="7" customFormat="1" x14ac:dyDescent="0.35">
      <c r="A198" t="s">
        <v>120</v>
      </c>
      <c r="B198" s="177"/>
      <c r="G198" s="6"/>
      <c r="H198" s="5"/>
      <c r="I198" s="5"/>
      <c r="J198" s="6"/>
    </row>
    <row r="199" spans="1:10" s="7" customFormat="1" x14ac:dyDescent="0.35">
      <c r="A199" t="s">
        <v>120</v>
      </c>
      <c r="B199" s="177"/>
      <c r="G199" s="6"/>
      <c r="H199" s="5"/>
      <c r="I199" s="5"/>
      <c r="J199" s="6"/>
    </row>
    <row r="200" spans="1:10" s="7" customFormat="1" x14ac:dyDescent="0.35">
      <c r="A200" t="s">
        <v>120</v>
      </c>
      <c r="B200" s="177"/>
      <c r="G200" s="6"/>
      <c r="H200" s="5"/>
      <c r="I200" s="5"/>
      <c r="J200" s="6"/>
    </row>
    <row r="201" spans="1:10" s="7" customFormat="1" x14ac:dyDescent="0.35">
      <c r="A201" t="s">
        <v>120</v>
      </c>
      <c r="B201" s="177"/>
      <c r="G201" s="6"/>
      <c r="H201" s="5"/>
      <c r="I201" s="5"/>
      <c r="J201" s="6"/>
    </row>
    <row r="202" spans="1:10" s="7" customFormat="1" x14ac:dyDescent="0.35">
      <c r="A202" t="s">
        <v>120</v>
      </c>
      <c r="B202" s="177"/>
      <c r="G202" s="6"/>
      <c r="H202" s="5"/>
      <c r="I202" s="5"/>
      <c r="J202" s="6"/>
    </row>
    <row r="203" spans="1:10" s="7" customFormat="1" x14ac:dyDescent="0.35">
      <c r="A203" t="s">
        <v>120</v>
      </c>
      <c r="B203" s="177"/>
      <c r="G203" s="6"/>
      <c r="H203" s="5"/>
      <c r="I203" s="5"/>
      <c r="J203" s="6"/>
    </row>
    <row r="204" spans="1:10" s="7" customFormat="1" x14ac:dyDescent="0.35">
      <c r="A204" t="s">
        <v>120</v>
      </c>
      <c r="B204" s="177"/>
      <c r="G204" s="6"/>
      <c r="H204" s="5"/>
      <c r="I204" s="5"/>
      <c r="J204" s="6"/>
    </row>
    <row r="205" spans="1:10" s="7" customFormat="1" x14ac:dyDescent="0.35">
      <c r="A205" t="s">
        <v>120</v>
      </c>
      <c r="B205" s="177"/>
      <c r="G205" s="6"/>
      <c r="H205" s="5"/>
      <c r="I205" s="5"/>
      <c r="J205" s="6"/>
    </row>
    <row r="206" spans="1:10" s="7" customFormat="1" x14ac:dyDescent="0.35">
      <c r="A206" t="s">
        <v>120</v>
      </c>
      <c r="B206" s="177"/>
      <c r="G206" s="6"/>
      <c r="H206" s="5"/>
      <c r="I206" s="5"/>
      <c r="J206" s="6"/>
    </row>
    <row r="207" spans="1:10" s="7" customFormat="1" x14ac:dyDescent="0.35">
      <c r="A207" t="s">
        <v>120</v>
      </c>
      <c r="B207" s="177"/>
      <c r="G207" s="6"/>
      <c r="H207" s="5"/>
      <c r="I207" s="5"/>
      <c r="J207" s="6"/>
    </row>
    <row r="208" spans="1:10" s="7" customFormat="1" x14ac:dyDescent="0.35">
      <c r="A208" t="s">
        <v>120</v>
      </c>
      <c r="B208" s="177"/>
      <c r="G208" s="6"/>
      <c r="H208" s="5"/>
      <c r="I208" s="5"/>
      <c r="J208" s="6"/>
    </row>
    <row r="209" spans="1:10" s="7" customFormat="1" x14ac:dyDescent="0.35">
      <c r="A209" t="s">
        <v>120</v>
      </c>
      <c r="B209" s="177"/>
      <c r="G209" s="6"/>
      <c r="H209" s="5"/>
      <c r="I209" s="5"/>
      <c r="J209" s="6"/>
    </row>
    <row r="210" spans="1:10" s="7" customFormat="1" x14ac:dyDescent="0.35">
      <c r="A210" t="s">
        <v>120</v>
      </c>
      <c r="B210" s="177"/>
      <c r="G210" s="6"/>
      <c r="H210" s="5"/>
      <c r="I210" s="5"/>
      <c r="J210" s="6"/>
    </row>
    <row r="211" spans="1:10" s="7" customFormat="1" x14ac:dyDescent="0.35">
      <c r="A211" t="s">
        <v>120</v>
      </c>
      <c r="B211" s="177"/>
      <c r="G211" s="6"/>
      <c r="H211" s="5"/>
      <c r="I211" s="5"/>
      <c r="J211" s="6"/>
    </row>
    <row r="212" spans="1:10" s="7" customFormat="1" x14ac:dyDescent="0.35">
      <c r="A212" t="s">
        <v>120</v>
      </c>
      <c r="B212" s="177"/>
      <c r="G212" s="6"/>
      <c r="H212" s="5"/>
      <c r="I212" s="5"/>
      <c r="J212" s="6"/>
    </row>
    <row r="213" spans="1:10" s="7" customFormat="1" x14ac:dyDescent="0.35">
      <c r="A213" t="s">
        <v>120</v>
      </c>
      <c r="B213" s="177"/>
      <c r="G213" s="6"/>
      <c r="H213" s="5"/>
      <c r="I213" s="5"/>
      <c r="J213" s="6"/>
    </row>
    <row r="214" spans="1:10" s="7" customFormat="1" x14ac:dyDescent="0.35">
      <c r="A214" t="s">
        <v>120</v>
      </c>
      <c r="B214" s="177"/>
      <c r="G214" s="6"/>
      <c r="H214" s="5"/>
      <c r="I214" s="5"/>
      <c r="J214" s="6"/>
    </row>
    <row r="215" spans="1:10" s="7" customFormat="1" x14ac:dyDescent="0.35">
      <c r="A215" t="s">
        <v>120</v>
      </c>
      <c r="B215" s="177"/>
      <c r="G215" s="6"/>
      <c r="H215" s="5"/>
      <c r="I215" s="5"/>
      <c r="J215" s="6"/>
    </row>
    <row r="216" spans="1:10" s="7" customFormat="1" x14ac:dyDescent="0.35">
      <c r="A216" t="s">
        <v>120</v>
      </c>
      <c r="B216" s="177"/>
      <c r="G216" s="6"/>
      <c r="H216" s="5"/>
      <c r="I216" s="5"/>
      <c r="J216" s="6"/>
    </row>
    <row r="217" spans="1:10" s="7" customFormat="1" x14ac:dyDescent="0.35">
      <c r="A217" t="s">
        <v>120</v>
      </c>
      <c r="B217" s="177"/>
      <c r="G217" s="6"/>
      <c r="H217" s="5"/>
      <c r="I217" s="5"/>
      <c r="J217" s="6"/>
    </row>
    <row r="218" spans="1:10" s="7" customFormat="1" x14ac:dyDescent="0.35">
      <c r="A218" t="s">
        <v>120</v>
      </c>
      <c r="B218" s="177"/>
      <c r="G218" s="6"/>
      <c r="H218" s="5"/>
      <c r="I218" s="5"/>
      <c r="J218" s="6"/>
    </row>
    <row r="219" spans="1:10" s="7" customFormat="1" x14ac:dyDescent="0.35">
      <c r="A219" t="s">
        <v>120</v>
      </c>
      <c r="B219" s="177"/>
      <c r="G219" s="6"/>
      <c r="H219" s="5"/>
      <c r="I219" s="5"/>
      <c r="J219" s="6"/>
    </row>
    <row r="220" spans="1:10" s="7" customFormat="1" x14ac:dyDescent="0.35">
      <c r="A220" t="s">
        <v>120</v>
      </c>
      <c r="B220" s="177"/>
      <c r="G220" s="6"/>
      <c r="H220" s="5"/>
      <c r="I220" s="5"/>
      <c r="J220" s="6"/>
    </row>
    <row r="221" spans="1:10" s="7" customFormat="1" x14ac:dyDescent="0.35">
      <c r="A221" t="s">
        <v>120</v>
      </c>
      <c r="B221" s="177"/>
      <c r="G221" s="6"/>
      <c r="H221" s="5"/>
      <c r="I221" s="5"/>
      <c r="J221" s="6"/>
    </row>
    <row r="222" spans="1:10" s="7" customFormat="1" x14ac:dyDescent="0.35">
      <c r="A222" t="s">
        <v>120</v>
      </c>
      <c r="B222" s="177"/>
      <c r="G222" s="6"/>
      <c r="H222" s="5"/>
      <c r="I222" s="5"/>
      <c r="J222" s="6"/>
    </row>
    <row r="223" spans="1:10" s="7" customFormat="1" x14ac:dyDescent="0.35">
      <c r="A223" t="s">
        <v>120</v>
      </c>
      <c r="B223" s="177"/>
      <c r="G223" s="6"/>
      <c r="H223" s="5"/>
      <c r="I223" s="5"/>
      <c r="J223" s="6"/>
    </row>
    <row r="224" spans="1:10" s="7" customFormat="1" x14ac:dyDescent="0.35">
      <c r="A224" t="s">
        <v>120</v>
      </c>
      <c r="B224" s="177"/>
      <c r="G224" s="6"/>
      <c r="H224" s="5"/>
      <c r="I224" s="5"/>
      <c r="J224" s="6"/>
    </row>
    <row r="225" spans="1:15" s="7" customFormat="1" x14ac:dyDescent="0.35">
      <c r="A225" t="s">
        <v>120</v>
      </c>
      <c r="B225" s="177"/>
      <c r="G225" s="6"/>
      <c r="H225" s="5"/>
      <c r="I225" s="5"/>
      <c r="J225" s="6"/>
    </row>
    <row r="226" spans="1:15" s="7" customFormat="1" x14ac:dyDescent="0.35">
      <c r="A226" t="s">
        <v>120</v>
      </c>
      <c r="B226" s="177"/>
      <c r="G226" s="6"/>
      <c r="H226" s="5"/>
      <c r="I226" s="5"/>
      <c r="J226" s="6"/>
    </row>
    <row r="227" spans="1:15" s="7" customFormat="1" x14ac:dyDescent="0.35">
      <c r="A227" t="s">
        <v>120</v>
      </c>
      <c r="B227" s="177"/>
      <c r="G227" s="6"/>
      <c r="H227" s="5"/>
      <c r="I227" s="5"/>
      <c r="J227" s="6"/>
    </row>
    <row r="228" spans="1:15" s="7" customFormat="1" x14ac:dyDescent="0.35">
      <c r="A228" t="s">
        <v>120</v>
      </c>
      <c r="B228" s="177"/>
      <c r="G228" s="6"/>
      <c r="H228" s="5"/>
      <c r="I228" s="5"/>
      <c r="J228" s="6"/>
    </row>
    <row r="229" spans="1:15" s="7" customFormat="1" x14ac:dyDescent="0.35">
      <c r="A229" t="s">
        <v>120</v>
      </c>
      <c r="B229" s="177"/>
      <c r="G229" s="6"/>
      <c r="H229" s="5"/>
      <c r="I229" s="5"/>
      <c r="J229" s="6"/>
    </row>
    <row r="230" spans="1:15" s="7" customFormat="1" x14ac:dyDescent="0.35">
      <c r="A230" t="s">
        <v>120</v>
      </c>
      <c r="B230" s="177"/>
      <c r="G230" s="6"/>
      <c r="H230" s="5"/>
      <c r="I230" s="5"/>
      <c r="J230" s="6"/>
    </row>
    <row r="231" spans="1:15" s="7" customFormat="1" x14ac:dyDescent="0.35">
      <c r="A231" t="s">
        <v>120</v>
      </c>
      <c r="B231" s="177"/>
      <c r="G231" s="6"/>
      <c r="H231" s="5"/>
      <c r="I231" s="5"/>
      <c r="J231" s="6"/>
    </row>
    <row r="232" spans="1:15" s="7" customFormat="1" x14ac:dyDescent="0.35">
      <c r="A232" t="s">
        <v>120</v>
      </c>
      <c r="B232" s="177"/>
      <c r="G232" s="6"/>
      <c r="H232" s="5"/>
      <c r="I232" s="5"/>
      <c r="J232" s="6"/>
    </row>
    <row r="233" spans="1:15" s="7" customFormat="1" x14ac:dyDescent="0.35">
      <c r="A233" t="s">
        <v>120</v>
      </c>
      <c r="B233" s="177"/>
      <c r="G233" s="6"/>
      <c r="H233" s="5"/>
      <c r="I233" s="5"/>
      <c r="J233" s="6"/>
    </row>
    <row r="234" spans="1:15" s="7" customFormat="1" x14ac:dyDescent="0.35">
      <c r="A234" t="s">
        <v>120</v>
      </c>
      <c r="B234" s="177"/>
      <c r="G234" s="6"/>
      <c r="H234" s="5"/>
      <c r="I234" s="5"/>
      <c r="J234" s="6"/>
    </row>
    <row r="235" spans="1:15" s="7" customFormat="1" x14ac:dyDescent="0.35">
      <c r="A235" t="s">
        <v>120</v>
      </c>
      <c r="B235" s="177"/>
      <c r="G235" s="6"/>
      <c r="H235" s="5"/>
      <c r="I235" s="5"/>
      <c r="J235" s="6"/>
    </row>
    <row r="236" spans="1:15" s="7" customFormat="1" x14ac:dyDescent="0.35">
      <c r="B236" s="177"/>
      <c r="G236" s="6"/>
      <c r="H236" s="5"/>
      <c r="I236" s="5"/>
      <c r="J236" s="6"/>
    </row>
    <row r="237" spans="1:15" s="7" customFormat="1" x14ac:dyDescent="0.35">
      <c r="A237"/>
      <c r="B237" s="177"/>
      <c r="G237" s="6"/>
      <c r="H237" s="5"/>
      <c r="I237" s="5"/>
      <c r="J237" s="6"/>
    </row>
    <row r="238" spans="1:15" s="7" customFormat="1" x14ac:dyDescent="0.35">
      <c r="A238"/>
      <c r="B238" s="177"/>
      <c r="G238" s="6"/>
      <c r="H238" s="5"/>
      <c r="I238" s="5"/>
      <c r="J238" s="6"/>
    </row>
    <row r="239" spans="1:15" s="7" customFormat="1" x14ac:dyDescent="0.35">
      <c r="A239"/>
      <c r="B239" s="177"/>
      <c r="G239" s="6"/>
      <c r="H239" s="5"/>
      <c r="I239" s="5"/>
      <c r="J239" s="6"/>
    </row>
    <row r="240" spans="1:15" ht="62.5" x14ac:dyDescent="1.4">
      <c r="B240" s="2" t="s">
        <v>45</v>
      </c>
      <c r="C240" s="9">
        <v>36994</v>
      </c>
      <c r="D240" s="9">
        <f>C240+6</f>
        <v>37000</v>
      </c>
      <c r="E240" s="7"/>
      <c r="F240" s="7"/>
      <c r="G240" s="7"/>
      <c r="H240" s="7"/>
      <c r="I240" s="7"/>
      <c r="J240" s="7"/>
      <c r="K240" s="7"/>
      <c r="L240" s="7"/>
      <c r="M240" s="7"/>
      <c r="N240" s="7"/>
      <c r="O240" s="7"/>
    </row>
    <row r="241" spans="2:15" x14ac:dyDescent="0.35">
      <c r="B241" s="7"/>
      <c r="C241" s="7"/>
      <c r="D241" s="7"/>
      <c r="E241" s="7"/>
      <c r="F241" s="7"/>
      <c r="G241" s="7"/>
      <c r="H241" s="7"/>
      <c r="I241" s="7"/>
      <c r="J241" s="7"/>
      <c r="K241" s="7"/>
      <c r="L241" s="7"/>
      <c r="M241" s="7"/>
      <c r="N241" s="7"/>
      <c r="O241" s="7"/>
    </row>
    <row r="242" spans="2:15" x14ac:dyDescent="0.35">
      <c r="B242" s="7"/>
      <c r="C242" s="7"/>
      <c r="D242" s="7"/>
      <c r="E242" s="7"/>
      <c r="F242" s="7"/>
      <c r="G242" s="7"/>
      <c r="H242" s="7"/>
      <c r="I242" s="7"/>
      <c r="J242" s="7"/>
      <c r="K242" s="7"/>
      <c r="L242" s="7"/>
      <c r="M242" s="7"/>
      <c r="N242" s="7"/>
      <c r="O242" s="7"/>
    </row>
    <row r="243" spans="2:15" x14ac:dyDescent="0.35">
      <c r="B243" s="7"/>
      <c r="C243" s="7"/>
      <c r="D243" s="7"/>
      <c r="E243" s="7"/>
      <c r="F243" s="7"/>
      <c r="G243" s="7"/>
      <c r="H243" s="7"/>
      <c r="I243" s="7"/>
      <c r="J243" s="7"/>
      <c r="K243" s="7"/>
      <c r="L243" s="7"/>
      <c r="M243" s="7"/>
      <c r="N243" s="7"/>
      <c r="O243" s="7"/>
    </row>
    <row r="244" spans="2:15" x14ac:dyDescent="0.35">
      <c r="B244" s="7"/>
      <c r="C244" s="7"/>
      <c r="D244" s="7"/>
      <c r="E244" s="7"/>
      <c r="F244" s="7"/>
      <c r="G244" s="7"/>
      <c r="H244" s="7"/>
      <c r="I244" s="7"/>
      <c r="J244" s="7"/>
      <c r="K244" s="7"/>
      <c r="L244" s="7"/>
      <c r="M244" s="7"/>
      <c r="N244" s="7"/>
      <c r="O244" s="7"/>
    </row>
    <row r="245" spans="2:15" x14ac:dyDescent="0.35">
      <c r="B245" s="7"/>
      <c r="C245" s="7"/>
      <c r="D245" s="7"/>
      <c r="E245" s="7"/>
      <c r="F245" s="7"/>
      <c r="G245" s="7"/>
      <c r="H245" s="7"/>
      <c r="I245" s="7"/>
      <c r="J245" s="7"/>
      <c r="K245" s="7"/>
      <c r="L245" s="7"/>
      <c r="M245" s="7"/>
      <c r="N245" s="7"/>
      <c r="O245" s="7"/>
    </row>
    <row r="246" spans="2:15" x14ac:dyDescent="0.35">
      <c r="B246" s="7"/>
      <c r="C246" s="7"/>
      <c r="D246" s="7"/>
      <c r="E246" s="7"/>
      <c r="F246" s="7"/>
      <c r="G246" s="7"/>
      <c r="H246" s="7"/>
      <c r="I246" s="7"/>
      <c r="J246" s="7"/>
      <c r="K246" s="7"/>
      <c r="L246" s="7"/>
      <c r="M246" s="7"/>
      <c r="N246" s="7"/>
      <c r="O246" s="7"/>
    </row>
    <row r="247" spans="2:15" x14ac:dyDescent="0.35">
      <c r="B247" s="7"/>
      <c r="C247" s="7"/>
      <c r="D247" s="7"/>
      <c r="E247" s="7"/>
      <c r="F247" s="7"/>
      <c r="G247" s="7"/>
      <c r="H247" s="7"/>
      <c r="I247" s="7"/>
      <c r="J247" s="7"/>
      <c r="K247" s="7"/>
      <c r="L247" s="7"/>
      <c r="M247" s="7"/>
      <c r="N247" s="7"/>
      <c r="O247" s="7"/>
    </row>
    <row r="248" spans="2:15" x14ac:dyDescent="0.35">
      <c r="B248" s="7"/>
      <c r="C248" s="7"/>
      <c r="D248" s="7"/>
      <c r="E248" s="7"/>
      <c r="F248" s="7"/>
      <c r="G248" s="7"/>
      <c r="H248" s="7"/>
      <c r="I248" s="7"/>
      <c r="J248" s="7"/>
      <c r="K248" s="7"/>
      <c r="L248" s="7"/>
      <c r="M248" s="7"/>
      <c r="N248" s="7"/>
      <c r="O248" s="7"/>
    </row>
    <row r="249" spans="2:15" x14ac:dyDescent="0.35">
      <c r="B249" s="7"/>
      <c r="C249" s="7"/>
      <c r="D249" s="7"/>
      <c r="E249" s="7"/>
      <c r="F249" s="7"/>
      <c r="G249" s="7"/>
      <c r="H249" s="7"/>
      <c r="I249" s="7"/>
      <c r="J249" s="7"/>
      <c r="K249" s="7"/>
      <c r="L249" s="7"/>
      <c r="M249" s="7"/>
      <c r="N249" s="7"/>
      <c r="O249" s="7"/>
    </row>
    <row r="250" spans="2:15" x14ac:dyDescent="0.35">
      <c r="B250" s="7"/>
      <c r="C250" s="7"/>
      <c r="D250" s="7"/>
      <c r="E250" s="7"/>
      <c r="F250" s="7"/>
      <c r="G250" s="7"/>
      <c r="H250" s="7"/>
      <c r="I250" s="7"/>
      <c r="J250" s="7"/>
      <c r="K250" s="7"/>
      <c r="L250" s="7"/>
      <c r="M250" s="7"/>
      <c r="N250" s="7"/>
      <c r="O250" s="7"/>
    </row>
    <row r="251" spans="2:15" x14ac:dyDescent="0.35">
      <c r="B251" s="7"/>
      <c r="C251" s="7"/>
      <c r="D251" s="7"/>
      <c r="E251" s="7"/>
      <c r="F251" s="7"/>
      <c r="G251" s="7"/>
      <c r="H251" s="7"/>
      <c r="I251" s="7"/>
      <c r="J251" s="7"/>
      <c r="K251" s="7"/>
      <c r="L251" s="7"/>
      <c r="M251" s="7"/>
      <c r="N251" s="7"/>
      <c r="O251" s="7"/>
    </row>
    <row r="252" spans="2:15" x14ac:dyDescent="0.35">
      <c r="B252" s="7"/>
      <c r="C252" s="7"/>
      <c r="D252" s="7"/>
      <c r="E252" s="7"/>
      <c r="F252" s="7"/>
      <c r="G252" s="7"/>
      <c r="H252" s="7"/>
      <c r="I252" s="7"/>
      <c r="J252" s="7"/>
      <c r="K252" s="7"/>
      <c r="L252" s="7"/>
      <c r="M252" s="7"/>
      <c r="N252" s="7"/>
      <c r="O252" s="7"/>
    </row>
    <row r="253" spans="2:15" x14ac:dyDescent="0.35">
      <c r="B253" s="7"/>
      <c r="C253" s="7"/>
      <c r="D253" s="7"/>
      <c r="E253" s="7"/>
      <c r="F253" s="7"/>
      <c r="G253" s="7"/>
      <c r="H253" s="7"/>
      <c r="I253" s="7"/>
      <c r="J253" s="7"/>
      <c r="K253" s="7"/>
      <c r="L253" s="7"/>
      <c r="M253" s="7"/>
      <c r="N253" s="7"/>
      <c r="O253" s="7"/>
    </row>
    <row r="254" spans="2:15" x14ac:dyDescent="0.35">
      <c r="B254" s="7"/>
      <c r="C254" s="7"/>
      <c r="D254" s="7"/>
      <c r="E254" s="7"/>
      <c r="F254" s="7"/>
      <c r="G254" s="7"/>
      <c r="H254" s="7"/>
      <c r="I254" s="7"/>
      <c r="J254" s="7"/>
      <c r="K254" s="7"/>
      <c r="L254" s="7"/>
      <c r="M254" s="7"/>
      <c r="N254" s="7"/>
      <c r="O254" s="7"/>
    </row>
    <row r="255" spans="2:15" x14ac:dyDescent="0.35">
      <c r="B255" s="7"/>
      <c r="C255" s="7"/>
      <c r="D255" s="7"/>
      <c r="E255" s="7"/>
      <c r="F255" s="7"/>
      <c r="G255" s="7"/>
      <c r="H255" s="7"/>
      <c r="I255" s="7"/>
      <c r="J255" s="7"/>
      <c r="K255" s="7"/>
      <c r="L255" s="7"/>
      <c r="M255" s="7"/>
      <c r="N255" s="7"/>
      <c r="O255" s="7"/>
    </row>
    <row r="256" spans="2:15" x14ac:dyDescent="0.35">
      <c r="B256" s="7"/>
      <c r="C256" s="7"/>
      <c r="D256" s="7"/>
      <c r="E256" s="7"/>
      <c r="F256" s="7"/>
      <c r="G256" s="7"/>
      <c r="H256" s="7"/>
      <c r="I256" s="7"/>
      <c r="J256" s="7"/>
      <c r="K256" s="7"/>
      <c r="L256" s="7"/>
      <c r="M256" s="7"/>
      <c r="N256" s="7"/>
      <c r="O256" s="7"/>
    </row>
    <row r="257" spans="2:15" x14ac:dyDescent="0.35">
      <c r="B257" s="7"/>
      <c r="C257" s="7"/>
      <c r="D257" s="7"/>
      <c r="E257" s="7"/>
      <c r="F257" s="7"/>
      <c r="G257" s="7"/>
      <c r="H257" s="7"/>
      <c r="I257" s="7"/>
      <c r="J257" s="7"/>
      <c r="K257" s="7"/>
      <c r="L257" s="7"/>
      <c r="M257" s="7"/>
      <c r="N257" s="7"/>
      <c r="O257" s="7"/>
    </row>
    <row r="258" spans="2:15" x14ac:dyDescent="0.35">
      <c r="B258" s="7"/>
      <c r="C258" s="7"/>
      <c r="D258" s="7"/>
      <c r="E258" s="7"/>
      <c r="F258" s="7"/>
      <c r="G258" s="7"/>
      <c r="H258" s="7"/>
      <c r="I258" s="7"/>
      <c r="J258" s="7"/>
      <c r="K258" s="7"/>
      <c r="L258" s="7"/>
      <c r="M258" s="7"/>
      <c r="N258" s="7"/>
      <c r="O258" s="7"/>
    </row>
    <row r="259" spans="2:15" x14ac:dyDescent="0.35">
      <c r="B259" s="7"/>
      <c r="C259" s="7"/>
      <c r="D259" s="7"/>
      <c r="E259" s="7"/>
      <c r="F259" s="7"/>
      <c r="G259" s="7"/>
      <c r="H259" s="7"/>
      <c r="I259" s="7"/>
      <c r="J259" s="7"/>
      <c r="K259" s="7"/>
      <c r="L259" s="7"/>
      <c r="M259" s="7"/>
      <c r="N259" s="7"/>
      <c r="O259" s="7"/>
    </row>
    <row r="260" spans="2:15" x14ac:dyDescent="0.35">
      <c r="B260" s="7"/>
      <c r="C260" s="7"/>
      <c r="D260" s="7"/>
      <c r="E260" s="7"/>
      <c r="F260" s="7"/>
      <c r="G260" s="7"/>
      <c r="H260" s="7"/>
      <c r="I260" s="7"/>
      <c r="J260" s="7"/>
      <c r="K260" s="7"/>
      <c r="L260" s="7"/>
      <c r="M260" s="7"/>
      <c r="N260" s="7"/>
      <c r="O260" s="7"/>
    </row>
    <row r="261" spans="2:15" x14ac:dyDescent="0.35">
      <c r="B261" s="7"/>
      <c r="C261" s="7"/>
      <c r="D261" s="7"/>
      <c r="E261" s="7"/>
      <c r="F261" s="7"/>
      <c r="G261" s="7"/>
      <c r="H261" s="7"/>
      <c r="I261" s="7"/>
      <c r="J261" s="7"/>
      <c r="K261" s="7"/>
      <c r="L261" s="7"/>
      <c r="M261" s="7"/>
      <c r="N261" s="7"/>
      <c r="O261" s="7"/>
    </row>
    <row r="262" spans="2:15" x14ac:dyDescent="0.35">
      <c r="B262" s="7"/>
      <c r="C262" s="7"/>
      <c r="D262" s="7"/>
      <c r="E262" s="7"/>
      <c r="F262" s="7"/>
      <c r="G262" s="7"/>
      <c r="H262" s="7"/>
      <c r="I262" s="7"/>
      <c r="J262" s="7"/>
      <c r="K262" s="7"/>
      <c r="L262" s="7"/>
      <c r="M262" s="7"/>
      <c r="N262" s="7"/>
      <c r="O262" s="7"/>
    </row>
    <row r="263" spans="2:15" x14ac:dyDescent="0.35">
      <c r="B263" s="7"/>
      <c r="C263" s="7"/>
      <c r="D263" s="7"/>
      <c r="E263" s="7"/>
      <c r="F263" s="7"/>
      <c r="G263" s="7"/>
      <c r="H263" s="7"/>
      <c r="I263" s="7"/>
      <c r="J263" s="7"/>
      <c r="K263" s="7"/>
      <c r="L263" s="7"/>
      <c r="M263" s="7"/>
      <c r="N263" s="7"/>
      <c r="O263" s="7"/>
    </row>
    <row r="264" spans="2:15" x14ac:dyDescent="0.35">
      <c r="B264" s="7"/>
      <c r="C264" s="7"/>
      <c r="D264" s="7"/>
      <c r="E264" s="7"/>
      <c r="F264" s="7"/>
      <c r="G264" s="7"/>
      <c r="H264" s="7"/>
      <c r="I264" s="7"/>
      <c r="J264" s="7"/>
      <c r="K264" s="7"/>
      <c r="L264" s="7"/>
      <c r="M264" s="7"/>
      <c r="N264" s="7"/>
      <c r="O264" s="7"/>
    </row>
    <row r="265" spans="2:15" x14ac:dyDescent="0.35">
      <c r="B265" s="7"/>
      <c r="C265" s="7"/>
      <c r="D265" s="7"/>
      <c r="E265" s="7"/>
      <c r="F265" s="7"/>
      <c r="G265" s="7"/>
      <c r="H265" s="7"/>
      <c r="I265" s="7"/>
      <c r="J265" s="7"/>
      <c r="K265" s="7"/>
      <c r="L265" s="7"/>
      <c r="M265" s="7"/>
      <c r="N265" s="7"/>
      <c r="O265" s="7"/>
    </row>
    <row r="266" spans="2:15" x14ac:dyDescent="0.35">
      <c r="B266" s="7"/>
      <c r="C266" s="7"/>
      <c r="D266" s="7"/>
      <c r="E266" s="7"/>
      <c r="F266" s="7"/>
      <c r="G266" s="7"/>
      <c r="H266" s="7"/>
      <c r="I266" s="7"/>
      <c r="J266" s="7"/>
      <c r="K266" s="7"/>
      <c r="L266" s="7"/>
      <c r="M266" s="7"/>
      <c r="N266" s="7"/>
      <c r="O266" s="7"/>
    </row>
    <row r="267" spans="2:15" x14ac:dyDescent="0.35">
      <c r="B267" s="7"/>
      <c r="C267" s="7"/>
      <c r="D267" s="7"/>
      <c r="E267" s="7"/>
      <c r="F267" s="7"/>
      <c r="G267" s="7"/>
      <c r="H267" s="7"/>
      <c r="I267" s="7"/>
      <c r="J267" s="7"/>
      <c r="K267" s="7"/>
      <c r="L267" s="7"/>
      <c r="M267" s="7"/>
      <c r="N267" s="7"/>
      <c r="O267" s="7"/>
    </row>
    <row r="268" spans="2:15" x14ac:dyDescent="0.35">
      <c r="B268" s="7"/>
      <c r="C268" s="7"/>
      <c r="D268" s="7"/>
      <c r="E268" s="7"/>
      <c r="F268" s="7"/>
      <c r="G268" s="7"/>
      <c r="H268" s="7"/>
      <c r="I268" s="7"/>
      <c r="J268" s="7"/>
      <c r="K268" s="7"/>
      <c r="L268" s="7"/>
      <c r="M268" s="7"/>
      <c r="N268" s="7"/>
      <c r="O268" s="7"/>
    </row>
    <row r="269" spans="2:15" x14ac:dyDescent="0.35">
      <c r="B269" s="7"/>
      <c r="C269" s="7"/>
      <c r="D269" s="7"/>
      <c r="E269" s="7"/>
      <c r="F269" s="7"/>
      <c r="G269" s="7"/>
      <c r="H269" s="7"/>
      <c r="I269" s="7"/>
      <c r="J269" s="7"/>
      <c r="K269" s="7"/>
      <c r="L269" s="7"/>
      <c r="M269" s="7"/>
      <c r="N269" s="7"/>
      <c r="O269" s="7"/>
    </row>
    <row r="270" spans="2:15" x14ac:dyDescent="0.35">
      <c r="B270" s="7"/>
      <c r="C270" s="7"/>
      <c r="D270" s="7"/>
      <c r="E270" s="7"/>
      <c r="F270" s="7"/>
      <c r="G270" s="7"/>
      <c r="H270" s="7"/>
      <c r="I270" s="7"/>
      <c r="J270" s="7"/>
      <c r="K270" s="7"/>
      <c r="L270" s="7"/>
      <c r="M270" s="7"/>
      <c r="N270" s="7"/>
      <c r="O270" s="7"/>
    </row>
    <row r="271" spans="2:15" x14ac:dyDescent="0.35">
      <c r="B271" s="7"/>
      <c r="C271" s="7"/>
      <c r="D271" s="7"/>
      <c r="E271" s="7"/>
      <c r="F271" s="7"/>
      <c r="G271" s="7"/>
      <c r="H271" s="7"/>
      <c r="I271" s="7"/>
      <c r="J271" s="7"/>
      <c r="K271" s="7"/>
      <c r="L271" s="7"/>
      <c r="M271" s="7"/>
      <c r="N271" s="7"/>
      <c r="O271" s="7"/>
    </row>
    <row r="272" spans="2:15" x14ac:dyDescent="0.35">
      <c r="B272" s="7"/>
      <c r="C272" s="7"/>
      <c r="D272" s="7"/>
      <c r="E272" s="7"/>
      <c r="F272" s="7"/>
      <c r="G272" s="7"/>
      <c r="H272" s="7"/>
      <c r="I272" s="7"/>
      <c r="J272" s="7"/>
      <c r="K272" s="7"/>
      <c r="L272" s="7"/>
      <c r="M272" s="7"/>
      <c r="N272" s="7"/>
      <c r="O272" s="7"/>
    </row>
    <row r="273" spans="2:15" ht="31" x14ac:dyDescent="0.7">
      <c r="B273" s="3"/>
      <c r="C273" s="7"/>
      <c r="D273" s="7"/>
      <c r="E273" s="7"/>
      <c r="F273" s="7"/>
      <c r="G273" s="7"/>
      <c r="H273" s="7"/>
      <c r="I273" s="7"/>
      <c r="J273" s="7"/>
      <c r="K273" s="7"/>
      <c r="L273" s="7"/>
      <c r="M273" s="7"/>
      <c r="N273" s="7"/>
      <c r="O273" s="7"/>
    </row>
    <row r="274" spans="2:15" ht="62.5" x14ac:dyDescent="1.4">
      <c r="B274" s="2" t="s">
        <v>46</v>
      </c>
      <c r="C274" s="13">
        <f>Game!B17</f>
        <v>46034</v>
      </c>
      <c r="D274" s="13">
        <f>C274+6</f>
        <v>46040</v>
      </c>
      <c r="E274" s="7"/>
      <c r="F274" s="7"/>
      <c r="G274" s="7"/>
      <c r="H274" s="7"/>
      <c r="I274" s="7"/>
      <c r="J274" s="7"/>
      <c r="K274" s="7"/>
      <c r="L274" s="7"/>
      <c r="M274" s="7"/>
      <c r="N274" s="7"/>
      <c r="O274" s="7"/>
    </row>
    <row r="275" spans="2:15" x14ac:dyDescent="0.35">
      <c r="B275" s="7"/>
      <c r="C275" s="7"/>
      <c r="D275" s="7"/>
      <c r="E275" s="7"/>
      <c r="F275" s="7"/>
      <c r="G275" s="7"/>
      <c r="H275" s="7"/>
      <c r="I275" s="7"/>
      <c r="J275" s="7"/>
      <c r="K275" s="7"/>
      <c r="L275" s="7"/>
      <c r="M275" s="7"/>
      <c r="N275" s="7"/>
      <c r="O275" s="7"/>
    </row>
    <row r="276" spans="2:15" x14ac:dyDescent="0.35">
      <c r="B276" s="7"/>
      <c r="C276" s="7"/>
      <c r="D276" s="7"/>
      <c r="E276" s="7"/>
      <c r="F276" s="7"/>
      <c r="G276" s="7"/>
      <c r="H276" s="7"/>
      <c r="I276" s="7"/>
      <c r="J276" s="7"/>
      <c r="K276" s="7"/>
      <c r="L276" s="7"/>
      <c r="M276" s="7"/>
      <c r="N276" s="7"/>
      <c r="O276" s="7"/>
    </row>
    <row r="277" spans="2:15" x14ac:dyDescent="0.35">
      <c r="B277" s="7"/>
      <c r="C277" s="7"/>
      <c r="D277" s="7"/>
      <c r="E277" s="7"/>
      <c r="F277" s="7"/>
      <c r="G277" s="7"/>
      <c r="H277" s="7"/>
      <c r="I277" s="7"/>
      <c r="J277" s="7"/>
      <c r="K277" s="7"/>
      <c r="L277" s="7"/>
      <c r="M277" s="7"/>
      <c r="N277" s="7"/>
      <c r="O277" s="7"/>
    </row>
    <row r="278" spans="2:15" x14ac:dyDescent="0.35">
      <c r="B278" s="7"/>
      <c r="C278" s="7"/>
      <c r="D278" s="7"/>
      <c r="E278" s="7"/>
      <c r="F278" s="7"/>
      <c r="G278" s="7"/>
      <c r="H278" s="7"/>
      <c r="I278" s="7"/>
      <c r="J278" s="7"/>
      <c r="K278" s="7"/>
      <c r="L278" s="7"/>
      <c r="M278" s="7"/>
      <c r="N278" s="7"/>
      <c r="O278" s="7"/>
    </row>
    <row r="279" spans="2:15" x14ac:dyDescent="0.35">
      <c r="B279" s="7"/>
      <c r="C279" s="7"/>
      <c r="D279" s="7"/>
      <c r="E279" s="7"/>
      <c r="F279" s="7"/>
      <c r="G279" s="7"/>
      <c r="H279" s="7"/>
      <c r="I279" s="7"/>
      <c r="J279" s="7"/>
      <c r="K279" s="7"/>
      <c r="L279" s="7"/>
      <c r="M279" s="7"/>
      <c r="N279" s="7"/>
      <c r="O279" s="7"/>
    </row>
    <row r="280" spans="2:15" x14ac:dyDescent="0.35">
      <c r="B280" s="7"/>
      <c r="C280" s="7"/>
      <c r="D280" s="7"/>
      <c r="E280" s="7"/>
      <c r="F280" s="7"/>
      <c r="G280" s="7"/>
      <c r="H280" s="7"/>
      <c r="I280" s="7"/>
      <c r="J280" s="7"/>
      <c r="K280" s="7"/>
      <c r="L280" s="7"/>
      <c r="M280" s="7"/>
      <c r="N280" s="7"/>
      <c r="O280" s="7"/>
    </row>
    <row r="281" spans="2:15" x14ac:dyDescent="0.35">
      <c r="B281" s="7"/>
      <c r="C281" s="7"/>
      <c r="D281" s="7"/>
      <c r="E281" s="7"/>
      <c r="F281" s="7"/>
      <c r="G281" s="7"/>
      <c r="H281" s="7"/>
      <c r="I281" s="7"/>
      <c r="J281" s="7"/>
      <c r="K281" s="7"/>
      <c r="L281" s="7"/>
      <c r="M281" s="7"/>
      <c r="N281" s="7"/>
      <c r="O281" s="7"/>
    </row>
    <row r="282" spans="2:15" x14ac:dyDescent="0.35">
      <c r="B282" s="7"/>
      <c r="C282" s="7"/>
      <c r="D282" s="7"/>
      <c r="E282" s="7"/>
      <c r="F282" s="7"/>
      <c r="G282" s="7"/>
      <c r="H282" s="7"/>
      <c r="I282" s="7"/>
      <c r="J282" s="7"/>
      <c r="K282" s="7"/>
      <c r="L282" s="7"/>
      <c r="M282" s="7"/>
      <c r="N282" s="7"/>
      <c r="O282" s="7"/>
    </row>
    <row r="283" spans="2:15" x14ac:dyDescent="0.35">
      <c r="B283" s="7"/>
      <c r="C283" s="7"/>
      <c r="D283" s="7"/>
      <c r="E283" s="7"/>
      <c r="F283" s="7"/>
      <c r="G283" s="7"/>
      <c r="H283" s="7"/>
      <c r="I283" s="7"/>
      <c r="J283" s="7"/>
      <c r="K283" s="7"/>
      <c r="L283" s="7"/>
      <c r="M283" s="7"/>
      <c r="N283" s="7"/>
      <c r="O283" s="7"/>
    </row>
    <row r="284" spans="2:15" x14ac:dyDescent="0.35">
      <c r="B284" s="7"/>
      <c r="C284" s="7"/>
      <c r="D284" s="7"/>
      <c r="E284" s="7"/>
      <c r="F284" s="7"/>
      <c r="G284" s="7"/>
      <c r="H284" s="7"/>
      <c r="I284" s="7"/>
      <c r="J284" s="7"/>
      <c r="K284" s="7"/>
      <c r="L284" s="7"/>
      <c r="M284" s="7"/>
      <c r="N284" s="7"/>
      <c r="O284" s="7"/>
    </row>
    <row r="285" spans="2:15" x14ac:dyDescent="0.35">
      <c r="B285" s="7"/>
      <c r="C285" s="7"/>
      <c r="D285" s="7"/>
      <c r="E285" s="7"/>
      <c r="F285" s="7"/>
      <c r="G285" s="7"/>
      <c r="H285" s="7"/>
      <c r="I285" s="7"/>
      <c r="J285" s="7"/>
      <c r="K285" s="7"/>
      <c r="L285" s="7"/>
      <c r="M285" s="7"/>
      <c r="N285" s="7"/>
      <c r="O285" s="7"/>
    </row>
    <row r="286" spans="2:15" x14ac:dyDescent="0.35">
      <c r="B286" s="7"/>
      <c r="C286" s="7"/>
      <c r="D286" s="7"/>
      <c r="E286" s="7"/>
      <c r="F286" s="7"/>
      <c r="G286" s="7"/>
      <c r="H286" s="7"/>
      <c r="I286" s="7"/>
      <c r="J286" s="7"/>
      <c r="K286" s="7"/>
      <c r="L286" s="7"/>
      <c r="M286" s="7"/>
      <c r="N286" s="7"/>
      <c r="O286" s="7"/>
    </row>
    <row r="287" spans="2:15" x14ac:dyDescent="0.35">
      <c r="B287" s="7"/>
      <c r="C287" s="7"/>
      <c r="D287" s="7"/>
      <c r="E287" s="7"/>
      <c r="F287" s="7"/>
      <c r="G287" s="7"/>
      <c r="H287" s="7"/>
      <c r="I287" s="7"/>
      <c r="J287" s="7"/>
      <c r="K287" s="7"/>
      <c r="L287" s="7"/>
      <c r="M287" s="7"/>
      <c r="N287" s="7"/>
      <c r="O287" s="7"/>
    </row>
    <row r="288" spans="2:15" x14ac:dyDescent="0.35">
      <c r="B288" s="7"/>
      <c r="C288" s="7"/>
      <c r="D288" s="7"/>
      <c r="E288" s="7"/>
      <c r="F288" s="7"/>
      <c r="G288" s="7"/>
      <c r="H288" s="7"/>
      <c r="I288" s="7"/>
      <c r="J288" s="7"/>
      <c r="K288" s="7"/>
      <c r="L288" s="7"/>
      <c r="M288" s="7"/>
      <c r="N288" s="7"/>
      <c r="O288" s="7"/>
    </row>
    <row r="289" spans="2:15" x14ac:dyDescent="0.35">
      <c r="B289" s="7"/>
      <c r="C289" s="7"/>
      <c r="D289" s="7"/>
      <c r="E289" s="7"/>
      <c r="F289" s="7"/>
      <c r="G289" s="7"/>
      <c r="H289" s="7"/>
      <c r="I289" s="7"/>
      <c r="J289" s="7"/>
      <c r="K289" s="7"/>
      <c r="L289" s="7"/>
      <c r="M289" s="7"/>
      <c r="N289" s="7"/>
      <c r="O289" s="7"/>
    </row>
    <row r="290" spans="2:15" x14ac:dyDescent="0.35">
      <c r="B290" s="7"/>
      <c r="C290" s="7"/>
      <c r="D290" s="7"/>
      <c r="E290" s="7"/>
      <c r="F290" s="7"/>
      <c r="G290" s="7"/>
      <c r="H290" s="7"/>
      <c r="I290" s="7"/>
      <c r="J290" s="7"/>
      <c r="K290" s="7"/>
      <c r="L290" s="7"/>
      <c r="M290" s="7"/>
      <c r="N290" s="7"/>
      <c r="O290" s="7"/>
    </row>
    <row r="291" spans="2:15" x14ac:dyDescent="0.35">
      <c r="B291" s="7"/>
      <c r="C291" s="7"/>
      <c r="D291" s="7"/>
      <c r="E291" s="7"/>
      <c r="F291" s="7"/>
      <c r="G291" s="7"/>
      <c r="H291" s="7"/>
      <c r="I291" s="7"/>
      <c r="J291" s="7"/>
      <c r="K291" s="7"/>
      <c r="L291" s="7"/>
      <c r="M291" s="7"/>
      <c r="N291" s="7"/>
      <c r="O291" s="7"/>
    </row>
    <row r="292" spans="2:15" x14ac:dyDescent="0.35">
      <c r="B292" s="7"/>
      <c r="C292" s="7"/>
      <c r="D292" s="7"/>
      <c r="E292" s="7"/>
      <c r="F292" s="7"/>
      <c r="G292" s="7"/>
      <c r="H292" s="7"/>
      <c r="I292" s="7"/>
      <c r="J292" s="7"/>
      <c r="K292" s="7"/>
      <c r="L292" s="7"/>
      <c r="M292" s="7"/>
      <c r="N292" s="7"/>
      <c r="O292" s="7"/>
    </row>
    <row r="293" spans="2:15" x14ac:dyDescent="0.35">
      <c r="B293" s="7"/>
      <c r="C293" s="7"/>
      <c r="D293" s="7"/>
      <c r="E293" s="7"/>
      <c r="F293" s="7"/>
      <c r="G293" s="7"/>
      <c r="H293" s="7"/>
      <c r="I293" s="7"/>
      <c r="J293" s="7"/>
      <c r="K293" s="7"/>
      <c r="L293" s="7"/>
      <c r="M293" s="7"/>
      <c r="N293" s="7"/>
      <c r="O293" s="7"/>
    </row>
    <row r="294" spans="2:15" x14ac:dyDescent="0.35">
      <c r="B294" s="7"/>
      <c r="C294" s="7"/>
      <c r="D294" s="7"/>
      <c r="E294" s="7"/>
      <c r="F294" s="7"/>
      <c r="G294" s="7"/>
      <c r="H294" s="7"/>
      <c r="I294" s="7"/>
      <c r="J294" s="7"/>
      <c r="K294" s="7"/>
      <c r="L294" s="7"/>
      <c r="M294" s="7"/>
      <c r="N294" s="7"/>
      <c r="O294" s="7"/>
    </row>
    <row r="295" spans="2:15" x14ac:dyDescent="0.35">
      <c r="B295" s="7"/>
      <c r="C295" s="7"/>
      <c r="D295" s="7"/>
      <c r="E295" s="7"/>
      <c r="F295" s="7"/>
      <c r="G295" s="7"/>
      <c r="H295" s="7"/>
      <c r="I295" s="7"/>
      <c r="J295" s="7"/>
      <c r="K295" s="7"/>
      <c r="L295" s="7"/>
      <c r="M295" s="7"/>
      <c r="N295" s="7"/>
      <c r="O295" s="7"/>
    </row>
    <row r="296" spans="2:15" x14ac:dyDescent="0.35">
      <c r="B296" s="7"/>
      <c r="C296" s="7"/>
      <c r="D296" s="7"/>
      <c r="E296" s="7"/>
      <c r="F296" s="7"/>
      <c r="G296" s="7"/>
      <c r="H296" s="7"/>
      <c r="I296" s="7"/>
      <c r="J296" s="7"/>
      <c r="K296" s="7"/>
      <c r="L296" s="7"/>
      <c r="M296" s="7"/>
      <c r="N296" s="7"/>
      <c r="O296" s="7"/>
    </row>
    <row r="297" spans="2:15" x14ac:dyDescent="0.35">
      <c r="B297" s="7"/>
      <c r="C297" s="7"/>
      <c r="D297" s="7"/>
      <c r="E297" s="7"/>
      <c r="F297" s="7"/>
      <c r="G297" s="7"/>
      <c r="H297" s="7"/>
      <c r="I297" s="7"/>
      <c r="J297" s="7"/>
      <c r="K297" s="7"/>
      <c r="L297" s="7"/>
      <c r="M297" s="7"/>
      <c r="N297" s="7"/>
      <c r="O297" s="7"/>
    </row>
    <row r="298" spans="2:15" x14ac:dyDescent="0.35">
      <c r="B298" s="7"/>
      <c r="C298" s="7"/>
      <c r="D298" s="7"/>
      <c r="E298" s="7"/>
      <c r="F298" s="7"/>
      <c r="G298" s="7"/>
      <c r="H298" s="7"/>
      <c r="I298" s="7"/>
      <c r="J298" s="7"/>
      <c r="K298" s="7"/>
      <c r="L298" s="7"/>
      <c r="M298" s="7"/>
      <c r="N298" s="7"/>
      <c r="O298" s="7"/>
    </row>
    <row r="299" spans="2:15" x14ac:dyDescent="0.35">
      <c r="B299" s="7"/>
      <c r="C299" s="7"/>
      <c r="D299" s="7"/>
      <c r="E299" s="7"/>
      <c r="F299" s="7"/>
      <c r="G299" s="7"/>
      <c r="H299" s="7"/>
      <c r="I299" s="7"/>
      <c r="J299" s="7"/>
      <c r="K299" s="7"/>
      <c r="L299" s="7"/>
      <c r="M299" s="7"/>
      <c r="N299" s="7"/>
      <c r="O299" s="7"/>
    </row>
    <row r="300" spans="2:15" x14ac:dyDescent="0.35">
      <c r="B300" s="7"/>
      <c r="C300" s="7"/>
      <c r="D300" s="7"/>
      <c r="E300" s="7"/>
      <c r="F300" s="7"/>
      <c r="G300" s="7"/>
      <c r="H300" s="7"/>
      <c r="I300" s="7"/>
      <c r="J300" s="7"/>
      <c r="K300" s="7"/>
      <c r="L300" s="7"/>
      <c r="M300" s="7"/>
      <c r="N300" s="7"/>
      <c r="O300" s="7"/>
    </row>
    <row r="301" spans="2:15" x14ac:dyDescent="0.35">
      <c r="B301" s="7"/>
      <c r="C301" s="7"/>
      <c r="D301" s="7"/>
      <c r="E301" s="7"/>
      <c r="F301" s="7"/>
      <c r="G301" s="7"/>
      <c r="H301" s="7"/>
      <c r="I301" s="7"/>
      <c r="J301" s="7"/>
      <c r="K301" s="7"/>
      <c r="L301" s="7"/>
      <c r="M301" s="7"/>
      <c r="N301" s="7"/>
      <c r="O301" s="7"/>
    </row>
    <row r="302" spans="2:15" x14ac:dyDescent="0.35">
      <c r="B302" s="7"/>
      <c r="C302" s="7"/>
      <c r="D302" s="7"/>
      <c r="E302" s="7"/>
      <c r="F302" s="7"/>
      <c r="G302" s="7"/>
      <c r="H302" s="7"/>
      <c r="I302" s="7"/>
      <c r="J302" s="7"/>
      <c r="K302" s="7"/>
      <c r="L302" s="7"/>
      <c r="M302" s="7"/>
      <c r="N302" s="7"/>
      <c r="O302" s="7"/>
    </row>
    <row r="303" spans="2:15" x14ac:dyDescent="0.35">
      <c r="B303" s="7"/>
      <c r="C303" s="7"/>
      <c r="D303" s="7"/>
      <c r="E303" s="7"/>
      <c r="F303" s="7"/>
      <c r="G303" s="7"/>
      <c r="H303" s="7"/>
      <c r="I303" s="7"/>
      <c r="J303" s="7"/>
      <c r="K303" s="7"/>
      <c r="L303" s="7"/>
      <c r="M303" s="7"/>
      <c r="N303" s="7"/>
      <c r="O303" s="7"/>
    </row>
    <row r="304" spans="2:15" x14ac:dyDescent="0.35">
      <c r="B304" s="7"/>
      <c r="C304" s="7"/>
      <c r="D304" s="7"/>
      <c r="E304" s="7"/>
      <c r="F304" s="7"/>
      <c r="G304" s="7"/>
      <c r="H304" s="7"/>
      <c r="I304" s="7"/>
      <c r="J304" s="7"/>
      <c r="K304" s="7"/>
      <c r="L304" s="7"/>
      <c r="M304" s="7"/>
      <c r="N304" s="7"/>
      <c r="O304" s="7"/>
    </row>
    <row r="305" spans="2:15" x14ac:dyDescent="0.35">
      <c r="B305" s="7"/>
      <c r="C305" s="7"/>
      <c r="D305" s="7"/>
      <c r="E305" s="7"/>
      <c r="F305" s="7"/>
      <c r="G305" s="7"/>
      <c r="H305" s="7"/>
      <c r="I305" s="7"/>
      <c r="J305" s="7"/>
      <c r="K305" s="7"/>
      <c r="L305" s="7"/>
      <c r="M305" s="7"/>
      <c r="N305" s="7"/>
      <c r="O305" s="7"/>
    </row>
    <row r="306" spans="2:15" x14ac:dyDescent="0.35">
      <c r="B306" s="7"/>
      <c r="C306" s="7"/>
      <c r="D306" s="7"/>
      <c r="E306" s="7"/>
      <c r="F306" s="7"/>
      <c r="G306" s="7"/>
      <c r="H306" s="7"/>
      <c r="I306" s="7"/>
      <c r="J306" s="7"/>
      <c r="K306" s="7"/>
      <c r="L306" s="7"/>
      <c r="M306" s="7"/>
      <c r="N306" s="7"/>
      <c r="O306" s="7"/>
    </row>
    <row r="307" spans="2:15" x14ac:dyDescent="0.35">
      <c r="B307" s="7"/>
      <c r="C307" s="7"/>
      <c r="D307" s="7"/>
      <c r="E307" s="7"/>
      <c r="F307" s="7"/>
      <c r="G307" s="7"/>
      <c r="H307" s="7"/>
      <c r="I307" s="7"/>
      <c r="J307" s="7"/>
      <c r="K307" s="7"/>
      <c r="L307" s="7"/>
      <c r="M307" s="7"/>
      <c r="N307" s="7"/>
      <c r="O307" s="7"/>
    </row>
    <row r="308" spans="2:15" ht="62.5" x14ac:dyDescent="1.4">
      <c r="B308" s="2" t="s">
        <v>47</v>
      </c>
      <c r="C308" s="13">
        <f>Game!B31</f>
        <v>46041</v>
      </c>
      <c r="D308" s="13">
        <f>C308+6</f>
        <v>46047</v>
      </c>
      <c r="E308" s="7"/>
      <c r="F308" s="7"/>
      <c r="G308" s="7"/>
      <c r="H308" s="7"/>
      <c r="I308" s="7"/>
      <c r="J308" s="7"/>
      <c r="K308" s="7"/>
      <c r="L308" s="7"/>
      <c r="M308" s="7"/>
      <c r="N308" s="7"/>
      <c r="O308" s="7"/>
    </row>
    <row r="309" spans="2:15" x14ac:dyDescent="0.35">
      <c r="B309" s="7"/>
      <c r="C309" s="7"/>
      <c r="D309" s="7"/>
      <c r="E309" s="7"/>
      <c r="F309" s="7"/>
      <c r="G309" s="7"/>
      <c r="H309" s="7"/>
      <c r="I309" s="7"/>
      <c r="J309" s="7"/>
      <c r="K309" s="7"/>
      <c r="L309" s="7"/>
      <c r="M309" s="7"/>
      <c r="N309" s="7"/>
      <c r="O309" s="7"/>
    </row>
    <row r="310" spans="2:15" x14ac:dyDescent="0.35">
      <c r="B310" s="7"/>
      <c r="C310" s="7"/>
      <c r="D310" s="7"/>
      <c r="E310" s="7"/>
      <c r="F310" s="7"/>
      <c r="G310" s="7"/>
      <c r="H310" s="7"/>
      <c r="I310" s="7"/>
      <c r="J310" s="7"/>
      <c r="K310" s="7"/>
      <c r="L310" s="7"/>
      <c r="M310" s="7"/>
      <c r="N310" s="7"/>
      <c r="O310" s="7"/>
    </row>
    <row r="311" spans="2:15" x14ac:dyDescent="0.35">
      <c r="B311" s="7"/>
      <c r="C311" s="7"/>
      <c r="D311" s="7"/>
      <c r="E311" s="7"/>
      <c r="F311" s="7"/>
      <c r="G311" s="7"/>
      <c r="H311" s="7"/>
      <c r="I311" s="7"/>
      <c r="J311" s="7"/>
      <c r="K311" s="7"/>
      <c r="L311" s="7"/>
      <c r="M311" s="7"/>
      <c r="N311" s="7"/>
      <c r="O311" s="7"/>
    </row>
    <row r="312" spans="2:15" x14ac:dyDescent="0.35">
      <c r="B312" s="7"/>
      <c r="C312" s="7"/>
      <c r="D312" s="7"/>
      <c r="E312" s="7"/>
      <c r="F312" s="7"/>
      <c r="G312" s="7"/>
      <c r="H312" s="7"/>
      <c r="I312" s="7"/>
      <c r="J312" s="7"/>
      <c r="K312" s="7"/>
      <c r="L312" s="7"/>
      <c r="M312" s="7"/>
      <c r="N312" s="7"/>
      <c r="O312" s="7"/>
    </row>
    <row r="313" spans="2:15" x14ac:dyDescent="0.35">
      <c r="B313" s="7"/>
      <c r="C313" s="7"/>
      <c r="D313" s="7"/>
      <c r="E313" s="7"/>
      <c r="F313" s="7"/>
      <c r="G313" s="7"/>
      <c r="H313" s="7"/>
      <c r="I313" s="7"/>
      <c r="J313" s="7"/>
      <c r="K313" s="7"/>
      <c r="L313" s="7"/>
      <c r="M313" s="7"/>
      <c r="N313" s="7"/>
      <c r="O313" s="7"/>
    </row>
    <row r="314" spans="2:15" x14ac:dyDescent="0.35">
      <c r="B314" s="7"/>
      <c r="C314" s="7"/>
      <c r="D314" s="7"/>
      <c r="E314" s="7"/>
      <c r="F314" s="7"/>
      <c r="G314" s="7"/>
      <c r="H314" s="7"/>
      <c r="I314" s="7"/>
      <c r="J314" s="7"/>
      <c r="K314" s="7"/>
      <c r="L314" s="7"/>
      <c r="M314" s="7"/>
      <c r="N314" s="7"/>
      <c r="O314" s="7"/>
    </row>
    <row r="315" spans="2:15" x14ac:dyDescent="0.35">
      <c r="B315" s="7"/>
      <c r="C315" s="7"/>
      <c r="D315" s="7"/>
      <c r="E315" s="7"/>
      <c r="F315" s="7"/>
      <c r="G315" s="7"/>
      <c r="H315" s="7"/>
      <c r="I315" s="7"/>
      <c r="J315" s="7"/>
      <c r="K315" s="7"/>
      <c r="L315" s="7"/>
      <c r="M315" s="7"/>
      <c r="N315" s="7"/>
      <c r="O315" s="7"/>
    </row>
    <row r="316" spans="2:15" x14ac:dyDescent="0.35">
      <c r="B316" s="7"/>
      <c r="C316" s="7"/>
      <c r="D316" s="7"/>
      <c r="E316" s="7"/>
      <c r="F316" s="7"/>
      <c r="G316" s="7"/>
      <c r="H316" s="7"/>
      <c r="I316" s="7"/>
      <c r="J316" s="7"/>
      <c r="K316" s="7"/>
      <c r="L316" s="7"/>
      <c r="M316" s="7"/>
      <c r="N316" s="7"/>
      <c r="O316" s="7"/>
    </row>
    <row r="317" spans="2:15" x14ac:dyDescent="0.35">
      <c r="B317" s="7"/>
      <c r="C317" s="7"/>
      <c r="D317" s="7"/>
      <c r="E317" s="7"/>
      <c r="F317" s="7"/>
      <c r="G317" s="7"/>
      <c r="H317" s="7"/>
      <c r="I317" s="7"/>
      <c r="J317" s="7"/>
      <c r="K317" s="7"/>
      <c r="L317" s="7"/>
      <c r="M317" s="7"/>
      <c r="N317" s="7"/>
      <c r="O317" s="7"/>
    </row>
    <row r="318" spans="2:15" x14ac:dyDescent="0.35">
      <c r="B318" s="7"/>
      <c r="C318" s="7"/>
      <c r="D318" s="7"/>
      <c r="E318" s="7"/>
      <c r="F318" s="7"/>
      <c r="G318" s="7"/>
      <c r="H318" s="7"/>
      <c r="I318" s="7"/>
      <c r="J318" s="7"/>
      <c r="K318" s="7"/>
      <c r="L318" s="7"/>
      <c r="M318" s="7"/>
      <c r="N318" s="7"/>
      <c r="O318" s="7"/>
    </row>
    <row r="319" spans="2:15" x14ac:dyDescent="0.35">
      <c r="B319" s="7"/>
      <c r="C319" s="7"/>
      <c r="D319" s="7"/>
      <c r="E319" s="7"/>
      <c r="F319" s="7"/>
      <c r="G319" s="7"/>
      <c r="H319" s="7"/>
      <c r="I319" s="7"/>
      <c r="J319" s="7"/>
      <c r="K319" s="7"/>
      <c r="L319" s="7"/>
      <c r="M319" s="7"/>
      <c r="N319" s="7"/>
      <c r="O319" s="7"/>
    </row>
    <row r="320" spans="2:15" x14ac:dyDescent="0.35">
      <c r="B320" s="7"/>
      <c r="C320" s="7"/>
      <c r="D320" s="7"/>
      <c r="E320" s="7"/>
      <c r="F320" s="7"/>
      <c r="G320" s="7"/>
      <c r="H320" s="7"/>
      <c r="I320" s="7"/>
      <c r="J320" s="7"/>
      <c r="K320" s="7"/>
      <c r="L320" s="7"/>
      <c r="M320" s="7"/>
      <c r="N320" s="7"/>
      <c r="O320" s="7"/>
    </row>
    <row r="321" spans="2:15" x14ac:dyDescent="0.35">
      <c r="B321" s="7"/>
      <c r="C321" s="7"/>
      <c r="D321" s="7"/>
      <c r="E321" s="7"/>
      <c r="F321" s="7"/>
      <c r="G321" s="7"/>
      <c r="H321" s="7"/>
      <c r="I321" s="7"/>
      <c r="J321" s="7"/>
      <c r="K321" s="7"/>
      <c r="L321" s="7"/>
      <c r="M321" s="7"/>
      <c r="N321" s="7"/>
      <c r="O321" s="7"/>
    </row>
    <row r="322" spans="2:15" x14ac:dyDescent="0.35">
      <c r="B322" s="7"/>
      <c r="C322" s="7"/>
      <c r="D322" s="7"/>
      <c r="E322" s="7"/>
      <c r="F322" s="7"/>
      <c r="G322" s="7"/>
      <c r="H322" s="7"/>
      <c r="I322" s="7"/>
      <c r="J322" s="7"/>
      <c r="K322" s="7"/>
      <c r="L322" s="7"/>
      <c r="M322" s="7"/>
      <c r="N322" s="7"/>
      <c r="O322" s="7"/>
    </row>
    <row r="323" spans="2:15" x14ac:dyDescent="0.35">
      <c r="B323" s="7"/>
      <c r="C323" s="7"/>
      <c r="D323" s="7"/>
      <c r="E323" s="7"/>
      <c r="F323" s="7"/>
      <c r="G323" s="7"/>
      <c r="H323" s="7"/>
      <c r="I323" s="7"/>
      <c r="J323" s="7"/>
      <c r="K323" s="7"/>
      <c r="L323" s="7"/>
      <c r="M323" s="7"/>
      <c r="N323" s="7"/>
      <c r="O323" s="7"/>
    </row>
    <row r="324" spans="2:15" x14ac:dyDescent="0.35">
      <c r="B324" s="7"/>
      <c r="C324" s="7"/>
      <c r="D324" s="7"/>
      <c r="E324" s="7"/>
      <c r="F324" s="7"/>
      <c r="G324" s="7"/>
      <c r="H324" s="7"/>
      <c r="I324" s="7"/>
      <c r="J324" s="7"/>
      <c r="K324" s="7"/>
      <c r="L324" s="7"/>
      <c r="M324" s="7"/>
      <c r="N324" s="7"/>
      <c r="O324" s="7"/>
    </row>
    <row r="325" spans="2:15" x14ac:dyDescent="0.35">
      <c r="B325" s="7"/>
      <c r="C325" s="7"/>
      <c r="D325" s="7"/>
      <c r="E325" s="7"/>
      <c r="F325" s="7"/>
      <c r="G325" s="7"/>
      <c r="H325" s="7"/>
      <c r="I325" s="7"/>
      <c r="J325" s="7"/>
      <c r="K325" s="7"/>
      <c r="L325" s="7"/>
      <c r="M325" s="7"/>
      <c r="N325" s="7"/>
      <c r="O325" s="7"/>
    </row>
    <row r="326" spans="2:15" x14ac:dyDescent="0.35">
      <c r="B326" s="7"/>
      <c r="C326" s="7"/>
      <c r="D326" s="7"/>
      <c r="E326" s="7"/>
      <c r="F326" s="7"/>
      <c r="G326" s="7"/>
      <c r="H326" s="7"/>
      <c r="I326" s="7"/>
      <c r="J326" s="7"/>
      <c r="K326" s="7"/>
      <c r="L326" s="7"/>
      <c r="M326" s="7"/>
      <c r="N326" s="7"/>
      <c r="O326" s="7"/>
    </row>
    <row r="327" spans="2:15" x14ac:dyDescent="0.35">
      <c r="B327" s="7"/>
      <c r="C327" s="7"/>
      <c r="D327" s="7"/>
      <c r="E327" s="7"/>
      <c r="F327" s="7"/>
      <c r="G327" s="7"/>
      <c r="H327" s="7"/>
      <c r="I327" s="7"/>
      <c r="J327" s="7"/>
      <c r="K327" s="7"/>
      <c r="L327" s="7"/>
      <c r="M327" s="7"/>
      <c r="N327" s="7"/>
      <c r="O327" s="7"/>
    </row>
    <row r="328" spans="2:15" x14ac:dyDescent="0.35">
      <c r="B328" s="7"/>
      <c r="C328" s="7"/>
      <c r="D328" s="7"/>
      <c r="E328" s="7"/>
      <c r="F328" s="7"/>
      <c r="G328" s="7"/>
      <c r="H328" s="7"/>
      <c r="I328" s="7"/>
      <c r="J328" s="7"/>
      <c r="K328" s="7"/>
      <c r="L328" s="7"/>
      <c r="M328" s="7"/>
      <c r="N328" s="7"/>
      <c r="O328" s="7"/>
    </row>
    <row r="329" spans="2:15" x14ac:dyDescent="0.35">
      <c r="B329" s="7"/>
      <c r="C329" s="7"/>
      <c r="D329" s="7"/>
      <c r="E329" s="7"/>
      <c r="F329" s="7"/>
      <c r="G329" s="7"/>
      <c r="H329" s="7"/>
      <c r="I329" s="7"/>
      <c r="J329" s="7"/>
      <c r="K329" s="7"/>
      <c r="L329" s="7"/>
      <c r="M329" s="7"/>
      <c r="N329" s="7"/>
      <c r="O329" s="7"/>
    </row>
    <row r="330" spans="2:15" x14ac:dyDescent="0.35">
      <c r="B330" s="7"/>
      <c r="C330" s="7"/>
      <c r="D330" s="7"/>
      <c r="E330" s="7"/>
      <c r="F330" s="7"/>
      <c r="G330" s="7"/>
      <c r="H330" s="7"/>
      <c r="I330" s="7"/>
      <c r="J330" s="7"/>
      <c r="K330" s="7"/>
      <c r="L330" s="7"/>
      <c r="M330" s="7"/>
      <c r="N330" s="7"/>
      <c r="O330" s="7"/>
    </row>
    <row r="331" spans="2:15" x14ac:dyDescent="0.35">
      <c r="B331" s="7"/>
      <c r="C331" s="7"/>
      <c r="D331" s="7"/>
      <c r="E331" s="7"/>
      <c r="F331" s="7"/>
      <c r="G331" s="7"/>
      <c r="H331" s="7"/>
      <c r="I331" s="7"/>
      <c r="J331" s="7"/>
      <c r="K331" s="7"/>
      <c r="L331" s="7"/>
      <c r="M331" s="7"/>
      <c r="N331" s="7"/>
      <c r="O331" s="7"/>
    </row>
    <row r="332" spans="2:15" x14ac:dyDescent="0.35">
      <c r="B332" s="7"/>
      <c r="C332" s="7"/>
      <c r="D332" s="7"/>
      <c r="E332" s="7"/>
      <c r="F332" s="7"/>
      <c r="G332" s="7"/>
      <c r="H332" s="7"/>
      <c r="I332" s="7"/>
      <c r="J332" s="7"/>
      <c r="K332" s="7"/>
      <c r="L332" s="7"/>
      <c r="M332" s="7"/>
      <c r="N332" s="7"/>
      <c r="O332" s="7"/>
    </row>
    <row r="333" spans="2:15" x14ac:dyDescent="0.35">
      <c r="B333" s="7"/>
      <c r="C333" s="7"/>
      <c r="D333" s="7"/>
      <c r="E333" s="7"/>
      <c r="F333" s="7"/>
      <c r="G333" s="7"/>
      <c r="H333" s="7"/>
      <c r="I333" s="7"/>
      <c r="J333" s="7"/>
      <c r="K333" s="7"/>
      <c r="L333" s="7"/>
      <c r="M333" s="7"/>
      <c r="N333" s="7"/>
      <c r="O333" s="7"/>
    </row>
    <row r="334" spans="2:15" x14ac:dyDescent="0.35">
      <c r="B334" s="7"/>
      <c r="C334" s="7"/>
      <c r="D334" s="7"/>
      <c r="E334" s="7"/>
      <c r="F334" s="7"/>
      <c r="G334" s="7"/>
      <c r="H334" s="7"/>
      <c r="I334" s="7"/>
      <c r="J334" s="7"/>
      <c r="K334" s="7"/>
      <c r="L334" s="7"/>
      <c r="M334" s="7"/>
      <c r="N334" s="7"/>
      <c r="O334" s="7"/>
    </row>
    <row r="335" spans="2:15" x14ac:dyDescent="0.35">
      <c r="B335" s="7"/>
      <c r="C335" s="7"/>
      <c r="D335" s="7"/>
      <c r="E335" s="7"/>
      <c r="F335" s="7"/>
      <c r="G335" s="7"/>
      <c r="H335" s="7"/>
      <c r="I335" s="7"/>
      <c r="J335" s="7"/>
      <c r="K335" s="7"/>
      <c r="L335" s="7"/>
      <c r="M335" s="7"/>
      <c r="N335" s="7"/>
      <c r="O335" s="7"/>
    </row>
    <row r="336" spans="2:15" x14ac:dyDescent="0.35">
      <c r="B336" s="7"/>
      <c r="C336" s="7"/>
      <c r="D336" s="7"/>
      <c r="E336" s="7"/>
      <c r="F336" s="7"/>
      <c r="G336" s="7"/>
      <c r="H336" s="7"/>
      <c r="I336" s="7"/>
      <c r="J336" s="7"/>
      <c r="K336" s="7"/>
      <c r="L336" s="7"/>
      <c r="M336" s="7"/>
      <c r="N336" s="7"/>
      <c r="O336" s="7"/>
    </row>
    <row r="337" spans="2:15" x14ac:dyDescent="0.35">
      <c r="B337" s="7"/>
      <c r="C337" s="7"/>
      <c r="D337" s="7"/>
      <c r="E337" s="7"/>
      <c r="F337" s="7"/>
      <c r="G337" s="7"/>
      <c r="H337" s="7"/>
      <c r="I337" s="7"/>
      <c r="J337" s="7"/>
      <c r="K337" s="7"/>
      <c r="L337" s="7"/>
      <c r="M337" s="7"/>
      <c r="N337" s="7"/>
      <c r="O337" s="7"/>
    </row>
    <row r="338" spans="2:15" x14ac:dyDescent="0.35">
      <c r="B338" s="7"/>
      <c r="C338" s="7"/>
      <c r="D338" s="7"/>
      <c r="E338" s="7"/>
      <c r="F338" s="7"/>
      <c r="G338" s="7"/>
      <c r="H338" s="7"/>
      <c r="I338" s="7"/>
      <c r="J338" s="7"/>
      <c r="K338" s="7"/>
      <c r="L338" s="7"/>
      <c r="M338" s="7"/>
      <c r="N338" s="7"/>
      <c r="O338" s="7"/>
    </row>
    <row r="339" spans="2:15" x14ac:dyDescent="0.35">
      <c r="B339" s="7"/>
      <c r="C339" s="7"/>
      <c r="D339" s="7"/>
      <c r="E339" s="7"/>
      <c r="F339" s="7"/>
      <c r="G339" s="7"/>
      <c r="H339" s="7"/>
      <c r="I339" s="7"/>
      <c r="J339" s="7"/>
      <c r="K339" s="7"/>
      <c r="L339" s="7"/>
      <c r="M339" s="7"/>
      <c r="N339" s="7"/>
      <c r="O339" s="7"/>
    </row>
    <row r="340" spans="2:15" x14ac:dyDescent="0.35">
      <c r="B340" s="7"/>
      <c r="C340" s="7"/>
      <c r="D340" s="7"/>
      <c r="E340" s="7"/>
      <c r="F340" s="7"/>
      <c r="G340" s="7"/>
      <c r="H340" s="7"/>
      <c r="I340" s="7"/>
      <c r="J340" s="7"/>
      <c r="K340" s="7"/>
      <c r="L340" s="7"/>
      <c r="M340" s="7"/>
      <c r="N340" s="7"/>
      <c r="O340" s="7"/>
    </row>
    <row r="341" spans="2:15" ht="62.5" x14ac:dyDescent="1.4">
      <c r="B341" s="2" t="s">
        <v>48</v>
      </c>
      <c r="C341" s="13">
        <f>Game!B45</f>
        <v>46048</v>
      </c>
      <c r="D341" s="13">
        <f>C341+6</f>
        <v>46054</v>
      </c>
      <c r="E341" s="7"/>
      <c r="F341" s="7"/>
      <c r="G341" s="7"/>
      <c r="H341" s="7"/>
      <c r="I341" s="7"/>
      <c r="J341" s="7"/>
      <c r="K341" s="7"/>
      <c r="L341" s="7"/>
      <c r="M341" s="7"/>
      <c r="N341" s="7"/>
      <c r="O341" s="7"/>
    </row>
    <row r="342" spans="2:15" x14ac:dyDescent="0.35">
      <c r="B342" s="7"/>
      <c r="C342" s="7"/>
      <c r="D342" s="7"/>
      <c r="E342" s="7"/>
      <c r="F342" s="7"/>
      <c r="G342" s="7"/>
      <c r="H342" s="7"/>
      <c r="I342" s="7"/>
      <c r="J342" s="7"/>
      <c r="K342" s="7"/>
      <c r="L342" s="7"/>
      <c r="M342" s="7"/>
      <c r="N342" s="7"/>
      <c r="O342" s="7"/>
    </row>
    <row r="343" spans="2:15" x14ac:dyDescent="0.35">
      <c r="B343" s="7"/>
      <c r="C343" s="7"/>
      <c r="D343" s="7"/>
      <c r="E343" s="7"/>
      <c r="F343" s="7"/>
      <c r="G343" s="7"/>
      <c r="H343" s="7"/>
      <c r="I343" s="7"/>
      <c r="J343" s="7"/>
      <c r="K343" s="7"/>
      <c r="L343" s="7"/>
      <c r="M343" s="7"/>
      <c r="N343" s="7"/>
      <c r="O343" s="7"/>
    </row>
    <row r="344" spans="2:15" x14ac:dyDescent="0.35">
      <c r="B344" s="7"/>
      <c r="C344" s="7"/>
      <c r="D344" s="7"/>
      <c r="E344" s="7"/>
      <c r="F344" s="7"/>
      <c r="G344" s="7"/>
      <c r="H344" s="7"/>
      <c r="I344" s="7"/>
      <c r="J344" s="7"/>
      <c r="K344" s="7"/>
      <c r="L344" s="7"/>
      <c r="M344" s="7"/>
      <c r="N344" s="7"/>
      <c r="O344" s="7"/>
    </row>
    <row r="345" spans="2:15" x14ac:dyDescent="0.35">
      <c r="B345" s="7"/>
      <c r="C345" s="7"/>
      <c r="D345" s="7"/>
      <c r="E345" s="7"/>
      <c r="F345" s="7"/>
      <c r="G345" s="7"/>
      <c r="H345" s="7"/>
      <c r="I345" s="7"/>
      <c r="J345" s="7"/>
      <c r="K345" s="7"/>
      <c r="L345" s="7"/>
      <c r="M345" s="7"/>
      <c r="N345" s="7"/>
      <c r="O345" s="7"/>
    </row>
    <row r="346" spans="2:15" x14ac:dyDescent="0.35">
      <c r="B346" s="7"/>
      <c r="C346" s="7"/>
      <c r="D346" s="7"/>
      <c r="E346" s="7"/>
      <c r="F346" s="7"/>
      <c r="G346" s="7"/>
      <c r="H346" s="7"/>
      <c r="I346" s="7"/>
      <c r="J346" s="7"/>
      <c r="K346" s="7"/>
      <c r="L346" s="7"/>
      <c r="M346" s="7"/>
      <c r="N346" s="7"/>
      <c r="O346" s="7"/>
    </row>
    <row r="347" spans="2:15" x14ac:dyDescent="0.35">
      <c r="B347" s="7"/>
      <c r="C347" s="7"/>
      <c r="D347" s="7"/>
      <c r="E347" s="7"/>
      <c r="F347" s="7"/>
      <c r="G347" s="7"/>
      <c r="H347" s="7"/>
      <c r="I347" s="7"/>
      <c r="J347" s="7"/>
      <c r="K347" s="7"/>
      <c r="L347" s="7"/>
      <c r="M347" s="7"/>
      <c r="N347" s="7"/>
      <c r="O347" s="7"/>
    </row>
    <row r="348" spans="2:15" x14ac:dyDescent="0.35">
      <c r="B348" s="7"/>
      <c r="C348" s="7"/>
      <c r="D348" s="7"/>
      <c r="E348" s="7"/>
      <c r="F348" s="7"/>
      <c r="G348" s="7"/>
      <c r="H348" s="7"/>
      <c r="I348" s="7"/>
      <c r="J348" s="7"/>
      <c r="K348" s="7"/>
      <c r="L348" s="7"/>
      <c r="M348" s="7"/>
      <c r="N348" s="7"/>
      <c r="O348" s="7"/>
    </row>
    <row r="349" spans="2:15" x14ac:dyDescent="0.35">
      <c r="B349" s="7"/>
      <c r="C349" s="7"/>
      <c r="D349" s="7"/>
      <c r="E349" s="7"/>
      <c r="F349" s="7"/>
      <c r="G349" s="7"/>
      <c r="H349" s="7"/>
      <c r="I349" s="7"/>
      <c r="J349" s="7"/>
      <c r="K349" s="7"/>
      <c r="L349" s="7"/>
      <c r="M349" s="7"/>
      <c r="N349" s="7"/>
      <c r="O349" s="7"/>
    </row>
    <row r="350" spans="2:15" x14ac:dyDescent="0.35">
      <c r="B350" s="7"/>
      <c r="C350" s="7"/>
      <c r="D350" s="7"/>
      <c r="E350" s="7"/>
      <c r="F350" s="7"/>
      <c r="G350" s="7"/>
      <c r="H350" s="7"/>
      <c r="I350" s="7"/>
      <c r="J350" s="7"/>
      <c r="K350" s="7"/>
      <c r="L350" s="7"/>
      <c r="M350" s="7"/>
      <c r="N350" s="7"/>
      <c r="O350" s="7"/>
    </row>
    <row r="351" spans="2:15" x14ac:dyDescent="0.35">
      <c r="B351" s="7"/>
      <c r="C351" s="7"/>
      <c r="D351" s="7"/>
      <c r="E351" s="7"/>
      <c r="F351" s="7"/>
      <c r="G351" s="7"/>
      <c r="H351" s="7"/>
      <c r="I351" s="7"/>
      <c r="J351" s="7"/>
      <c r="K351" s="7"/>
      <c r="L351" s="7"/>
      <c r="M351" s="7"/>
      <c r="N351" s="7"/>
      <c r="O351" s="7"/>
    </row>
    <row r="352" spans="2:15" x14ac:dyDescent="0.35">
      <c r="B352" s="7"/>
      <c r="C352" s="7"/>
      <c r="D352" s="7"/>
      <c r="E352" s="7"/>
      <c r="F352" s="7"/>
      <c r="G352" s="7"/>
      <c r="H352" s="7"/>
      <c r="I352" s="7"/>
      <c r="J352" s="7"/>
      <c r="K352" s="7"/>
      <c r="L352" s="7"/>
      <c r="M352" s="7"/>
      <c r="N352" s="7"/>
      <c r="O352" s="7"/>
    </row>
    <row r="353" spans="2:15" x14ac:dyDescent="0.35">
      <c r="B353" s="7"/>
      <c r="C353" s="7"/>
      <c r="D353" s="7"/>
      <c r="E353" s="7"/>
      <c r="F353" s="7"/>
      <c r="G353" s="7"/>
      <c r="H353" s="7"/>
      <c r="I353" s="7"/>
      <c r="J353" s="7"/>
      <c r="K353" s="7"/>
      <c r="L353" s="7"/>
      <c r="M353" s="7"/>
      <c r="N353" s="7"/>
      <c r="O353" s="7"/>
    </row>
    <row r="354" spans="2:15" x14ac:dyDescent="0.35">
      <c r="B354" s="7"/>
      <c r="C354" s="7"/>
      <c r="D354" s="7"/>
      <c r="E354" s="7"/>
      <c r="F354" s="7"/>
      <c r="G354" s="7"/>
      <c r="H354" s="7"/>
      <c r="I354" s="7"/>
      <c r="J354" s="7"/>
      <c r="K354" s="7"/>
      <c r="L354" s="7"/>
      <c r="M354" s="7"/>
      <c r="N354" s="7"/>
      <c r="O354" s="7"/>
    </row>
    <row r="355" spans="2:15" x14ac:dyDescent="0.35">
      <c r="B355" s="7"/>
      <c r="C355" s="7"/>
      <c r="D355" s="7"/>
      <c r="E355" s="7"/>
      <c r="F355" s="7"/>
      <c r="G355" s="7"/>
      <c r="H355" s="7"/>
      <c r="I355" s="7"/>
      <c r="J355" s="7"/>
      <c r="K355" s="7"/>
      <c r="L355" s="7"/>
      <c r="M355" s="7"/>
      <c r="N355" s="7"/>
      <c r="O355" s="7"/>
    </row>
    <row r="356" spans="2:15" x14ac:dyDescent="0.35">
      <c r="B356" s="7"/>
      <c r="C356" s="7"/>
      <c r="D356" s="7"/>
      <c r="E356" s="7"/>
      <c r="F356" s="7"/>
      <c r="G356" s="7"/>
      <c r="H356" s="7"/>
      <c r="I356" s="7"/>
      <c r="J356" s="7"/>
      <c r="K356" s="7"/>
      <c r="L356" s="7"/>
      <c r="M356" s="7"/>
      <c r="N356" s="7"/>
      <c r="O356" s="7"/>
    </row>
    <row r="357" spans="2:15" x14ac:dyDescent="0.35">
      <c r="B357" s="7"/>
      <c r="C357" s="7"/>
      <c r="D357" s="7"/>
      <c r="E357" s="7"/>
      <c r="F357" s="7"/>
      <c r="G357" s="7"/>
      <c r="H357" s="7"/>
      <c r="I357" s="7"/>
      <c r="J357" s="7"/>
      <c r="K357" s="7"/>
      <c r="L357" s="7"/>
      <c r="M357" s="7"/>
      <c r="N357" s="7"/>
      <c r="O357" s="7"/>
    </row>
    <row r="358" spans="2:15" x14ac:dyDescent="0.35">
      <c r="B358" s="7"/>
      <c r="C358" s="7"/>
      <c r="D358" s="7"/>
      <c r="E358" s="7"/>
      <c r="F358" s="7"/>
      <c r="G358" s="7"/>
      <c r="H358" s="7"/>
      <c r="I358" s="7"/>
      <c r="J358" s="7"/>
      <c r="K358" s="7"/>
      <c r="L358" s="7"/>
      <c r="M358" s="7"/>
      <c r="N358" s="7"/>
      <c r="O358" s="7"/>
    </row>
    <row r="359" spans="2:15" x14ac:dyDescent="0.35">
      <c r="B359" s="7"/>
      <c r="C359" s="7"/>
      <c r="D359" s="7"/>
      <c r="E359" s="7"/>
      <c r="F359" s="7"/>
      <c r="G359" s="7"/>
      <c r="H359" s="7"/>
      <c r="I359" s="7"/>
      <c r="J359" s="7"/>
      <c r="K359" s="7"/>
      <c r="L359" s="7"/>
      <c r="M359" s="7"/>
      <c r="N359" s="7"/>
      <c r="O359" s="7"/>
    </row>
    <row r="360" spans="2:15" x14ac:dyDescent="0.35">
      <c r="B360" s="7"/>
      <c r="C360" s="7"/>
      <c r="D360" s="7"/>
      <c r="E360" s="7"/>
      <c r="F360" s="7"/>
      <c r="G360" s="7"/>
      <c r="H360" s="7"/>
      <c r="I360" s="7"/>
      <c r="J360" s="7"/>
      <c r="K360" s="7"/>
      <c r="L360" s="7"/>
      <c r="M360" s="7"/>
      <c r="N360" s="7"/>
      <c r="O360" s="7"/>
    </row>
    <row r="361" spans="2:15" x14ac:dyDescent="0.35">
      <c r="B361" s="7"/>
      <c r="C361" s="7"/>
      <c r="D361" s="7"/>
      <c r="E361" s="7"/>
      <c r="F361" s="7"/>
      <c r="G361" s="7"/>
      <c r="H361" s="7"/>
      <c r="I361" s="7"/>
      <c r="J361" s="7"/>
      <c r="K361" s="7"/>
      <c r="L361" s="7"/>
      <c r="M361" s="7"/>
      <c r="N361" s="7"/>
      <c r="O361" s="7"/>
    </row>
    <row r="362" spans="2:15" x14ac:dyDescent="0.35">
      <c r="B362" s="7"/>
      <c r="C362" s="7"/>
      <c r="D362" s="7"/>
      <c r="E362" s="7"/>
      <c r="F362" s="7"/>
      <c r="G362" s="7"/>
      <c r="H362" s="7"/>
      <c r="I362" s="7"/>
      <c r="J362" s="7"/>
      <c r="K362" s="7"/>
      <c r="L362" s="7"/>
      <c r="M362" s="7"/>
      <c r="N362" s="7"/>
      <c r="O362" s="7"/>
    </row>
    <row r="363" spans="2:15" x14ac:dyDescent="0.35">
      <c r="B363" s="7"/>
      <c r="C363" s="7"/>
      <c r="D363" s="7"/>
      <c r="E363" s="7"/>
      <c r="F363" s="7"/>
      <c r="G363" s="7"/>
      <c r="H363" s="7"/>
      <c r="I363" s="7"/>
      <c r="J363" s="7"/>
      <c r="K363" s="7"/>
      <c r="L363" s="7"/>
      <c r="M363" s="7"/>
      <c r="N363" s="7"/>
      <c r="O363" s="7"/>
    </row>
    <row r="364" spans="2:15" x14ac:dyDescent="0.35">
      <c r="B364" s="7"/>
      <c r="C364" s="7"/>
      <c r="D364" s="7"/>
      <c r="E364" s="7"/>
      <c r="F364" s="7"/>
      <c r="G364" s="7"/>
      <c r="H364" s="7"/>
      <c r="I364" s="7"/>
      <c r="J364" s="7"/>
      <c r="K364" s="7"/>
      <c r="L364" s="7"/>
      <c r="M364" s="7"/>
      <c r="N364" s="7"/>
      <c r="O364" s="7"/>
    </row>
    <row r="365" spans="2:15" x14ac:dyDescent="0.35">
      <c r="B365" s="7"/>
      <c r="C365" s="7"/>
      <c r="D365" s="7"/>
      <c r="E365" s="7"/>
      <c r="F365" s="7"/>
      <c r="G365" s="7"/>
      <c r="H365" s="7"/>
      <c r="I365" s="7"/>
      <c r="J365" s="7"/>
      <c r="K365" s="7"/>
      <c r="L365" s="7"/>
      <c r="M365" s="7"/>
      <c r="N365" s="7"/>
      <c r="O365" s="7"/>
    </row>
    <row r="366" spans="2:15" x14ac:dyDescent="0.35">
      <c r="B366" s="7"/>
      <c r="C366" s="7"/>
      <c r="D366" s="7"/>
      <c r="E366" s="7"/>
      <c r="F366" s="7"/>
      <c r="G366" s="7"/>
      <c r="H366" s="7"/>
      <c r="I366" s="7"/>
      <c r="J366" s="7"/>
      <c r="K366" s="7"/>
      <c r="L366" s="7"/>
      <c r="M366" s="7"/>
      <c r="N366" s="7"/>
      <c r="O366" s="7"/>
    </row>
    <row r="367" spans="2:15" x14ac:dyDescent="0.35">
      <c r="B367" s="7"/>
      <c r="C367" s="7"/>
      <c r="D367" s="7"/>
      <c r="E367" s="7"/>
      <c r="F367" s="7"/>
      <c r="G367" s="7"/>
      <c r="H367" s="7"/>
      <c r="I367" s="7"/>
      <c r="J367" s="7"/>
      <c r="K367" s="7"/>
      <c r="L367" s="7"/>
      <c r="M367" s="7"/>
      <c r="N367" s="7"/>
      <c r="O367" s="7"/>
    </row>
    <row r="368" spans="2:15" x14ac:dyDescent="0.35">
      <c r="B368" s="7"/>
      <c r="C368" s="7"/>
      <c r="D368" s="7"/>
      <c r="E368" s="7"/>
      <c r="F368" s="7"/>
      <c r="G368" s="7"/>
      <c r="H368" s="7"/>
      <c r="I368" s="7"/>
      <c r="J368" s="7"/>
      <c r="K368" s="7"/>
      <c r="L368" s="7"/>
      <c r="M368" s="7"/>
      <c r="N368" s="7"/>
      <c r="O368" s="7"/>
    </row>
    <row r="369" spans="2:15" x14ac:dyDescent="0.35">
      <c r="B369" s="7"/>
      <c r="C369" s="7"/>
      <c r="D369" s="7"/>
      <c r="E369" s="7"/>
      <c r="F369" s="7"/>
      <c r="G369" s="7"/>
      <c r="H369" s="7"/>
      <c r="I369" s="7"/>
      <c r="J369" s="7"/>
      <c r="K369" s="7"/>
      <c r="L369" s="7"/>
      <c r="M369" s="7"/>
      <c r="N369" s="7"/>
      <c r="O369" s="7"/>
    </row>
    <row r="370" spans="2:15" x14ac:dyDescent="0.35">
      <c r="B370" s="7"/>
      <c r="C370" s="7"/>
      <c r="D370" s="7"/>
      <c r="E370" s="7"/>
      <c r="F370" s="7"/>
      <c r="G370" s="7"/>
      <c r="H370" s="7"/>
      <c r="I370" s="7"/>
      <c r="J370" s="7"/>
      <c r="K370" s="7"/>
      <c r="L370" s="7"/>
      <c r="M370" s="7"/>
      <c r="N370" s="7"/>
      <c r="O370" s="7"/>
    </row>
    <row r="371" spans="2:15" x14ac:dyDescent="0.35">
      <c r="B371" s="7"/>
      <c r="C371" s="7"/>
      <c r="D371" s="7"/>
      <c r="E371" s="7"/>
      <c r="F371" s="7"/>
      <c r="G371" s="7"/>
      <c r="H371" s="7"/>
      <c r="I371" s="7"/>
      <c r="J371" s="7"/>
      <c r="K371" s="7"/>
      <c r="L371" s="7"/>
      <c r="M371" s="7"/>
      <c r="N371" s="7"/>
      <c r="O371" s="7"/>
    </row>
    <row r="372" spans="2:15" x14ac:dyDescent="0.35">
      <c r="B372" s="7"/>
      <c r="C372" s="7"/>
      <c r="D372" s="7"/>
      <c r="E372" s="7"/>
      <c r="F372" s="7"/>
      <c r="G372" s="7"/>
      <c r="H372" s="7"/>
      <c r="I372" s="7"/>
      <c r="J372" s="7"/>
      <c r="K372" s="7"/>
      <c r="L372" s="7"/>
      <c r="M372" s="7"/>
      <c r="N372" s="7"/>
      <c r="O372" s="7"/>
    </row>
    <row r="373" spans="2:15" x14ac:dyDescent="0.35">
      <c r="B373" s="7"/>
      <c r="C373" s="7"/>
      <c r="D373" s="7"/>
      <c r="E373" s="7"/>
      <c r="F373" s="7"/>
      <c r="G373" s="7"/>
      <c r="H373" s="7"/>
      <c r="I373" s="7"/>
      <c r="J373" s="7"/>
      <c r="K373" s="7"/>
      <c r="L373" s="7"/>
      <c r="M373" s="7"/>
      <c r="N373" s="7"/>
      <c r="O373" s="7"/>
    </row>
    <row r="374" spans="2:15" ht="62.5" x14ac:dyDescent="1.4">
      <c r="B374" s="2" t="s">
        <v>49</v>
      </c>
      <c r="C374" s="13">
        <f>Game!B59</f>
        <v>46055</v>
      </c>
      <c r="D374" s="13">
        <f>C374+6</f>
        <v>46061</v>
      </c>
      <c r="E374" s="7"/>
      <c r="F374" s="7"/>
      <c r="G374" s="7"/>
      <c r="H374" s="7"/>
      <c r="I374" s="7"/>
      <c r="J374" s="7"/>
      <c r="K374" s="7"/>
      <c r="L374" s="7"/>
      <c r="M374" s="7"/>
      <c r="N374" s="7"/>
      <c r="O374" s="7"/>
    </row>
    <row r="375" spans="2:15" x14ac:dyDescent="0.35">
      <c r="B375" s="7"/>
      <c r="C375" s="7"/>
      <c r="D375" s="7"/>
      <c r="E375" s="7"/>
      <c r="F375" s="7"/>
      <c r="G375" s="7"/>
      <c r="H375" s="7"/>
      <c r="I375" s="7"/>
      <c r="J375" s="7"/>
      <c r="K375" s="7"/>
      <c r="L375" s="7"/>
      <c r="M375" s="7"/>
      <c r="N375" s="7"/>
      <c r="O375" s="7"/>
    </row>
    <row r="376" spans="2:15" x14ac:dyDescent="0.35">
      <c r="B376" s="7"/>
      <c r="C376" s="7"/>
      <c r="D376" s="7"/>
      <c r="E376" s="7"/>
      <c r="F376" s="7"/>
      <c r="G376" s="7"/>
      <c r="H376" s="7"/>
      <c r="I376" s="7"/>
      <c r="J376" s="7"/>
      <c r="K376" s="7"/>
      <c r="L376" s="7"/>
      <c r="M376" s="7"/>
      <c r="N376" s="7"/>
      <c r="O376" s="7"/>
    </row>
    <row r="377" spans="2:15" x14ac:dyDescent="0.35">
      <c r="B377" s="7"/>
      <c r="C377" s="7"/>
      <c r="D377" s="7"/>
      <c r="E377" s="7"/>
      <c r="F377" s="7"/>
      <c r="G377" s="7"/>
      <c r="H377" s="7"/>
      <c r="I377" s="7"/>
      <c r="J377" s="7"/>
      <c r="K377" s="7"/>
      <c r="L377" s="7"/>
      <c r="M377" s="7"/>
      <c r="N377" s="7"/>
      <c r="O377" s="7"/>
    </row>
    <row r="378" spans="2:15" x14ac:dyDescent="0.35">
      <c r="B378" s="7"/>
      <c r="C378" s="7"/>
      <c r="D378" s="7"/>
      <c r="E378" s="7"/>
      <c r="F378" s="7"/>
      <c r="G378" s="7"/>
      <c r="H378" s="7"/>
      <c r="I378" s="7"/>
      <c r="J378" s="7"/>
      <c r="K378" s="7"/>
      <c r="L378" s="7"/>
      <c r="M378" s="7"/>
      <c r="N378" s="7"/>
      <c r="O378" s="7"/>
    </row>
    <row r="379" spans="2:15" x14ac:dyDescent="0.35">
      <c r="B379" s="7"/>
      <c r="C379" s="7"/>
      <c r="D379" s="7"/>
      <c r="E379" s="7"/>
      <c r="F379" s="7"/>
      <c r="G379" s="7"/>
      <c r="H379" s="7"/>
      <c r="I379" s="7"/>
      <c r="J379" s="7"/>
      <c r="K379" s="7"/>
      <c r="L379" s="7"/>
      <c r="M379" s="7"/>
      <c r="N379" s="7"/>
      <c r="O379" s="7"/>
    </row>
    <row r="380" spans="2:15" x14ac:dyDescent="0.35">
      <c r="B380" s="7"/>
      <c r="C380" s="7"/>
      <c r="D380" s="7"/>
      <c r="E380" s="7"/>
      <c r="F380" s="7"/>
      <c r="G380" s="7"/>
      <c r="H380" s="7"/>
      <c r="I380" s="7"/>
      <c r="J380" s="7"/>
      <c r="K380" s="7"/>
      <c r="L380" s="7"/>
      <c r="M380" s="7"/>
      <c r="N380" s="7"/>
      <c r="O380" s="7"/>
    </row>
    <row r="381" spans="2:15" x14ac:dyDescent="0.35">
      <c r="B381" s="7"/>
      <c r="C381" s="7"/>
      <c r="D381" s="7"/>
      <c r="E381" s="7"/>
      <c r="F381" s="7"/>
      <c r="G381" s="7"/>
      <c r="H381" s="7"/>
      <c r="I381" s="7"/>
      <c r="J381" s="7"/>
      <c r="K381" s="7"/>
      <c r="L381" s="7"/>
      <c r="M381" s="7"/>
      <c r="N381" s="7"/>
      <c r="O381" s="7"/>
    </row>
    <row r="382" spans="2:15" x14ac:dyDescent="0.35">
      <c r="B382" s="7"/>
      <c r="C382" s="7"/>
      <c r="D382" s="7"/>
      <c r="E382" s="7"/>
      <c r="F382" s="7"/>
      <c r="G382" s="7"/>
      <c r="H382" s="7"/>
      <c r="I382" s="7"/>
      <c r="J382" s="7"/>
      <c r="K382" s="7"/>
      <c r="L382" s="7"/>
      <c r="M382" s="7"/>
      <c r="N382" s="7"/>
      <c r="O382" s="7"/>
    </row>
    <row r="383" spans="2:15" x14ac:dyDescent="0.35">
      <c r="B383" s="7"/>
      <c r="C383" s="7"/>
      <c r="D383" s="7"/>
      <c r="E383" s="7"/>
      <c r="F383" s="7"/>
      <c r="G383" s="7"/>
      <c r="H383" s="7"/>
      <c r="I383" s="7"/>
      <c r="J383" s="7"/>
      <c r="K383" s="7"/>
      <c r="L383" s="7"/>
      <c r="M383" s="7"/>
      <c r="N383" s="7"/>
      <c r="O383" s="7"/>
    </row>
    <row r="384" spans="2:15" x14ac:dyDescent="0.35">
      <c r="B384" s="7"/>
      <c r="C384" s="7"/>
      <c r="D384" s="7"/>
      <c r="E384" s="7"/>
      <c r="F384" s="7"/>
      <c r="G384" s="7"/>
      <c r="H384" s="7"/>
      <c r="I384" s="7"/>
      <c r="J384" s="7"/>
      <c r="K384" s="7"/>
      <c r="L384" s="7"/>
      <c r="M384" s="7"/>
      <c r="N384" s="7"/>
      <c r="O384" s="7"/>
    </row>
    <row r="385" spans="2:15" x14ac:dyDescent="0.35">
      <c r="B385" s="7"/>
      <c r="C385" s="7"/>
      <c r="D385" s="7"/>
      <c r="E385" s="7"/>
      <c r="F385" s="7"/>
      <c r="G385" s="7"/>
      <c r="H385" s="7"/>
      <c r="I385" s="7"/>
      <c r="J385" s="7"/>
      <c r="K385" s="7"/>
      <c r="L385" s="7"/>
      <c r="M385" s="7"/>
      <c r="N385" s="7"/>
      <c r="O385" s="7"/>
    </row>
    <row r="386" spans="2:15" x14ac:dyDescent="0.35">
      <c r="B386" s="7"/>
      <c r="C386" s="7"/>
      <c r="D386" s="7"/>
      <c r="E386" s="7"/>
      <c r="F386" s="7"/>
      <c r="G386" s="7"/>
      <c r="H386" s="7"/>
      <c r="I386" s="7"/>
      <c r="J386" s="7"/>
      <c r="K386" s="7"/>
      <c r="L386" s="7"/>
      <c r="M386" s="7"/>
      <c r="N386" s="7"/>
      <c r="O386" s="7"/>
    </row>
    <row r="387" spans="2:15" x14ac:dyDescent="0.35">
      <c r="B387" s="7"/>
      <c r="C387" s="7"/>
      <c r="D387" s="7"/>
      <c r="E387" s="7"/>
      <c r="F387" s="7"/>
      <c r="G387" s="7"/>
      <c r="H387" s="7"/>
      <c r="I387" s="7"/>
      <c r="J387" s="7"/>
      <c r="K387" s="7"/>
      <c r="L387" s="7"/>
      <c r="M387" s="7"/>
      <c r="N387" s="7"/>
      <c r="O387" s="7"/>
    </row>
    <row r="388" spans="2:15" x14ac:dyDescent="0.35">
      <c r="B388" s="7"/>
      <c r="C388" s="7"/>
      <c r="D388" s="7"/>
      <c r="E388" s="7"/>
      <c r="F388" s="7"/>
      <c r="G388" s="7"/>
      <c r="H388" s="7"/>
      <c r="I388" s="7"/>
      <c r="J388" s="7"/>
      <c r="K388" s="7"/>
      <c r="L388" s="7"/>
      <c r="M388" s="7"/>
      <c r="N388" s="7"/>
      <c r="O388" s="7"/>
    </row>
    <row r="389" spans="2:15" x14ac:dyDescent="0.35">
      <c r="B389" s="7"/>
      <c r="C389" s="7"/>
      <c r="D389" s="7"/>
      <c r="E389" s="7"/>
      <c r="F389" s="7"/>
      <c r="G389" s="7"/>
      <c r="H389" s="7"/>
      <c r="I389" s="7"/>
      <c r="J389" s="7"/>
      <c r="K389" s="7"/>
      <c r="L389" s="7"/>
      <c r="M389" s="7"/>
      <c r="N389" s="7"/>
      <c r="O389" s="7"/>
    </row>
    <row r="390" spans="2:15" x14ac:dyDescent="0.35">
      <c r="B390" s="7"/>
      <c r="C390" s="7"/>
      <c r="D390" s="7"/>
      <c r="E390" s="7"/>
      <c r="F390" s="7"/>
      <c r="G390" s="7"/>
      <c r="H390" s="7"/>
      <c r="I390" s="7"/>
      <c r="J390" s="7"/>
      <c r="K390" s="7"/>
      <c r="L390" s="7"/>
      <c r="M390" s="7"/>
      <c r="N390" s="7"/>
      <c r="O390" s="7"/>
    </row>
    <row r="391" spans="2:15" x14ac:dyDescent="0.35">
      <c r="B391" s="7"/>
      <c r="C391" s="7"/>
      <c r="D391" s="7"/>
      <c r="E391" s="7"/>
      <c r="F391" s="7"/>
      <c r="G391" s="7"/>
      <c r="H391" s="7"/>
      <c r="I391" s="7"/>
      <c r="J391" s="7"/>
      <c r="K391" s="7"/>
      <c r="L391" s="7"/>
      <c r="M391" s="7"/>
      <c r="N391" s="7"/>
      <c r="O391" s="7"/>
    </row>
    <row r="392" spans="2:15" x14ac:dyDescent="0.35">
      <c r="B392" s="7"/>
      <c r="C392" s="7"/>
      <c r="D392" s="7"/>
      <c r="E392" s="7"/>
      <c r="F392" s="7"/>
      <c r="G392" s="7"/>
      <c r="H392" s="7"/>
      <c r="I392" s="7"/>
      <c r="J392" s="7"/>
      <c r="K392" s="7"/>
      <c r="L392" s="7"/>
      <c r="M392" s="7"/>
      <c r="N392" s="7"/>
      <c r="O392" s="7"/>
    </row>
    <row r="393" spans="2:15" x14ac:dyDescent="0.35">
      <c r="B393" s="7"/>
      <c r="C393" s="7"/>
      <c r="D393" s="7"/>
      <c r="E393" s="7"/>
      <c r="F393" s="7"/>
      <c r="G393" s="7"/>
      <c r="H393" s="7"/>
      <c r="I393" s="7"/>
      <c r="J393" s="7"/>
      <c r="K393" s="7"/>
      <c r="L393" s="7"/>
      <c r="M393" s="7"/>
      <c r="N393" s="7"/>
      <c r="O393" s="7"/>
    </row>
    <row r="394" spans="2:15" x14ac:dyDescent="0.35">
      <c r="B394" s="7"/>
      <c r="C394" s="7"/>
      <c r="D394" s="7"/>
      <c r="E394" s="7"/>
      <c r="F394" s="7"/>
      <c r="G394" s="7"/>
      <c r="H394" s="7"/>
      <c r="I394" s="7"/>
      <c r="J394" s="7"/>
      <c r="K394" s="7"/>
      <c r="L394" s="7"/>
      <c r="M394" s="7"/>
      <c r="N394" s="7"/>
      <c r="O394" s="7"/>
    </row>
    <row r="395" spans="2:15" x14ac:dyDescent="0.35">
      <c r="B395" s="7"/>
      <c r="C395" s="7"/>
      <c r="D395" s="7"/>
      <c r="E395" s="7"/>
      <c r="F395" s="7"/>
      <c r="G395" s="7"/>
      <c r="H395" s="7"/>
      <c r="I395" s="7"/>
      <c r="J395" s="7"/>
      <c r="K395" s="7"/>
      <c r="L395" s="7"/>
      <c r="M395" s="7"/>
      <c r="N395" s="7"/>
      <c r="O395" s="7"/>
    </row>
    <row r="396" spans="2:15" x14ac:dyDescent="0.35">
      <c r="B396" s="7"/>
      <c r="C396" s="7"/>
      <c r="D396" s="7"/>
      <c r="E396" s="7"/>
      <c r="F396" s="7"/>
      <c r="G396" s="7"/>
      <c r="H396" s="7"/>
      <c r="I396" s="7"/>
      <c r="J396" s="7"/>
      <c r="K396" s="7"/>
      <c r="L396" s="7"/>
      <c r="M396" s="7"/>
      <c r="N396" s="7"/>
      <c r="O396" s="7"/>
    </row>
    <row r="397" spans="2:15" x14ac:dyDescent="0.35">
      <c r="B397" s="7"/>
      <c r="C397" s="7"/>
      <c r="D397" s="7"/>
      <c r="E397" s="7"/>
      <c r="F397" s="7"/>
      <c r="G397" s="7"/>
      <c r="H397" s="7"/>
      <c r="I397" s="7"/>
      <c r="J397" s="7"/>
      <c r="K397" s="7"/>
      <c r="L397" s="7"/>
      <c r="M397" s="7"/>
      <c r="N397" s="7"/>
      <c r="O397" s="7"/>
    </row>
    <row r="398" spans="2:15" x14ac:dyDescent="0.35">
      <c r="B398" s="7"/>
      <c r="C398" s="7"/>
      <c r="D398" s="7"/>
      <c r="E398" s="7"/>
      <c r="F398" s="7"/>
      <c r="G398" s="7"/>
      <c r="H398" s="7"/>
      <c r="I398" s="7"/>
      <c r="J398" s="7"/>
      <c r="K398" s="7"/>
      <c r="L398" s="7"/>
      <c r="M398" s="7"/>
      <c r="N398" s="7"/>
      <c r="O398" s="7"/>
    </row>
    <row r="399" spans="2:15" x14ac:dyDescent="0.35">
      <c r="B399" s="7"/>
      <c r="C399" s="7"/>
      <c r="D399" s="7"/>
      <c r="E399" s="7"/>
      <c r="F399" s="7"/>
      <c r="G399" s="7"/>
      <c r="H399" s="7"/>
      <c r="I399" s="7"/>
      <c r="J399" s="7"/>
      <c r="K399" s="7"/>
      <c r="L399" s="7"/>
      <c r="M399" s="7"/>
      <c r="N399" s="7"/>
      <c r="O399" s="7"/>
    </row>
    <row r="400" spans="2:15" x14ac:dyDescent="0.35">
      <c r="B400" s="7"/>
      <c r="C400" s="7"/>
      <c r="D400" s="7"/>
      <c r="E400" s="7"/>
      <c r="F400" s="7"/>
      <c r="G400" s="7"/>
      <c r="H400" s="7"/>
      <c r="I400" s="7"/>
      <c r="J400" s="7"/>
      <c r="K400" s="7"/>
      <c r="L400" s="7"/>
      <c r="M400" s="7"/>
      <c r="N400" s="7"/>
      <c r="O400" s="7"/>
    </row>
    <row r="401" spans="2:15" x14ac:dyDescent="0.35">
      <c r="B401" s="7"/>
      <c r="C401" s="7"/>
      <c r="D401" s="7"/>
      <c r="E401" s="7"/>
      <c r="F401" s="7"/>
      <c r="G401" s="7"/>
      <c r="H401" s="7"/>
      <c r="I401" s="7"/>
      <c r="J401" s="7"/>
      <c r="K401" s="7"/>
      <c r="L401" s="7"/>
      <c r="M401" s="7"/>
      <c r="N401" s="7"/>
      <c r="O401" s="7"/>
    </row>
    <row r="402" spans="2:15" x14ac:dyDescent="0.35">
      <c r="B402" s="7"/>
      <c r="C402" s="7"/>
      <c r="D402" s="7"/>
      <c r="E402" s="7"/>
      <c r="F402" s="7"/>
      <c r="G402" s="7"/>
      <c r="H402" s="7"/>
      <c r="I402" s="7"/>
      <c r="J402" s="7"/>
      <c r="K402" s="7"/>
      <c r="L402" s="7"/>
      <c r="M402" s="7"/>
      <c r="N402" s="7"/>
      <c r="O402" s="7"/>
    </row>
    <row r="403" spans="2:15" x14ac:dyDescent="0.35">
      <c r="B403" s="7"/>
      <c r="C403" s="7"/>
      <c r="D403" s="7"/>
      <c r="E403" s="7"/>
      <c r="F403" s="7"/>
      <c r="G403" s="7"/>
      <c r="H403" s="7"/>
      <c r="I403" s="7"/>
      <c r="J403" s="7"/>
      <c r="K403" s="7"/>
      <c r="L403" s="7"/>
      <c r="M403" s="7"/>
      <c r="N403" s="7"/>
      <c r="O403" s="7"/>
    </row>
    <row r="404" spans="2:15" x14ac:dyDescent="0.35">
      <c r="B404" s="7"/>
      <c r="C404" s="7"/>
      <c r="D404" s="7"/>
      <c r="E404" s="7"/>
      <c r="F404" s="7"/>
      <c r="G404" s="7"/>
      <c r="H404" s="7"/>
      <c r="I404" s="7"/>
      <c r="J404" s="7"/>
      <c r="K404" s="7"/>
      <c r="L404" s="7"/>
      <c r="M404" s="7"/>
      <c r="N404" s="7"/>
      <c r="O404" s="7"/>
    </row>
    <row r="405" spans="2:15" x14ac:dyDescent="0.35">
      <c r="B405" s="7"/>
      <c r="C405" s="7"/>
      <c r="D405" s="7"/>
      <c r="E405" s="7"/>
      <c r="F405" s="7"/>
      <c r="G405" s="7"/>
      <c r="H405" s="7"/>
      <c r="I405" s="7"/>
      <c r="J405" s="7"/>
      <c r="K405" s="7"/>
      <c r="L405" s="7"/>
      <c r="M405" s="7"/>
      <c r="N405" s="7"/>
      <c r="O405" s="7"/>
    </row>
    <row r="406" spans="2:15" x14ac:dyDescent="0.35">
      <c r="B406" s="7"/>
      <c r="C406" s="7"/>
      <c r="D406" s="7"/>
      <c r="E406" s="7"/>
      <c r="F406" s="7"/>
      <c r="G406" s="7"/>
      <c r="H406" s="7"/>
      <c r="I406" s="7"/>
      <c r="J406" s="7"/>
      <c r="K406" s="7"/>
      <c r="L406" s="7"/>
      <c r="M406" s="7"/>
      <c r="N406" s="7"/>
      <c r="O406" s="7"/>
    </row>
    <row r="407" spans="2:15" x14ac:dyDescent="0.35">
      <c r="B407" s="7"/>
      <c r="C407" s="7"/>
      <c r="D407" s="7"/>
      <c r="E407" s="7"/>
      <c r="F407" s="7"/>
      <c r="G407" s="7"/>
      <c r="H407" s="7"/>
      <c r="I407" s="7"/>
      <c r="J407" s="7"/>
      <c r="K407" s="7"/>
      <c r="L407" s="7"/>
      <c r="M407" s="7"/>
      <c r="N407" s="7"/>
      <c r="O407" s="7"/>
    </row>
    <row r="408" spans="2:15" x14ac:dyDescent="0.35">
      <c r="B408" s="7"/>
      <c r="C408" s="7"/>
      <c r="D408" s="7"/>
      <c r="E408" s="7"/>
      <c r="F408" s="7"/>
      <c r="G408" s="7"/>
      <c r="H408" s="7"/>
      <c r="I408" s="7"/>
      <c r="J408" s="7"/>
      <c r="K408" s="7"/>
      <c r="L408" s="7"/>
      <c r="M408" s="7"/>
      <c r="N408" s="7"/>
      <c r="O408" s="7"/>
    </row>
    <row r="409" spans="2:15" ht="62.5" x14ac:dyDescent="1.4">
      <c r="B409" s="2" t="s">
        <v>50</v>
      </c>
      <c r="C409" s="13">
        <f>Game!B73</f>
        <v>46062</v>
      </c>
      <c r="D409" s="13">
        <f>C409+6</f>
        <v>46068</v>
      </c>
      <c r="E409" s="7"/>
      <c r="F409" s="7"/>
      <c r="G409" s="7"/>
      <c r="H409" s="7"/>
      <c r="I409" s="7"/>
      <c r="J409" s="7"/>
      <c r="K409" s="7"/>
      <c r="L409" s="7"/>
      <c r="M409" s="7"/>
      <c r="N409" s="7"/>
      <c r="O409" s="7"/>
    </row>
    <row r="410" spans="2:15" x14ac:dyDescent="0.35">
      <c r="B410" s="7"/>
      <c r="C410" s="7"/>
      <c r="D410" s="7"/>
      <c r="E410" s="7"/>
      <c r="F410" s="7"/>
      <c r="G410" s="7"/>
      <c r="H410" s="7"/>
      <c r="I410" s="7"/>
      <c r="J410" s="7"/>
      <c r="K410" s="7"/>
      <c r="L410" s="7"/>
      <c r="M410" s="7"/>
      <c r="N410" s="7"/>
      <c r="O410" s="7"/>
    </row>
    <row r="411" spans="2:15" x14ac:dyDescent="0.35">
      <c r="B411" s="7"/>
      <c r="C411" s="7"/>
      <c r="D411" s="7"/>
      <c r="E411" s="7"/>
      <c r="F411" s="7"/>
      <c r="G411" s="7"/>
      <c r="H411" s="7"/>
      <c r="I411" s="7"/>
      <c r="J411" s="7"/>
      <c r="K411" s="7"/>
      <c r="L411" s="7"/>
      <c r="M411" s="7"/>
      <c r="N411" s="7"/>
      <c r="O411" s="7"/>
    </row>
    <row r="412" spans="2:15" x14ac:dyDescent="0.35">
      <c r="B412" s="7"/>
      <c r="C412" s="7"/>
      <c r="D412" s="7"/>
      <c r="E412" s="7"/>
      <c r="F412" s="7"/>
      <c r="G412" s="7"/>
      <c r="H412" s="7"/>
      <c r="I412" s="7"/>
      <c r="J412" s="7"/>
      <c r="K412" s="7"/>
      <c r="L412" s="7"/>
      <c r="M412" s="7"/>
      <c r="N412" s="7"/>
      <c r="O412" s="7"/>
    </row>
    <row r="413" spans="2:15" x14ac:dyDescent="0.35">
      <c r="B413" s="7"/>
      <c r="C413" s="7"/>
      <c r="D413" s="7"/>
      <c r="E413" s="7"/>
      <c r="F413" s="7"/>
      <c r="G413" s="7"/>
      <c r="H413" s="7"/>
      <c r="I413" s="7"/>
      <c r="J413" s="7"/>
      <c r="K413" s="7"/>
      <c r="L413" s="7"/>
      <c r="M413" s="7"/>
      <c r="N413" s="7"/>
      <c r="O413" s="7"/>
    </row>
    <row r="414" spans="2:15" x14ac:dyDescent="0.35">
      <c r="B414" s="7"/>
      <c r="C414" s="7"/>
      <c r="D414" s="7"/>
      <c r="E414" s="7"/>
      <c r="F414" s="7"/>
      <c r="G414" s="7"/>
      <c r="H414" s="7"/>
      <c r="I414" s="7"/>
      <c r="J414" s="7"/>
      <c r="K414" s="7"/>
      <c r="L414" s="7"/>
      <c r="M414" s="7"/>
      <c r="N414" s="7"/>
      <c r="O414" s="7"/>
    </row>
    <row r="415" spans="2:15" x14ac:dyDescent="0.35">
      <c r="B415" s="7"/>
      <c r="C415" s="7"/>
      <c r="D415" s="7"/>
      <c r="E415" s="7"/>
      <c r="F415" s="7"/>
      <c r="G415" s="7"/>
      <c r="H415" s="7"/>
      <c r="I415" s="7"/>
      <c r="J415" s="7"/>
      <c r="K415" s="7"/>
      <c r="L415" s="7"/>
      <c r="M415" s="7"/>
      <c r="N415" s="7"/>
      <c r="O415" s="7"/>
    </row>
    <row r="416" spans="2:15" x14ac:dyDescent="0.35">
      <c r="B416" s="7"/>
      <c r="C416" s="7"/>
      <c r="D416" s="7"/>
      <c r="E416" s="7"/>
      <c r="F416" s="7"/>
      <c r="G416" s="7"/>
      <c r="H416" s="7"/>
      <c r="I416" s="7"/>
      <c r="J416" s="7"/>
      <c r="K416" s="7"/>
      <c r="L416" s="7"/>
      <c r="M416" s="7"/>
      <c r="N416" s="7"/>
      <c r="O416" s="7"/>
    </row>
    <row r="417" spans="2:15" x14ac:dyDescent="0.35">
      <c r="B417" s="7"/>
      <c r="C417" s="7"/>
      <c r="D417" s="7"/>
      <c r="E417" s="7"/>
      <c r="F417" s="7"/>
      <c r="G417" s="7"/>
      <c r="H417" s="7"/>
      <c r="I417" s="7"/>
      <c r="J417" s="7"/>
      <c r="K417" s="7"/>
      <c r="L417" s="7"/>
      <c r="M417" s="7"/>
      <c r="N417" s="7"/>
      <c r="O417" s="7"/>
    </row>
    <row r="418" spans="2:15" x14ac:dyDescent="0.35">
      <c r="B418" s="7"/>
      <c r="C418" s="7"/>
      <c r="D418" s="7"/>
      <c r="E418" s="7"/>
      <c r="F418" s="7"/>
      <c r="G418" s="7"/>
      <c r="H418" s="7"/>
      <c r="I418" s="7"/>
      <c r="J418" s="7"/>
      <c r="K418" s="7"/>
      <c r="L418" s="7"/>
      <c r="M418" s="7"/>
      <c r="N418" s="7"/>
      <c r="O418" s="7"/>
    </row>
    <row r="419" spans="2:15" x14ac:dyDescent="0.35">
      <c r="B419" s="7"/>
      <c r="C419" s="7"/>
      <c r="D419" s="7"/>
      <c r="E419" s="7"/>
      <c r="F419" s="7"/>
      <c r="G419" s="7"/>
      <c r="H419" s="7"/>
      <c r="I419" s="7"/>
      <c r="J419" s="7"/>
      <c r="K419" s="7"/>
      <c r="L419" s="7"/>
      <c r="M419" s="7"/>
      <c r="N419" s="7"/>
      <c r="O419" s="7"/>
    </row>
    <row r="420" spans="2:15" x14ac:dyDescent="0.35">
      <c r="B420" s="7"/>
      <c r="C420" s="7"/>
      <c r="D420" s="7"/>
      <c r="E420" s="7"/>
      <c r="F420" s="7"/>
      <c r="G420" s="7"/>
      <c r="H420" s="7"/>
      <c r="I420" s="7"/>
      <c r="J420" s="7"/>
      <c r="K420" s="7"/>
      <c r="L420" s="7"/>
      <c r="M420" s="7"/>
      <c r="N420" s="7"/>
      <c r="O420" s="7"/>
    </row>
    <row r="421" spans="2:15" x14ac:dyDescent="0.35">
      <c r="B421" s="7"/>
      <c r="C421" s="7"/>
      <c r="D421" s="7"/>
      <c r="E421" s="7"/>
      <c r="F421" s="7"/>
      <c r="G421" s="7"/>
      <c r="H421" s="7"/>
      <c r="I421" s="7"/>
      <c r="J421" s="7"/>
      <c r="K421" s="7"/>
      <c r="L421" s="7"/>
      <c r="M421" s="7"/>
      <c r="N421" s="7"/>
      <c r="O421" s="7"/>
    </row>
    <row r="422" spans="2:15" x14ac:dyDescent="0.35">
      <c r="B422" s="7"/>
      <c r="C422" s="7"/>
      <c r="D422" s="7"/>
      <c r="E422" s="7"/>
      <c r="F422" s="7"/>
      <c r="G422" s="7"/>
      <c r="H422" s="7"/>
      <c r="I422" s="7"/>
      <c r="J422" s="7"/>
      <c r="K422" s="7"/>
      <c r="L422" s="7"/>
      <c r="M422" s="7"/>
      <c r="N422" s="7"/>
      <c r="O422" s="7"/>
    </row>
    <row r="423" spans="2:15" x14ac:dyDescent="0.35">
      <c r="B423" s="7"/>
      <c r="C423" s="7"/>
      <c r="D423" s="7"/>
      <c r="E423" s="7"/>
      <c r="F423" s="7"/>
      <c r="G423" s="7"/>
      <c r="H423" s="7"/>
      <c r="I423" s="7"/>
      <c r="J423" s="7"/>
      <c r="K423" s="7"/>
      <c r="L423" s="7"/>
      <c r="M423" s="7"/>
      <c r="N423" s="7"/>
      <c r="O423" s="7"/>
    </row>
    <row r="424" spans="2:15" x14ac:dyDescent="0.35">
      <c r="B424" s="7"/>
      <c r="C424" s="7"/>
      <c r="D424" s="7"/>
      <c r="E424" s="7"/>
      <c r="F424" s="7"/>
      <c r="G424" s="7"/>
      <c r="H424" s="7"/>
      <c r="I424" s="7"/>
      <c r="J424" s="7"/>
      <c r="K424" s="7"/>
      <c r="L424" s="7"/>
      <c r="M424" s="7"/>
      <c r="N424" s="7"/>
      <c r="O424" s="7"/>
    </row>
    <row r="425" spans="2:15" x14ac:dyDescent="0.35">
      <c r="B425" s="7"/>
      <c r="C425" s="7"/>
      <c r="D425" s="7"/>
      <c r="E425" s="7"/>
      <c r="F425" s="7"/>
      <c r="G425" s="7"/>
      <c r="H425" s="7"/>
      <c r="I425" s="7"/>
      <c r="J425" s="7"/>
      <c r="K425" s="7"/>
      <c r="L425" s="7"/>
      <c r="M425" s="7"/>
      <c r="N425" s="7"/>
      <c r="O425" s="7"/>
    </row>
    <row r="426" spans="2:15" x14ac:dyDescent="0.35">
      <c r="B426" s="7"/>
      <c r="C426" s="7"/>
      <c r="D426" s="7"/>
      <c r="E426" s="7"/>
      <c r="F426" s="7"/>
      <c r="G426" s="7"/>
      <c r="H426" s="7"/>
      <c r="I426" s="7"/>
      <c r="J426" s="7"/>
      <c r="K426" s="7"/>
      <c r="L426" s="7"/>
      <c r="M426" s="7"/>
      <c r="N426" s="7"/>
      <c r="O426" s="7"/>
    </row>
    <row r="427" spans="2:15" x14ac:dyDescent="0.35">
      <c r="B427" s="7"/>
      <c r="C427" s="7"/>
      <c r="D427" s="7"/>
      <c r="E427" s="7"/>
      <c r="F427" s="7"/>
      <c r="G427" s="7"/>
      <c r="H427" s="7"/>
      <c r="I427" s="7"/>
      <c r="J427" s="7"/>
      <c r="K427" s="7"/>
      <c r="L427" s="7"/>
      <c r="M427" s="7"/>
      <c r="N427" s="7"/>
      <c r="O427" s="7"/>
    </row>
    <row r="428" spans="2:15" x14ac:dyDescent="0.35">
      <c r="B428" s="7"/>
      <c r="C428" s="7"/>
      <c r="D428" s="7"/>
      <c r="E428" s="7"/>
      <c r="F428" s="7"/>
      <c r="G428" s="7"/>
      <c r="H428" s="7"/>
      <c r="I428" s="7"/>
      <c r="J428" s="7"/>
      <c r="K428" s="7"/>
      <c r="L428" s="7"/>
      <c r="M428" s="7"/>
      <c r="N428" s="7"/>
      <c r="O428" s="7"/>
    </row>
    <row r="429" spans="2:15" x14ac:dyDescent="0.35">
      <c r="B429" s="7"/>
      <c r="C429" s="7"/>
      <c r="D429" s="7"/>
      <c r="E429" s="7"/>
      <c r="F429" s="7"/>
      <c r="G429" s="7"/>
      <c r="H429" s="7"/>
      <c r="I429" s="7"/>
      <c r="J429" s="7"/>
      <c r="K429" s="7"/>
      <c r="L429" s="7"/>
      <c r="M429" s="7"/>
      <c r="N429" s="7"/>
      <c r="O429" s="7"/>
    </row>
    <row r="430" spans="2:15" x14ac:dyDescent="0.35">
      <c r="B430" s="7"/>
      <c r="C430" s="7"/>
      <c r="D430" s="7"/>
      <c r="E430" s="7"/>
      <c r="F430" s="7"/>
      <c r="G430" s="7"/>
      <c r="H430" s="7"/>
      <c r="I430" s="7"/>
      <c r="J430" s="7"/>
      <c r="K430" s="7"/>
      <c r="L430" s="7"/>
      <c r="M430" s="7"/>
      <c r="N430" s="7"/>
      <c r="O430" s="7"/>
    </row>
    <row r="431" spans="2:15" x14ac:dyDescent="0.35">
      <c r="B431" s="7"/>
      <c r="C431" s="7"/>
      <c r="D431" s="7"/>
      <c r="E431" s="7"/>
      <c r="F431" s="7"/>
      <c r="G431" s="7"/>
      <c r="H431" s="7"/>
      <c r="I431" s="7"/>
      <c r="J431" s="7"/>
      <c r="K431" s="7"/>
      <c r="L431" s="7"/>
      <c r="M431" s="7"/>
      <c r="N431" s="7"/>
      <c r="O431" s="7"/>
    </row>
    <row r="432" spans="2:15" x14ac:dyDescent="0.35">
      <c r="B432" s="7"/>
      <c r="C432" s="7"/>
      <c r="D432" s="7"/>
      <c r="E432" s="7"/>
      <c r="F432" s="7"/>
      <c r="G432" s="7"/>
      <c r="H432" s="7"/>
      <c r="I432" s="7"/>
      <c r="J432" s="7"/>
      <c r="K432" s="7"/>
      <c r="L432" s="7"/>
      <c r="M432" s="7"/>
      <c r="N432" s="7"/>
      <c r="O432" s="7"/>
    </row>
    <row r="433" spans="2:15" x14ac:dyDescent="0.35">
      <c r="B433" s="7"/>
      <c r="C433" s="7"/>
      <c r="D433" s="7"/>
      <c r="E433" s="7"/>
      <c r="F433" s="7"/>
      <c r="G433" s="7"/>
      <c r="H433" s="7"/>
      <c r="I433" s="7"/>
      <c r="J433" s="7"/>
      <c r="K433" s="7"/>
      <c r="L433" s="7"/>
      <c r="M433" s="7"/>
      <c r="N433" s="7"/>
      <c r="O433" s="7"/>
    </row>
    <row r="434" spans="2:15" x14ac:dyDescent="0.35">
      <c r="B434" s="7"/>
      <c r="C434" s="7"/>
      <c r="D434" s="7"/>
      <c r="E434" s="7"/>
      <c r="F434" s="7"/>
      <c r="G434" s="7"/>
      <c r="H434" s="7"/>
      <c r="I434" s="7"/>
      <c r="J434" s="7"/>
      <c r="K434" s="7"/>
      <c r="L434" s="7"/>
      <c r="M434" s="7"/>
      <c r="N434" s="7"/>
      <c r="O434" s="7"/>
    </row>
    <row r="435" spans="2:15" x14ac:dyDescent="0.35">
      <c r="B435" s="7"/>
      <c r="C435" s="7"/>
      <c r="D435" s="7"/>
      <c r="E435" s="7"/>
      <c r="F435" s="7"/>
      <c r="G435" s="7"/>
      <c r="H435" s="7"/>
      <c r="I435" s="7"/>
      <c r="J435" s="7"/>
      <c r="K435" s="7"/>
      <c r="L435" s="7"/>
      <c r="M435" s="7"/>
      <c r="N435" s="7"/>
      <c r="O435" s="7"/>
    </row>
    <row r="436" spans="2:15" x14ac:dyDescent="0.35">
      <c r="B436" s="7"/>
      <c r="C436" s="7"/>
      <c r="D436" s="7"/>
      <c r="E436" s="7"/>
      <c r="F436" s="7"/>
      <c r="G436" s="7"/>
      <c r="H436" s="7"/>
      <c r="I436" s="7"/>
      <c r="J436" s="7"/>
      <c r="K436" s="7"/>
      <c r="L436" s="7"/>
      <c r="M436" s="7"/>
      <c r="N436" s="7"/>
      <c r="O436" s="7"/>
    </row>
    <row r="437" spans="2:15" x14ac:dyDescent="0.35">
      <c r="B437" s="7"/>
      <c r="C437" s="7"/>
      <c r="D437" s="7"/>
      <c r="E437" s="7"/>
      <c r="F437" s="7"/>
      <c r="G437" s="7"/>
      <c r="H437" s="7"/>
      <c r="I437" s="7"/>
      <c r="J437" s="7"/>
      <c r="K437" s="7"/>
      <c r="L437" s="7"/>
      <c r="M437" s="7"/>
      <c r="N437" s="7"/>
      <c r="O437" s="7"/>
    </row>
    <row r="438" spans="2:15" x14ac:dyDescent="0.35">
      <c r="B438" s="7"/>
      <c r="C438" s="7"/>
      <c r="D438" s="7"/>
      <c r="E438" s="7"/>
      <c r="F438" s="7"/>
      <c r="G438" s="7"/>
      <c r="H438" s="7"/>
      <c r="I438" s="7"/>
      <c r="J438" s="7"/>
      <c r="K438" s="7"/>
      <c r="L438" s="7"/>
      <c r="M438" s="7"/>
      <c r="N438" s="7"/>
      <c r="O438" s="7"/>
    </row>
    <row r="439" spans="2:15" x14ac:dyDescent="0.35">
      <c r="B439" s="7"/>
      <c r="C439" s="7"/>
      <c r="D439" s="7"/>
      <c r="E439" s="7"/>
      <c r="F439" s="7"/>
      <c r="G439" s="7"/>
      <c r="H439" s="7"/>
      <c r="I439" s="7"/>
      <c r="J439" s="7"/>
      <c r="K439" s="7"/>
      <c r="L439" s="7"/>
      <c r="M439" s="7"/>
      <c r="N439" s="7"/>
      <c r="O439" s="7"/>
    </row>
    <row r="440" spans="2:15" x14ac:dyDescent="0.35">
      <c r="B440" s="7"/>
      <c r="C440" s="7"/>
      <c r="D440" s="7"/>
      <c r="E440" s="7"/>
      <c r="F440" s="7"/>
      <c r="G440" s="7"/>
      <c r="H440" s="7"/>
      <c r="I440" s="7"/>
      <c r="J440" s="7"/>
      <c r="K440" s="7"/>
      <c r="L440" s="7"/>
      <c r="M440" s="7"/>
      <c r="N440" s="7"/>
      <c r="O440" s="7"/>
    </row>
    <row r="441" spans="2:15" x14ac:dyDescent="0.35">
      <c r="B441" s="7"/>
      <c r="C441" s="7"/>
      <c r="D441" s="7"/>
      <c r="E441" s="7"/>
      <c r="F441" s="7"/>
      <c r="G441" s="7"/>
      <c r="H441" s="7"/>
      <c r="I441" s="7"/>
      <c r="J441" s="7"/>
      <c r="K441" s="7"/>
      <c r="L441" s="7"/>
      <c r="M441" s="7"/>
      <c r="N441" s="7"/>
      <c r="O441" s="7"/>
    </row>
    <row r="442" spans="2:15" x14ac:dyDescent="0.35">
      <c r="B442" s="7"/>
      <c r="C442" s="7"/>
      <c r="D442" s="7"/>
      <c r="E442" s="7"/>
      <c r="F442" s="7"/>
      <c r="G442" s="7"/>
      <c r="H442" s="7"/>
      <c r="I442" s="7"/>
      <c r="J442" s="7"/>
      <c r="K442" s="7"/>
      <c r="L442" s="7"/>
      <c r="M442" s="7"/>
      <c r="N442" s="7"/>
      <c r="O442" s="7"/>
    </row>
    <row r="443" spans="2:15" ht="62.5" x14ac:dyDescent="1.4">
      <c r="B443" s="2" t="s">
        <v>51</v>
      </c>
      <c r="C443" s="13">
        <f>Game!B87</f>
        <v>46069</v>
      </c>
      <c r="D443" s="13">
        <f>C443+6</f>
        <v>46075</v>
      </c>
      <c r="E443" s="7"/>
      <c r="F443" s="7"/>
      <c r="G443" s="7"/>
      <c r="H443" s="7"/>
      <c r="I443" s="7"/>
      <c r="J443" s="7"/>
      <c r="K443" s="7"/>
      <c r="L443" s="7"/>
      <c r="M443" s="7"/>
      <c r="N443" s="7"/>
      <c r="O443" s="7"/>
    </row>
    <row r="444" spans="2:15" x14ac:dyDescent="0.35">
      <c r="B444" s="7"/>
      <c r="C444" s="7"/>
      <c r="D444" s="7"/>
      <c r="E444" s="7"/>
      <c r="F444" s="7"/>
      <c r="G444" s="7"/>
      <c r="H444" s="7"/>
      <c r="I444" s="7"/>
      <c r="J444" s="7"/>
      <c r="K444" s="7"/>
      <c r="L444" s="7"/>
      <c r="M444" s="7"/>
      <c r="N444" s="7"/>
      <c r="O444" s="7"/>
    </row>
    <row r="445" spans="2:15" x14ac:dyDescent="0.35">
      <c r="B445" s="7"/>
      <c r="C445" s="7"/>
      <c r="D445" s="7"/>
      <c r="E445" s="7"/>
      <c r="F445" s="7"/>
      <c r="G445" s="7"/>
      <c r="H445" s="7"/>
      <c r="I445" s="7"/>
      <c r="J445" s="7"/>
      <c r="K445" s="7"/>
      <c r="L445" s="7"/>
      <c r="M445" s="7"/>
      <c r="N445" s="7"/>
      <c r="O445" s="7"/>
    </row>
    <row r="446" spans="2:15" x14ac:dyDescent="0.35">
      <c r="B446" s="7"/>
      <c r="C446" s="7"/>
      <c r="D446" s="7"/>
      <c r="E446" s="7"/>
      <c r="F446" s="7"/>
      <c r="G446" s="7"/>
      <c r="H446" s="7"/>
      <c r="I446" s="7"/>
      <c r="J446" s="7"/>
      <c r="K446" s="7"/>
      <c r="L446" s="7"/>
      <c r="M446" s="7"/>
      <c r="N446" s="7"/>
      <c r="O446" s="7"/>
    </row>
    <row r="447" spans="2:15" x14ac:dyDescent="0.35">
      <c r="B447" s="7"/>
      <c r="C447" s="7"/>
      <c r="D447" s="7"/>
      <c r="E447" s="7"/>
      <c r="F447" s="7"/>
      <c r="G447" s="7"/>
      <c r="H447" s="7"/>
      <c r="I447" s="7"/>
      <c r="J447" s="7"/>
      <c r="K447" s="7"/>
      <c r="L447" s="7"/>
      <c r="M447" s="7"/>
      <c r="N447" s="7"/>
      <c r="O447" s="7"/>
    </row>
    <row r="448" spans="2:15" x14ac:dyDescent="0.35">
      <c r="B448" s="7"/>
      <c r="C448" s="7"/>
      <c r="D448" s="7"/>
      <c r="E448" s="7"/>
      <c r="F448" s="7"/>
      <c r="G448" s="7"/>
      <c r="H448" s="7"/>
      <c r="I448" s="7"/>
      <c r="J448" s="7"/>
      <c r="K448" s="7"/>
      <c r="L448" s="7"/>
      <c r="M448" s="7"/>
      <c r="N448" s="7"/>
      <c r="O448" s="7"/>
    </row>
    <row r="449" spans="2:15" x14ac:dyDescent="0.35">
      <c r="B449" s="7"/>
      <c r="C449" s="7"/>
      <c r="D449" s="7"/>
      <c r="E449" s="7"/>
      <c r="F449" s="7"/>
      <c r="G449" s="7"/>
      <c r="H449" s="7"/>
      <c r="I449" s="7"/>
      <c r="J449" s="7"/>
      <c r="K449" s="7"/>
      <c r="L449" s="7"/>
      <c r="M449" s="7"/>
      <c r="N449" s="7"/>
      <c r="O449" s="7"/>
    </row>
    <row r="450" spans="2:15" x14ac:dyDescent="0.35">
      <c r="B450" s="7"/>
      <c r="C450" s="7"/>
      <c r="D450" s="7"/>
      <c r="E450" s="7"/>
      <c r="F450" s="7"/>
      <c r="G450" s="7"/>
      <c r="H450" s="7"/>
      <c r="I450" s="7"/>
      <c r="J450" s="7"/>
      <c r="K450" s="7"/>
      <c r="L450" s="7"/>
      <c r="M450" s="7"/>
      <c r="N450" s="7"/>
      <c r="O450" s="7"/>
    </row>
    <row r="451" spans="2:15" x14ac:dyDescent="0.35">
      <c r="B451" s="7"/>
      <c r="C451" s="7"/>
      <c r="D451" s="7"/>
      <c r="E451" s="7"/>
      <c r="F451" s="7"/>
      <c r="G451" s="7"/>
      <c r="H451" s="7"/>
      <c r="I451" s="7"/>
      <c r="J451" s="7"/>
      <c r="K451" s="7"/>
      <c r="L451" s="7"/>
      <c r="M451" s="7"/>
      <c r="N451" s="7"/>
      <c r="O451" s="7"/>
    </row>
    <row r="452" spans="2:15" x14ac:dyDescent="0.35">
      <c r="B452" s="7"/>
      <c r="C452" s="7"/>
      <c r="D452" s="7"/>
      <c r="E452" s="7"/>
      <c r="F452" s="7"/>
      <c r="G452" s="7"/>
      <c r="H452" s="7"/>
      <c r="I452" s="7"/>
      <c r="J452" s="7"/>
      <c r="K452" s="7"/>
      <c r="L452" s="7"/>
      <c r="M452" s="7"/>
      <c r="N452" s="7"/>
      <c r="O452" s="7"/>
    </row>
    <row r="453" spans="2:15" x14ac:dyDescent="0.35">
      <c r="B453" s="7"/>
      <c r="C453" s="7"/>
      <c r="D453" s="7"/>
      <c r="E453" s="7"/>
      <c r="F453" s="7"/>
      <c r="G453" s="7"/>
      <c r="H453" s="7"/>
      <c r="I453" s="7"/>
      <c r="J453" s="7"/>
      <c r="K453" s="7"/>
      <c r="L453" s="7"/>
      <c r="M453" s="7"/>
      <c r="N453" s="7"/>
      <c r="O453" s="7"/>
    </row>
    <row r="454" spans="2:15" x14ac:dyDescent="0.35">
      <c r="B454" s="7"/>
      <c r="C454" s="7"/>
      <c r="D454" s="7"/>
      <c r="E454" s="7"/>
      <c r="F454" s="7"/>
      <c r="G454" s="7"/>
      <c r="H454" s="7"/>
      <c r="I454" s="7"/>
      <c r="J454" s="7"/>
      <c r="K454" s="7"/>
      <c r="L454" s="7"/>
      <c r="M454" s="7"/>
      <c r="N454" s="7"/>
      <c r="O454" s="7"/>
    </row>
    <row r="455" spans="2:15" x14ac:dyDescent="0.35">
      <c r="B455" s="7"/>
      <c r="C455" s="7"/>
      <c r="D455" s="7"/>
      <c r="E455" s="7"/>
      <c r="F455" s="7"/>
      <c r="G455" s="7"/>
      <c r="H455" s="7"/>
      <c r="I455" s="7"/>
      <c r="J455" s="7"/>
      <c r="K455" s="7"/>
      <c r="L455" s="7"/>
      <c r="M455" s="7"/>
      <c r="N455" s="7"/>
      <c r="O455" s="7"/>
    </row>
    <row r="456" spans="2:15" x14ac:dyDescent="0.35">
      <c r="B456" s="7"/>
      <c r="C456" s="7"/>
      <c r="D456" s="7"/>
      <c r="E456" s="7"/>
      <c r="F456" s="7"/>
      <c r="G456" s="7"/>
      <c r="H456" s="7"/>
      <c r="I456" s="7"/>
      <c r="J456" s="7"/>
      <c r="K456" s="7"/>
      <c r="L456" s="7"/>
      <c r="M456" s="7"/>
      <c r="N456" s="7"/>
      <c r="O456" s="7"/>
    </row>
    <row r="457" spans="2:15" x14ac:dyDescent="0.35">
      <c r="B457" s="7"/>
      <c r="C457" s="7"/>
      <c r="D457" s="7"/>
      <c r="E457" s="7"/>
      <c r="F457" s="7"/>
      <c r="G457" s="7"/>
      <c r="H457" s="7"/>
      <c r="I457" s="7"/>
      <c r="J457" s="7"/>
      <c r="K457" s="7"/>
      <c r="L457" s="7"/>
      <c r="M457" s="7"/>
      <c r="N457" s="7"/>
      <c r="O457" s="7"/>
    </row>
    <row r="458" spans="2:15" x14ac:dyDescent="0.35">
      <c r="B458" s="7"/>
      <c r="C458" s="7"/>
      <c r="D458" s="7"/>
      <c r="E458" s="7"/>
      <c r="F458" s="7"/>
      <c r="G458" s="7"/>
      <c r="H458" s="7"/>
      <c r="I458" s="7"/>
      <c r="J458" s="7"/>
      <c r="K458" s="7"/>
      <c r="L458" s="7"/>
      <c r="M458" s="7"/>
      <c r="N458" s="7"/>
      <c r="O458" s="7"/>
    </row>
    <row r="459" spans="2:15" x14ac:dyDescent="0.35">
      <c r="B459" s="7"/>
      <c r="C459" s="7"/>
      <c r="D459" s="7"/>
      <c r="E459" s="7"/>
      <c r="F459" s="7"/>
      <c r="G459" s="7"/>
      <c r="H459" s="7"/>
      <c r="I459" s="7"/>
      <c r="J459" s="7"/>
      <c r="K459" s="7"/>
      <c r="L459" s="7"/>
      <c r="M459" s="7"/>
      <c r="N459" s="7"/>
      <c r="O459" s="7"/>
    </row>
    <row r="460" spans="2:15" x14ac:dyDescent="0.35">
      <c r="B460" s="7"/>
      <c r="C460" s="7"/>
      <c r="D460" s="7"/>
      <c r="E460" s="7"/>
      <c r="F460" s="7"/>
      <c r="G460" s="7"/>
      <c r="H460" s="7"/>
      <c r="I460" s="7"/>
      <c r="J460" s="7"/>
      <c r="K460" s="7"/>
      <c r="L460" s="7"/>
      <c r="M460" s="7"/>
      <c r="N460" s="7"/>
      <c r="O460" s="7"/>
    </row>
    <row r="461" spans="2:15" x14ac:dyDescent="0.35">
      <c r="B461" s="7"/>
      <c r="C461" s="7"/>
      <c r="D461" s="7"/>
      <c r="E461" s="7"/>
      <c r="F461" s="7"/>
      <c r="G461" s="7"/>
      <c r="H461" s="7"/>
      <c r="I461" s="7"/>
      <c r="J461" s="7"/>
      <c r="K461" s="7"/>
      <c r="L461" s="7"/>
      <c r="M461" s="7"/>
      <c r="N461" s="7"/>
      <c r="O461" s="7"/>
    </row>
    <row r="462" spans="2:15" x14ac:dyDescent="0.35">
      <c r="B462" s="7"/>
      <c r="C462" s="7"/>
      <c r="D462" s="7"/>
      <c r="E462" s="7"/>
      <c r="F462" s="7"/>
      <c r="G462" s="7"/>
      <c r="H462" s="7"/>
      <c r="I462" s="7"/>
      <c r="J462" s="7"/>
      <c r="K462" s="7"/>
      <c r="L462" s="7"/>
      <c r="M462" s="7"/>
      <c r="N462" s="7"/>
      <c r="O462" s="7"/>
    </row>
    <row r="463" spans="2:15" x14ac:dyDescent="0.35">
      <c r="B463" s="7"/>
      <c r="C463" s="7"/>
      <c r="D463" s="7"/>
      <c r="E463" s="7"/>
      <c r="F463" s="7"/>
      <c r="G463" s="7"/>
      <c r="H463" s="7"/>
      <c r="I463" s="7"/>
      <c r="J463" s="7"/>
      <c r="K463" s="7"/>
      <c r="L463" s="7"/>
      <c r="M463" s="7"/>
      <c r="N463" s="7"/>
      <c r="O463" s="7"/>
    </row>
    <row r="464" spans="2:15" x14ac:dyDescent="0.35">
      <c r="B464" s="7"/>
      <c r="C464" s="7"/>
      <c r="D464" s="7"/>
      <c r="E464" s="7"/>
      <c r="F464" s="7"/>
      <c r="G464" s="7"/>
      <c r="H464" s="7"/>
      <c r="I464" s="7"/>
      <c r="J464" s="7"/>
      <c r="K464" s="7"/>
      <c r="L464" s="7"/>
      <c r="M464" s="7"/>
      <c r="N464" s="7"/>
      <c r="O464" s="7"/>
    </row>
    <row r="465" spans="2:15" x14ac:dyDescent="0.35">
      <c r="B465" s="7"/>
      <c r="C465" s="7"/>
      <c r="D465" s="7"/>
      <c r="E465" s="7"/>
      <c r="F465" s="7"/>
      <c r="G465" s="7"/>
      <c r="H465" s="7"/>
      <c r="I465" s="7"/>
      <c r="J465" s="7"/>
      <c r="K465" s="7"/>
      <c r="L465" s="7"/>
      <c r="M465" s="7"/>
      <c r="N465" s="7"/>
      <c r="O465" s="7"/>
    </row>
    <row r="466" spans="2:15" x14ac:dyDescent="0.35">
      <c r="B466" s="7"/>
      <c r="C466" s="7"/>
      <c r="D466" s="7"/>
      <c r="E466" s="7"/>
      <c r="F466" s="7"/>
      <c r="G466" s="7"/>
      <c r="H466" s="7"/>
      <c r="I466" s="7"/>
      <c r="J466" s="7"/>
      <c r="K466" s="7"/>
      <c r="L466" s="7"/>
      <c r="M466" s="7"/>
      <c r="N466" s="7"/>
      <c r="O466" s="7"/>
    </row>
    <row r="467" spans="2:15" x14ac:dyDescent="0.35">
      <c r="B467" s="7"/>
      <c r="C467" s="7"/>
      <c r="D467" s="7"/>
      <c r="E467" s="7"/>
      <c r="F467" s="7"/>
      <c r="G467" s="7"/>
      <c r="H467" s="7"/>
      <c r="I467" s="7"/>
      <c r="J467" s="7"/>
      <c r="K467" s="7"/>
      <c r="L467" s="7"/>
      <c r="M467" s="7"/>
      <c r="N467" s="7"/>
      <c r="O467" s="7"/>
    </row>
    <row r="468" spans="2:15" x14ac:dyDescent="0.35">
      <c r="B468" s="7"/>
      <c r="C468" s="7"/>
      <c r="D468" s="7"/>
      <c r="E468" s="7"/>
      <c r="F468" s="7"/>
      <c r="G468" s="7"/>
      <c r="H468" s="7"/>
      <c r="I468" s="7"/>
      <c r="J468" s="7"/>
      <c r="K468" s="7"/>
      <c r="L468" s="7"/>
      <c r="M468" s="7"/>
      <c r="N468" s="7"/>
      <c r="O468" s="7"/>
    </row>
    <row r="469" spans="2:15" x14ac:dyDescent="0.35">
      <c r="B469" s="7"/>
      <c r="C469" s="7"/>
      <c r="D469" s="7"/>
      <c r="E469" s="7"/>
      <c r="F469" s="7"/>
      <c r="G469" s="7"/>
      <c r="H469" s="7"/>
      <c r="I469" s="7"/>
      <c r="J469" s="7"/>
      <c r="K469" s="7"/>
      <c r="L469" s="7"/>
      <c r="M469" s="7"/>
      <c r="N469" s="7"/>
      <c r="O469" s="7"/>
    </row>
    <row r="470" spans="2:15" x14ac:dyDescent="0.35">
      <c r="B470" s="7"/>
      <c r="C470" s="7"/>
      <c r="D470" s="7"/>
      <c r="E470" s="7"/>
      <c r="F470" s="7"/>
      <c r="G470" s="7"/>
      <c r="H470" s="7"/>
      <c r="I470" s="7"/>
      <c r="J470" s="7"/>
      <c r="K470" s="7"/>
      <c r="L470" s="7"/>
      <c r="M470" s="7"/>
      <c r="N470" s="7"/>
      <c r="O470" s="7"/>
    </row>
    <row r="471" spans="2:15" x14ac:dyDescent="0.35">
      <c r="B471" s="7"/>
      <c r="C471" s="7"/>
      <c r="D471" s="7"/>
      <c r="E471" s="7"/>
      <c r="F471" s="7"/>
      <c r="G471" s="7"/>
      <c r="H471" s="7"/>
      <c r="I471" s="7"/>
      <c r="J471" s="7"/>
      <c r="K471" s="7"/>
      <c r="L471" s="7"/>
      <c r="M471" s="7"/>
      <c r="N471" s="7"/>
      <c r="O471" s="7"/>
    </row>
    <row r="472" spans="2:15" x14ac:dyDescent="0.35">
      <c r="B472" s="7"/>
      <c r="C472" s="7"/>
      <c r="D472" s="7"/>
      <c r="E472" s="7"/>
      <c r="F472" s="7"/>
      <c r="G472" s="7"/>
      <c r="H472" s="7"/>
      <c r="I472" s="7"/>
      <c r="J472" s="7"/>
      <c r="K472" s="7"/>
      <c r="L472" s="7"/>
      <c r="M472" s="7"/>
      <c r="N472" s="7"/>
      <c r="O472" s="7"/>
    </row>
    <row r="473" spans="2:15" x14ac:dyDescent="0.35">
      <c r="B473" s="7"/>
      <c r="C473" s="7"/>
      <c r="D473" s="7"/>
      <c r="E473" s="7"/>
      <c r="F473" s="7"/>
      <c r="G473" s="7"/>
      <c r="H473" s="7"/>
      <c r="I473" s="7"/>
      <c r="J473" s="7"/>
      <c r="K473" s="7"/>
      <c r="L473" s="7"/>
      <c r="M473" s="7"/>
      <c r="N473" s="7"/>
      <c r="O473" s="7"/>
    </row>
    <row r="474" spans="2:15" ht="62.5" x14ac:dyDescent="1.4">
      <c r="B474" s="2" t="s">
        <v>40</v>
      </c>
      <c r="C474" s="13">
        <f>Game!B101</f>
        <v>46076</v>
      </c>
      <c r="D474" s="13">
        <f>C474+6</f>
        <v>46082</v>
      </c>
      <c r="E474" s="7"/>
      <c r="F474" s="7"/>
      <c r="G474" s="7"/>
      <c r="H474" s="7"/>
      <c r="I474" s="7"/>
      <c r="J474" s="7"/>
      <c r="K474" s="7"/>
      <c r="L474" s="7"/>
      <c r="M474" s="7"/>
      <c r="N474" s="7"/>
      <c r="O474" s="7"/>
    </row>
    <row r="475" spans="2:15" x14ac:dyDescent="0.35">
      <c r="B475" s="7"/>
      <c r="C475" s="7"/>
      <c r="D475" s="7"/>
      <c r="E475" s="7"/>
      <c r="F475" s="7"/>
      <c r="G475" s="7"/>
      <c r="H475" s="7"/>
      <c r="I475" s="7"/>
      <c r="J475" s="7"/>
      <c r="K475" s="7"/>
      <c r="L475" s="7"/>
      <c r="M475" s="7"/>
      <c r="N475" s="7"/>
      <c r="O475" s="7"/>
    </row>
    <row r="476" spans="2:15" x14ac:dyDescent="0.35">
      <c r="B476" s="7"/>
      <c r="C476" s="7"/>
      <c r="D476" s="7"/>
      <c r="E476" s="7"/>
      <c r="F476" s="7"/>
      <c r="G476" s="7"/>
      <c r="H476" s="7"/>
      <c r="I476" s="7"/>
      <c r="J476" s="7"/>
      <c r="K476" s="7"/>
      <c r="L476" s="7"/>
      <c r="M476" s="7"/>
      <c r="N476" s="7"/>
      <c r="O476" s="7"/>
    </row>
    <row r="477" spans="2:15" x14ac:dyDescent="0.35">
      <c r="B477" s="7"/>
      <c r="C477" s="7"/>
      <c r="D477" s="7"/>
      <c r="E477" s="7"/>
      <c r="F477" s="7"/>
      <c r="G477" s="7"/>
      <c r="H477" s="7"/>
      <c r="I477" s="7"/>
      <c r="J477" s="7"/>
      <c r="K477" s="7"/>
      <c r="L477" s="7"/>
      <c r="M477" s="7"/>
      <c r="N477" s="7"/>
      <c r="O477" s="7"/>
    </row>
    <row r="478" spans="2:15" x14ac:dyDescent="0.35">
      <c r="B478" s="7"/>
      <c r="C478" s="7"/>
      <c r="D478" s="7"/>
      <c r="E478" s="7"/>
      <c r="F478" s="7"/>
      <c r="G478" s="7"/>
      <c r="H478" s="7"/>
      <c r="I478" s="7"/>
      <c r="J478" s="7"/>
      <c r="K478" s="7"/>
      <c r="L478" s="7"/>
      <c r="M478" s="7"/>
      <c r="N478" s="7"/>
      <c r="O478" s="7"/>
    </row>
    <row r="479" spans="2:15" x14ac:dyDescent="0.35">
      <c r="B479" s="7"/>
      <c r="C479" s="7"/>
      <c r="D479" s="7"/>
      <c r="E479" s="7"/>
      <c r="F479" s="7"/>
      <c r="G479" s="7"/>
      <c r="H479" s="7"/>
      <c r="I479" s="7"/>
      <c r="J479" s="7"/>
      <c r="K479" s="7"/>
      <c r="L479" s="7"/>
      <c r="M479" s="7"/>
      <c r="N479" s="7"/>
      <c r="O479" s="7"/>
    </row>
    <row r="480" spans="2:15" x14ac:dyDescent="0.35">
      <c r="B480" s="7"/>
      <c r="C480" s="7"/>
      <c r="D480" s="7"/>
      <c r="E480" s="7"/>
      <c r="F480" s="7"/>
      <c r="G480" s="7"/>
      <c r="H480" s="7"/>
      <c r="I480" s="7"/>
      <c r="J480" s="7"/>
      <c r="K480" s="7"/>
      <c r="L480" s="7"/>
      <c r="M480" s="7"/>
      <c r="N480" s="7"/>
      <c r="O480" s="7"/>
    </row>
    <row r="481" spans="2:15" x14ac:dyDescent="0.35">
      <c r="B481" s="7"/>
      <c r="C481" s="7"/>
      <c r="D481" s="7"/>
      <c r="E481" s="7"/>
      <c r="F481" s="7"/>
      <c r="G481" s="7"/>
      <c r="H481" s="7"/>
      <c r="I481" s="7"/>
      <c r="J481" s="7"/>
      <c r="K481" s="7"/>
      <c r="L481" s="7"/>
      <c r="M481" s="7"/>
      <c r="N481" s="7"/>
      <c r="O481" s="7"/>
    </row>
    <row r="482" spans="2:15" x14ac:dyDescent="0.35">
      <c r="B482" s="7"/>
      <c r="C482" s="7"/>
      <c r="D482" s="7"/>
      <c r="E482" s="7"/>
      <c r="F482" s="7"/>
      <c r="G482" s="7"/>
      <c r="H482" s="7"/>
      <c r="I482" s="7"/>
      <c r="J482" s="7"/>
      <c r="K482" s="7"/>
      <c r="L482" s="7"/>
      <c r="M482" s="7"/>
      <c r="N482" s="7"/>
      <c r="O482" s="7"/>
    </row>
    <row r="483" spans="2:15" x14ac:dyDescent="0.35">
      <c r="B483" s="7"/>
      <c r="C483" s="7"/>
      <c r="D483" s="7"/>
      <c r="E483" s="7"/>
      <c r="F483" s="7"/>
      <c r="G483" s="7"/>
      <c r="H483" s="7"/>
      <c r="I483" s="7"/>
      <c r="J483" s="7"/>
      <c r="K483" s="7"/>
      <c r="L483" s="7"/>
      <c r="M483" s="7"/>
      <c r="N483" s="7"/>
      <c r="O483" s="7"/>
    </row>
    <row r="484" spans="2:15" x14ac:dyDescent="0.35">
      <c r="B484" s="7"/>
      <c r="C484" s="7"/>
      <c r="D484" s="7"/>
      <c r="E484" s="7"/>
      <c r="F484" s="7"/>
      <c r="G484" s="7"/>
      <c r="H484" s="7"/>
      <c r="I484" s="7"/>
      <c r="J484" s="7"/>
      <c r="K484" s="7"/>
      <c r="L484" s="7"/>
      <c r="M484" s="7"/>
      <c r="N484" s="7"/>
      <c r="O484" s="7"/>
    </row>
    <row r="485" spans="2:15" x14ac:dyDescent="0.35">
      <c r="B485" s="7"/>
      <c r="C485" s="7"/>
      <c r="D485" s="7"/>
      <c r="E485" s="7"/>
      <c r="F485" s="7"/>
      <c r="G485" s="7"/>
      <c r="H485" s="7"/>
      <c r="I485" s="7"/>
      <c r="J485" s="7"/>
      <c r="K485" s="7"/>
      <c r="L485" s="7"/>
      <c r="M485" s="7"/>
      <c r="N485" s="7"/>
      <c r="O485" s="7"/>
    </row>
    <row r="486" spans="2:15" x14ac:dyDescent="0.35">
      <c r="B486" s="7"/>
      <c r="C486" s="7"/>
      <c r="D486" s="7"/>
      <c r="E486" s="7"/>
      <c r="F486" s="7"/>
      <c r="G486" s="7"/>
      <c r="H486" s="7"/>
      <c r="I486" s="7"/>
      <c r="J486" s="7"/>
      <c r="K486" s="7"/>
      <c r="L486" s="7"/>
      <c r="M486" s="7"/>
      <c r="N486" s="7"/>
      <c r="O486" s="7"/>
    </row>
    <row r="487" spans="2:15" x14ac:dyDescent="0.35">
      <c r="B487" s="7"/>
      <c r="C487" s="7"/>
      <c r="D487" s="7"/>
      <c r="E487" s="7"/>
      <c r="F487" s="7"/>
      <c r="G487" s="7"/>
      <c r="H487" s="7"/>
      <c r="I487" s="7"/>
      <c r="J487" s="7"/>
      <c r="K487" s="7"/>
      <c r="L487" s="7"/>
      <c r="M487" s="7"/>
      <c r="N487" s="7"/>
      <c r="O487" s="7"/>
    </row>
    <row r="488" spans="2:15" x14ac:dyDescent="0.35">
      <c r="B488" s="7"/>
      <c r="C488" s="7"/>
      <c r="D488" s="7"/>
      <c r="E488" s="7"/>
      <c r="F488" s="7"/>
      <c r="G488" s="7"/>
      <c r="H488" s="7"/>
      <c r="I488" s="7"/>
      <c r="J488" s="7"/>
      <c r="K488" s="7"/>
      <c r="L488" s="7"/>
      <c r="M488" s="7"/>
      <c r="N488" s="7"/>
      <c r="O488" s="7"/>
    </row>
    <row r="489" spans="2:15" x14ac:dyDescent="0.35">
      <c r="B489" s="7"/>
      <c r="C489" s="7"/>
      <c r="D489" s="7"/>
      <c r="E489" s="7"/>
      <c r="F489" s="7"/>
      <c r="G489" s="7"/>
      <c r="H489" s="7"/>
      <c r="I489" s="7"/>
      <c r="J489" s="7"/>
      <c r="K489" s="7"/>
      <c r="L489" s="7"/>
      <c r="M489" s="7"/>
      <c r="N489" s="7"/>
      <c r="O489" s="7"/>
    </row>
    <row r="490" spans="2:15" x14ac:dyDescent="0.35">
      <c r="B490" s="7"/>
      <c r="C490" s="7"/>
      <c r="D490" s="7"/>
      <c r="E490" s="7"/>
      <c r="F490" s="7"/>
      <c r="G490" s="7"/>
      <c r="H490" s="7"/>
      <c r="I490" s="7"/>
      <c r="J490" s="7"/>
      <c r="K490" s="7"/>
      <c r="L490" s="7"/>
      <c r="M490" s="7"/>
      <c r="N490" s="7"/>
      <c r="O490" s="7"/>
    </row>
    <row r="491" spans="2:15" x14ac:dyDescent="0.35">
      <c r="B491" s="7"/>
      <c r="C491" s="7"/>
      <c r="D491" s="7"/>
      <c r="E491" s="7"/>
      <c r="F491" s="7"/>
      <c r="G491" s="7"/>
      <c r="H491" s="7"/>
      <c r="I491" s="7"/>
      <c r="J491" s="7"/>
      <c r="K491" s="7"/>
      <c r="L491" s="7"/>
      <c r="M491" s="7"/>
      <c r="N491" s="7"/>
      <c r="O491" s="7"/>
    </row>
    <row r="492" spans="2:15" x14ac:dyDescent="0.35">
      <c r="B492" s="7"/>
      <c r="C492" s="7"/>
      <c r="D492" s="7"/>
      <c r="E492" s="7"/>
      <c r="F492" s="7"/>
      <c r="G492" s="7"/>
      <c r="H492" s="7"/>
      <c r="I492" s="7"/>
      <c r="J492" s="7"/>
      <c r="K492" s="7"/>
      <c r="L492" s="7"/>
      <c r="M492" s="7"/>
      <c r="N492" s="7"/>
      <c r="O492" s="7"/>
    </row>
    <row r="493" spans="2:15" x14ac:dyDescent="0.35">
      <c r="B493" s="7"/>
      <c r="C493" s="7"/>
      <c r="D493" s="7"/>
      <c r="E493" s="7"/>
      <c r="F493" s="7"/>
      <c r="G493" s="7"/>
      <c r="H493" s="7"/>
      <c r="I493" s="7"/>
      <c r="J493" s="7"/>
      <c r="K493" s="7"/>
      <c r="L493" s="7"/>
      <c r="M493" s="7"/>
      <c r="N493" s="7"/>
      <c r="O493" s="7"/>
    </row>
    <row r="494" spans="2:15" x14ac:dyDescent="0.35">
      <c r="B494" s="7"/>
      <c r="C494" s="7"/>
      <c r="D494" s="7"/>
      <c r="E494" s="7"/>
      <c r="F494" s="7"/>
      <c r="G494" s="7"/>
      <c r="H494" s="7"/>
      <c r="I494" s="7"/>
      <c r="J494" s="7"/>
      <c r="K494" s="7"/>
      <c r="L494" s="7"/>
      <c r="M494" s="7"/>
      <c r="N494" s="7"/>
      <c r="O494" s="7"/>
    </row>
    <row r="495" spans="2:15" x14ac:dyDescent="0.35">
      <c r="B495" s="7"/>
      <c r="C495" s="7"/>
      <c r="D495" s="7"/>
      <c r="E495" s="7"/>
      <c r="F495" s="7"/>
      <c r="G495" s="7"/>
      <c r="H495" s="7"/>
      <c r="I495" s="7"/>
      <c r="J495" s="7"/>
      <c r="K495" s="7"/>
      <c r="L495" s="7"/>
      <c r="M495" s="7"/>
      <c r="N495" s="7"/>
      <c r="O495" s="7"/>
    </row>
    <row r="496" spans="2:15" x14ac:dyDescent="0.35">
      <c r="B496" s="7"/>
      <c r="C496" s="7"/>
      <c r="D496" s="7"/>
      <c r="E496" s="7"/>
      <c r="F496" s="7"/>
      <c r="G496" s="7"/>
      <c r="H496" s="7"/>
      <c r="I496" s="7"/>
      <c r="J496" s="7"/>
      <c r="K496" s="7"/>
      <c r="L496" s="7"/>
      <c r="M496" s="7"/>
      <c r="N496" s="7"/>
      <c r="O496" s="7"/>
    </row>
    <row r="497" spans="2:15" x14ac:dyDescent="0.35">
      <c r="B497" s="7"/>
      <c r="C497" s="7"/>
      <c r="D497" s="7"/>
      <c r="E497" s="7"/>
      <c r="F497" s="7"/>
      <c r="G497" s="7"/>
      <c r="H497" s="7"/>
      <c r="I497" s="7"/>
      <c r="J497" s="7"/>
      <c r="K497" s="7"/>
      <c r="L497" s="7"/>
      <c r="M497" s="7"/>
      <c r="N497" s="7"/>
      <c r="O497" s="7"/>
    </row>
    <row r="498" spans="2:15" x14ac:dyDescent="0.35">
      <c r="B498" s="7"/>
      <c r="C498" s="7"/>
      <c r="D498" s="7"/>
      <c r="E498" s="7"/>
      <c r="F498" s="7"/>
      <c r="G498" s="7"/>
      <c r="H498" s="7"/>
      <c r="I498" s="7"/>
      <c r="J498" s="7"/>
      <c r="K498" s="7"/>
      <c r="L498" s="7"/>
      <c r="M498" s="7"/>
      <c r="N498" s="7"/>
      <c r="O498" s="7"/>
    </row>
    <row r="499" spans="2:15" x14ac:dyDescent="0.35">
      <c r="B499" s="7"/>
      <c r="C499" s="7"/>
      <c r="D499" s="7"/>
      <c r="E499" s="7"/>
      <c r="F499" s="7"/>
      <c r="G499" s="7"/>
      <c r="H499" s="7"/>
      <c r="I499" s="7"/>
      <c r="J499" s="7"/>
      <c r="K499" s="7"/>
      <c r="L499" s="7"/>
      <c r="M499" s="7"/>
      <c r="N499" s="7"/>
      <c r="O499" s="7"/>
    </row>
    <row r="500" spans="2:15" x14ac:dyDescent="0.35">
      <c r="B500" s="7"/>
      <c r="C500" s="7"/>
      <c r="D500" s="7"/>
      <c r="E500" s="7"/>
      <c r="F500" s="7"/>
      <c r="G500" s="7"/>
      <c r="H500" s="7"/>
      <c r="I500" s="7"/>
      <c r="J500" s="7"/>
      <c r="K500" s="7"/>
      <c r="L500" s="7"/>
      <c r="M500" s="7"/>
      <c r="N500" s="7"/>
      <c r="O500" s="7"/>
    </row>
    <row r="501" spans="2:15" x14ac:dyDescent="0.35">
      <c r="B501" s="7"/>
      <c r="C501" s="7"/>
      <c r="D501" s="7"/>
      <c r="E501" s="7"/>
      <c r="F501" s="7"/>
      <c r="G501" s="7"/>
      <c r="H501" s="7"/>
      <c r="I501" s="7"/>
      <c r="J501" s="7"/>
      <c r="K501" s="7"/>
      <c r="L501" s="7"/>
      <c r="M501" s="7"/>
      <c r="N501" s="7"/>
      <c r="O501" s="7"/>
    </row>
    <row r="502" spans="2:15" x14ac:dyDescent="0.35">
      <c r="B502" s="7"/>
      <c r="C502" s="7"/>
      <c r="D502" s="7"/>
      <c r="E502" s="7"/>
      <c r="F502" s="7"/>
      <c r="G502" s="7"/>
      <c r="H502" s="7"/>
      <c r="I502" s="7"/>
      <c r="J502" s="7"/>
      <c r="K502" s="7"/>
      <c r="L502" s="7"/>
      <c r="M502" s="7"/>
      <c r="N502" s="7"/>
      <c r="O502" s="7"/>
    </row>
    <row r="503" spans="2:15" x14ac:dyDescent="0.35">
      <c r="B503" s="7"/>
      <c r="C503" s="7"/>
      <c r="D503" s="7"/>
      <c r="E503" s="7"/>
      <c r="F503" s="7"/>
      <c r="G503" s="7"/>
      <c r="H503" s="7"/>
      <c r="I503" s="7"/>
      <c r="J503" s="7"/>
      <c r="K503" s="7"/>
      <c r="L503" s="7"/>
      <c r="M503" s="7"/>
      <c r="N503" s="7"/>
      <c r="O503" s="7"/>
    </row>
    <row r="504" spans="2:15" x14ac:dyDescent="0.35">
      <c r="B504" s="7"/>
      <c r="C504" s="7"/>
      <c r="D504" s="7"/>
      <c r="E504" s="7"/>
      <c r="F504" s="7"/>
      <c r="G504" s="7"/>
      <c r="H504" s="7"/>
      <c r="I504" s="7"/>
      <c r="J504" s="7"/>
      <c r="K504" s="7"/>
      <c r="L504" s="7"/>
      <c r="M504" s="7"/>
      <c r="N504" s="7"/>
      <c r="O504" s="7"/>
    </row>
    <row r="505" spans="2:15" x14ac:dyDescent="0.35">
      <c r="B505" s="7"/>
      <c r="C505" s="7"/>
      <c r="D505" s="7"/>
      <c r="E505" s="7"/>
      <c r="F505" s="7"/>
      <c r="G505" s="7"/>
      <c r="H505" s="7"/>
      <c r="I505" s="7"/>
      <c r="J505" s="7"/>
      <c r="K505" s="7"/>
      <c r="L505" s="7"/>
      <c r="M505" s="7"/>
      <c r="N505" s="7"/>
      <c r="O505" s="7"/>
    </row>
    <row r="506" spans="2:15" ht="62.5" x14ac:dyDescent="1.4">
      <c r="B506" s="2" t="s">
        <v>52</v>
      </c>
      <c r="C506" s="13">
        <f>Game!B115</f>
        <v>46083</v>
      </c>
      <c r="D506" s="13">
        <f>C506+6</f>
        <v>46089</v>
      </c>
      <c r="E506" s="7"/>
      <c r="F506" s="7"/>
      <c r="G506" s="7"/>
      <c r="H506" s="7"/>
      <c r="I506" s="7"/>
      <c r="J506" s="7"/>
      <c r="K506" s="7"/>
      <c r="L506" s="7"/>
      <c r="M506" s="7"/>
      <c r="N506" s="7"/>
      <c r="O506" s="7"/>
    </row>
    <row r="507" spans="2:15" x14ac:dyDescent="0.35">
      <c r="B507" s="7"/>
      <c r="C507" s="7"/>
      <c r="D507" s="7"/>
      <c r="E507" s="7"/>
      <c r="F507" s="7"/>
      <c r="G507" s="7"/>
      <c r="H507" s="7"/>
      <c r="I507" s="7"/>
      <c r="J507" s="7"/>
      <c r="K507" s="7"/>
      <c r="L507" s="7"/>
      <c r="M507" s="7"/>
      <c r="N507" s="7"/>
      <c r="O507" s="7"/>
    </row>
    <row r="508" spans="2:15" x14ac:dyDescent="0.35">
      <c r="B508" s="7"/>
      <c r="C508" s="7"/>
      <c r="D508" s="7"/>
      <c r="E508" s="7"/>
      <c r="F508" s="7"/>
      <c r="G508" s="7"/>
      <c r="H508" s="7"/>
      <c r="I508" s="7"/>
      <c r="J508" s="7"/>
      <c r="K508" s="7"/>
      <c r="L508" s="7"/>
      <c r="M508" s="7"/>
      <c r="N508" s="7"/>
      <c r="O508" s="7"/>
    </row>
    <row r="509" spans="2:15" x14ac:dyDescent="0.35">
      <c r="B509" s="7"/>
      <c r="C509" s="7"/>
      <c r="D509" s="7"/>
      <c r="E509" s="7"/>
      <c r="F509" s="7"/>
      <c r="G509" s="7"/>
      <c r="H509" s="7"/>
      <c r="I509" s="7"/>
      <c r="J509" s="7"/>
      <c r="K509" s="7"/>
      <c r="L509" s="7"/>
      <c r="M509" s="7"/>
      <c r="N509" s="7"/>
      <c r="O509" s="7"/>
    </row>
    <row r="510" spans="2:15" x14ac:dyDescent="0.35">
      <c r="B510" s="7"/>
      <c r="C510" s="7"/>
      <c r="D510" s="7"/>
      <c r="E510" s="7"/>
      <c r="F510" s="7"/>
      <c r="G510" s="7"/>
      <c r="H510" s="7"/>
      <c r="I510" s="7"/>
      <c r="J510" s="7"/>
      <c r="K510" s="7"/>
      <c r="L510" s="7"/>
      <c r="M510" s="7"/>
      <c r="N510" s="7"/>
      <c r="O510" s="7"/>
    </row>
    <row r="511" spans="2:15" x14ac:dyDescent="0.35">
      <c r="B511" s="7"/>
      <c r="C511" s="7"/>
      <c r="D511" s="7"/>
      <c r="E511" s="7"/>
      <c r="F511" s="7"/>
      <c r="G511" s="7"/>
      <c r="H511" s="7"/>
      <c r="I511" s="7"/>
      <c r="J511" s="7"/>
      <c r="K511" s="7"/>
      <c r="L511" s="7"/>
      <c r="M511" s="7"/>
      <c r="N511" s="7"/>
      <c r="O511" s="7"/>
    </row>
    <row r="512" spans="2:15" x14ac:dyDescent="0.35">
      <c r="B512" s="7"/>
      <c r="C512" s="7"/>
      <c r="D512" s="7"/>
      <c r="E512" s="7"/>
      <c r="F512" s="7"/>
      <c r="G512" s="7"/>
      <c r="H512" s="7"/>
      <c r="I512" s="7"/>
      <c r="J512" s="7"/>
      <c r="K512" s="7"/>
      <c r="L512" s="7"/>
      <c r="M512" s="7"/>
      <c r="N512" s="7"/>
      <c r="O512" s="7"/>
    </row>
    <row r="513" spans="2:15" x14ac:dyDescent="0.35">
      <c r="B513" s="7"/>
      <c r="C513" s="7"/>
      <c r="D513" s="7"/>
      <c r="E513" s="7"/>
      <c r="F513" s="7"/>
      <c r="G513" s="7"/>
      <c r="H513" s="7"/>
      <c r="I513" s="7"/>
      <c r="J513" s="7"/>
      <c r="K513" s="7"/>
      <c r="L513" s="7"/>
      <c r="M513" s="7"/>
      <c r="N513" s="7"/>
      <c r="O513" s="7"/>
    </row>
    <row r="514" spans="2:15" x14ac:dyDescent="0.35">
      <c r="B514" s="7"/>
      <c r="C514" s="7"/>
      <c r="D514" s="7"/>
      <c r="E514" s="7"/>
      <c r="F514" s="7"/>
      <c r="G514" s="7"/>
      <c r="H514" s="7"/>
      <c r="I514" s="7"/>
      <c r="J514" s="7"/>
      <c r="K514" s="7"/>
      <c r="L514" s="7"/>
      <c r="M514" s="7"/>
      <c r="N514" s="7"/>
      <c r="O514" s="7"/>
    </row>
    <row r="515" spans="2:15" x14ac:dyDescent="0.35">
      <c r="B515" s="7"/>
      <c r="C515" s="7"/>
      <c r="D515" s="7"/>
      <c r="E515" s="7"/>
      <c r="F515" s="7"/>
      <c r="G515" s="7"/>
      <c r="H515" s="7"/>
      <c r="I515" s="7"/>
      <c r="J515" s="7"/>
      <c r="K515" s="7"/>
      <c r="L515" s="7"/>
      <c r="M515" s="7"/>
      <c r="N515" s="7"/>
      <c r="O515" s="7"/>
    </row>
    <row r="516" spans="2:15" x14ac:dyDescent="0.35">
      <c r="B516" s="7"/>
      <c r="C516" s="7"/>
      <c r="D516" s="7"/>
      <c r="E516" s="7"/>
      <c r="F516" s="7"/>
      <c r="G516" s="7"/>
      <c r="H516" s="7"/>
      <c r="I516" s="7"/>
      <c r="J516" s="7"/>
      <c r="K516" s="7"/>
      <c r="L516" s="7"/>
      <c r="M516" s="7"/>
      <c r="N516" s="7"/>
      <c r="O516" s="7"/>
    </row>
    <row r="517" spans="2:15" x14ac:dyDescent="0.35">
      <c r="B517" s="7"/>
      <c r="C517" s="7"/>
      <c r="D517" s="7"/>
      <c r="E517" s="7"/>
      <c r="F517" s="7"/>
      <c r="G517" s="7"/>
      <c r="H517" s="7"/>
      <c r="I517" s="7"/>
      <c r="J517" s="7"/>
      <c r="K517" s="7"/>
      <c r="L517" s="7"/>
      <c r="M517" s="7"/>
      <c r="N517" s="7"/>
      <c r="O517" s="7"/>
    </row>
    <row r="518" spans="2:15" x14ac:dyDescent="0.35">
      <c r="B518" s="7"/>
      <c r="C518" s="7"/>
      <c r="D518" s="7"/>
      <c r="E518" s="7"/>
      <c r="F518" s="7"/>
      <c r="G518" s="7"/>
      <c r="H518" s="7"/>
      <c r="I518" s="7"/>
      <c r="J518" s="7"/>
      <c r="K518" s="7"/>
      <c r="L518" s="7"/>
      <c r="M518" s="7"/>
      <c r="N518" s="7"/>
      <c r="O518" s="7"/>
    </row>
    <row r="519" spans="2:15" x14ac:dyDescent="0.35">
      <c r="B519" s="7"/>
      <c r="C519" s="7"/>
      <c r="D519" s="7"/>
      <c r="E519" s="7"/>
      <c r="F519" s="7"/>
      <c r="G519" s="7"/>
      <c r="H519" s="7"/>
      <c r="I519" s="7"/>
      <c r="J519" s="7"/>
      <c r="K519" s="7"/>
      <c r="L519" s="7"/>
      <c r="M519" s="7"/>
      <c r="N519" s="7"/>
      <c r="O519" s="7"/>
    </row>
    <row r="520" spans="2:15" x14ac:dyDescent="0.35">
      <c r="B520" s="7"/>
      <c r="C520" s="7"/>
      <c r="D520" s="7"/>
      <c r="E520" s="7"/>
      <c r="F520" s="7"/>
      <c r="G520" s="7"/>
      <c r="H520" s="7"/>
      <c r="I520" s="7"/>
      <c r="J520" s="7"/>
      <c r="K520" s="7"/>
      <c r="L520" s="7"/>
      <c r="M520" s="7"/>
      <c r="N520" s="7"/>
      <c r="O520" s="7"/>
    </row>
    <row r="521" spans="2:15" x14ac:dyDescent="0.35">
      <c r="B521" s="7"/>
      <c r="C521" s="7"/>
      <c r="D521" s="7"/>
      <c r="E521" s="7"/>
      <c r="F521" s="7"/>
      <c r="G521" s="7"/>
      <c r="H521" s="7"/>
      <c r="I521" s="7"/>
      <c r="J521" s="7"/>
      <c r="K521" s="7"/>
      <c r="L521" s="7"/>
      <c r="M521" s="7"/>
      <c r="N521" s="7"/>
      <c r="O521" s="7"/>
    </row>
    <row r="522" spans="2:15" x14ac:dyDescent="0.35">
      <c r="B522" s="7"/>
      <c r="C522" s="7"/>
      <c r="D522" s="7"/>
      <c r="E522" s="7"/>
      <c r="F522" s="7"/>
      <c r="G522" s="7"/>
      <c r="H522" s="7"/>
      <c r="I522" s="7"/>
      <c r="J522" s="7"/>
      <c r="K522" s="7"/>
      <c r="L522" s="7"/>
      <c r="M522" s="7"/>
      <c r="N522" s="7"/>
      <c r="O522" s="7"/>
    </row>
    <row r="523" spans="2:15" x14ac:dyDescent="0.35">
      <c r="B523" s="7"/>
      <c r="C523" s="7"/>
      <c r="D523" s="7"/>
      <c r="E523" s="7"/>
      <c r="F523" s="7"/>
      <c r="G523" s="7"/>
      <c r="H523" s="7"/>
      <c r="I523" s="7"/>
      <c r="J523" s="7"/>
      <c r="K523" s="7"/>
      <c r="L523" s="7"/>
      <c r="M523" s="7"/>
      <c r="N523" s="7"/>
      <c r="O523" s="7"/>
    </row>
    <row r="524" spans="2:15" x14ac:dyDescent="0.35">
      <c r="B524" s="7"/>
      <c r="C524" s="7"/>
      <c r="D524" s="7"/>
      <c r="E524" s="7"/>
      <c r="F524" s="7"/>
      <c r="G524" s="7"/>
      <c r="H524" s="7"/>
      <c r="I524" s="7"/>
      <c r="J524" s="7"/>
      <c r="K524" s="7"/>
      <c r="L524" s="7"/>
      <c r="M524" s="7"/>
      <c r="N524" s="7"/>
      <c r="O524" s="7"/>
    </row>
    <row r="525" spans="2:15" x14ac:dyDescent="0.35">
      <c r="B525" s="7"/>
      <c r="C525" s="7"/>
      <c r="D525" s="7"/>
      <c r="E525" s="7"/>
      <c r="F525" s="7"/>
      <c r="G525" s="7"/>
      <c r="H525" s="7"/>
      <c r="I525" s="7"/>
      <c r="J525" s="7"/>
      <c r="K525" s="7"/>
      <c r="L525" s="7"/>
      <c r="M525" s="7"/>
      <c r="N525" s="7"/>
      <c r="O525" s="7"/>
    </row>
    <row r="526" spans="2:15" x14ac:dyDescent="0.35">
      <c r="B526" s="7"/>
      <c r="C526" s="7"/>
      <c r="D526" s="7"/>
      <c r="E526" s="7"/>
      <c r="F526" s="7"/>
      <c r="G526" s="7"/>
      <c r="H526" s="7"/>
      <c r="I526" s="7"/>
      <c r="J526" s="7"/>
      <c r="K526" s="7"/>
      <c r="L526" s="7"/>
      <c r="M526" s="7"/>
      <c r="N526" s="7"/>
      <c r="O526" s="7"/>
    </row>
    <row r="527" spans="2:15" x14ac:dyDescent="0.35">
      <c r="B527" s="7"/>
      <c r="C527" s="7"/>
      <c r="D527" s="7"/>
      <c r="E527" s="7"/>
      <c r="F527" s="7"/>
      <c r="G527" s="7"/>
      <c r="H527" s="7"/>
      <c r="I527" s="7"/>
      <c r="J527" s="7"/>
      <c r="K527" s="7"/>
      <c r="L527" s="7"/>
      <c r="M527" s="7"/>
      <c r="N527" s="7"/>
      <c r="O527" s="7"/>
    </row>
    <row r="528" spans="2:15" x14ac:dyDescent="0.35">
      <c r="B528" s="7"/>
      <c r="C528" s="7"/>
      <c r="D528" s="7"/>
      <c r="E528" s="7"/>
      <c r="F528" s="7"/>
      <c r="G528" s="7"/>
      <c r="H528" s="7"/>
      <c r="I528" s="7"/>
      <c r="J528" s="7"/>
      <c r="K528" s="7"/>
      <c r="L528" s="7"/>
      <c r="M528" s="7"/>
      <c r="N528" s="7"/>
      <c r="O528" s="7"/>
    </row>
    <row r="529" spans="2:15" x14ac:dyDescent="0.35">
      <c r="B529" s="7"/>
      <c r="C529" s="7"/>
      <c r="D529" s="7"/>
      <c r="E529" s="7"/>
      <c r="F529" s="7"/>
      <c r="G529" s="7"/>
      <c r="H529" s="7"/>
      <c r="I529" s="7"/>
      <c r="J529" s="7"/>
      <c r="K529" s="7"/>
      <c r="L529" s="7"/>
      <c r="M529" s="7"/>
      <c r="N529" s="7"/>
      <c r="O529" s="7"/>
    </row>
    <row r="530" spans="2:15" x14ac:dyDescent="0.35">
      <c r="B530" s="7"/>
      <c r="C530" s="7"/>
      <c r="D530" s="7"/>
      <c r="E530" s="7"/>
      <c r="F530" s="7"/>
      <c r="G530" s="7"/>
      <c r="H530" s="7"/>
      <c r="I530" s="7"/>
      <c r="J530" s="7"/>
      <c r="K530" s="7"/>
      <c r="L530" s="7"/>
      <c r="M530" s="7"/>
      <c r="N530" s="7"/>
      <c r="O530" s="7"/>
    </row>
    <row r="531" spans="2:15" x14ac:dyDescent="0.35">
      <c r="B531" s="7"/>
      <c r="C531" s="7"/>
      <c r="D531" s="7"/>
      <c r="E531" s="7"/>
      <c r="F531" s="7"/>
      <c r="G531" s="7"/>
      <c r="H531" s="7"/>
      <c r="I531" s="7"/>
      <c r="J531" s="7"/>
      <c r="K531" s="7"/>
      <c r="L531" s="7"/>
      <c r="M531" s="7"/>
      <c r="N531" s="7"/>
      <c r="O531" s="7"/>
    </row>
    <row r="532" spans="2:15" x14ac:dyDescent="0.35">
      <c r="B532" s="7"/>
      <c r="C532" s="7"/>
      <c r="D532" s="7"/>
      <c r="E532" s="7"/>
      <c r="F532" s="7"/>
      <c r="G532" s="7"/>
      <c r="H532" s="7"/>
      <c r="I532" s="7"/>
      <c r="J532" s="7"/>
      <c r="K532" s="7"/>
      <c r="L532" s="7"/>
      <c r="M532" s="7"/>
      <c r="N532" s="7"/>
      <c r="O532" s="7"/>
    </row>
    <row r="533" spans="2:15" x14ac:dyDescent="0.35">
      <c r="B533" s="7"/>
      <c r="C533" s="7"/>
      <c r="D533" s="7"/>
      <c r="E533" s="7"/>
      <c r="F533" s="7"/>
      <c r="G533" s="7"/>
      <c r="H533" s="7"/>
      <c r="I533" s="7"/>
      <c r="J533" s="7"/>
      <c r="K533" s="7"/>
      <c r="L533" s="7"/>
      <c r="M533" s="7"/>
      <c r="N533" s="7"/>
      <c r="O533" s="7"/>
    </row>
    <row r="534" spans="2:15" x14ac:dyDescent="0.35">
      <c r="B534" s="7"/>
      <c r="C534" s="7"/>
      <c r="D534" s="7"/>
      <c r="E534" s="7"/>
      <c r="F534" s="7"/>
      <c r="G534" s="7"/>
      <c r="H534" s="7"/>
      <c r="I534" s="7"/>
      <c r="J534" s="7"/>
      <c r="K534" s="7"/>
      <c r="L534" s="7"/>
      <c r="M534" s="7"/>
      <c r="N534" s="7"/>
      <c r="O534" s="7"/>
    </row>
    <row r="535" spans="2:15" x14ac:dyDescent="0.35">
      <c r="B535" s="7"/>
      <c r="C535" s="7"/>
      <c r="D535" s="7"/>
      <c r="E535" s="7"/>
      <c r="F535" s="7"/>
      <c r="G535" s="7"/>
      <c r="H535" s="7"/>
      <c r="I535" s="7"/>
      <c r="J535" s="7"/>
      <c r="K535" s="7"/>
      <c r="L535" s="7"/>
      <c r="M535" s="7"/>
      <c r="N535" s="7"/>
      <c r="O535" s="7"/>
    </row>
    <row r="536" spans="2:15" x14ac:dyDescent="0.35">
      <c r="B536" s="7"/>
      <c r="C536" s="7"/>
      <c r="D536" s="7"/>
      <c r="E536" s="7"/>
      <c r="F536" s="7"/>
      <c r="G536" s="7"/>
      <c r="H536" s="7"/>
      <c r="I536" s="7"/>
      <c r="J536" s="7"/>
      <c r="K536" s="7"/>
      <c r="L536" s="7"/>
      <c r="M536" s="7"/>
      <c r="N536" s="7"/>
      <c r="O536" s="7"/>
    </row>
    <row r="537" spans="2:15" x14ac:dyDescent="0.35">
      <c r="B537" s="7"/>
      <c r="C537" s="7"/>
      <c r="D537" s="7"/>
      <c r="E537" s="7"/>
      <c r="F537" s="7"/>
      <c r="G537" s="7"/>
      <c r="H537" s="7"/>
      <c r="I537" s="7"/>
      <c r="J537" s="7"/>
      <c r="K537" s="7"/>
      <c r="L537" s="7"/>
      <c r="M537" s="7"/>
      <c r="N537" s="7"/>
      <c r="O537" s="7"/>
    </row>
    <row r="538" spans="2:15" x14ac:dyDescent="0.35">
      <c r="B538" s="7"/>
      <c r="C538" s="7"/>
      <c r="D538" s="7"/>
      <c r="E538" s="7"/>
      <c r="F538" s="7"/>
      <c r="G538" s="7"/>
      <c r="H538" s="7"/>
      <c r="I538" s="7"/>
      <c r="J538" s="7"/>
      <c r="K538" s="7"/>
      <c r="L538" s="7"/>
      <c r="M538" s="7"/>
      <c r="N538" s="7"/>
      <c r="O538" s="7"/>
    </row>
    <row r="539" spans="2:15" x14ac:dyDescent="0.35">
      <c r="B539" s="7"/>
      <c r="C539" s="7"/>
      <c r="D539" s="7"/>
      <c r="E539" s="7"/>
      <c r="F539" s="7"/>
      <c r="G539" s="7"/>
      <c r="H539" s="7"/>
      <c r="I539" s="7"/>
      <c r="J539" s="7"/>
      <c r="K539" s="7"/>
      <c r="L539" s="7"/>
      <c r="M539" s="7"/>
      <c r="N539" s="7"/>
      <c r="O539" s="7"/>
    </row>
    <row r="540" spans="2:15" x14ac:dyDescent="0.35">
      <c r="B540" s="7"/>
      <c r="C540" s="7"/>
      <c r="D540" s="7"/>
      <c r="E540" s="7"/>
      <c r="F540" s="7"/>
      <c r="G540" s="7"/>
      <c r="H540" s="7"/>
      <c r="I540" s="7"/>
      <c r="J540" s="7"/>
      <c r="K540" s="7"/>
      <c r="L540" s="7"/>
      <c r="M540" s="7"/>
      <c r="N540" s="7"/>
      <c r="O540" s="7"/>
    </row>
    <row r="541" spans="2:15" ht="62.5" x14ac:dyDescent="1.4">
      <c r="B541" s="2" t="s">
        <v>57</v>
      </c>
      <c r="C541" s="13">
        <f>Game!B129</f>
        <v>46090</v>
      </c>
      <c r="D541" s="13">
        <f>C541+6</f>
        <v>46096</v>
      </c>
      <c r="E541" s="7"/>
      <c r="F541" s="7"/>
      <c r="G541" s="7"/>
      <c r="H541" s="7"/>
      <c r="I541" s="7"/>
      <c r="J541" s="7"/>
      <c r="K541" s="7"/>
      <c r="L541" s="7"/>
      <c r="M541" s="7"/>
      <c r="N541" s="7"/>
      <c r="O541" s="7"/>
    </row>
    <row r="542" spans="2:15" x14ac:dyDescent="0.35">
      <c r="B542" s="7"/>
      <c r="C542" s="7"/>
      <c r="D542" s="7"/>
      <c r="E542" s="7"/>
      <c r="F542" s="7"/>
      <c r="G542" s="7"/>
      <c r="H542" s="7"/>
      <c r="I542" s="7"/>
      <c r="J542" s="7"/>
      <c r="K542" s="7"/>
      <c r="L542" s="7"/>
      <c r="M542" s="7"/>
      <c r="N542" s="7"/>
      <c r="O542" s="7"/>
    </row>
    <row r="543" spans="2:15" x14ac:dyDescent="0.35">
      <c r="B543" s="7"/>
      <c r="C543" s="7"/>
      <c r="D543" s="7"/>
      <c r="E543" s="7"/>
      <c r="F543" s="7"/>
      <c r="G543" s="7"/>
      <c r="H543" s="7"/>
      <c r="I543" s="7"/>
      <c r="J543" s="7"/>
      <c r="K543" s="7"/>
      <c r="L543" s="7"/>
      <c r="M543" s="7"/>
      <c r="N543" s="7"/>
      <c r="O543" s="7"/>
    </row>
    <row r="544" spans="2:15" x14ac:dyDescent="0.35">
      <c r="B544" s="7"/>
      <c r="C544" s="7"/>
      <c r="D544" s="7"/>
      <c r="E544" s="7"/>
      <c r="F544" s="7"/>
      <c r="G544" s="7"/>
      <c r="H544" s="7"/>
      <c r="I544" s="7"/>
      <c r="J544" s="7"/>
      <c r="K544" s="7"/>
      <c r="L544" s="7"/>
      <c r="M544" s="7"/>
      <c r="N544" s="7"/>
      <c r="O544" s="7"/>
    </row>
    <row r="545" spans="2:15" x14ac:dyDescent="0.35">
      <c r="B545" s="7"/>
      <c r="C545" s="7"/>
      <c r="D545" s="7"/>
      <c r="E545" s="7"/>
      <c r="F545" s="7"/>
      <c r="G545" s="7"/>
      <c r="H545" s="7"/>
      <c r="I545" s="7"/>
      <c r="J545" s="7"/>
      <c r="K545" s="7"/>
      <c r="L545" s="7"/>
      <c r="M545" s="7"/>
      <c r="N545" s="7"/>
      <c r="O545" s="7"/>
    </row>
    <row r="546" spans="2:15" x14ac:dyDescent="0.35">
      <c r="B546" s="7"/>
      <c r="C546" s="7"/>
      <c r="D546" s="7"/>
      <c r="E546" s="7"/>
      <c r="F546" s="7"/>
      <c r="G546" s="7"/>
      <c r="H546" s="7"/>
      <c r="I546" s="7"/>
      <c r="J546" s="7"/>
      <c r="K546" s="7"/>
      <c r="L546" s="7"/>
      <c r="M546" s="7"/>
      <c r="N546" s="7"/>
      <c r="O546" s="7"/>
    </row>
    <row r="547" spans="2:15" x14ac:dyDescent="0.35">
      <c r="B547" s="7"/>
      <c r="C547" s="7"/>
      <c r="D547" s="7"/>
      <c r="E547" s="7"/>
      <c r="F547" s="7"/>
      <c r="G547" s="7"/>
      <c r="H547" s="7"/>
      <c r="I547" s="7"/>
      <c r="J547" s="7"/>
      <c r="K547" s="7"/>
      <c r="L547" s="7"/>
      <c r="M547" s="7"/>
      <c r="N547" s="7"/>
      <c r="O547" s="7"/>
    </row>
    <row r="548" spans="2:15" x14ac:dyDescent="0.35">
      <c r="B548" s="7"/>
      <c r="C548" s="7"/>
      <c r="D548" s="7"/>
      <c r="E548" s="7"/>
      <c r="F548" s="7"/>
      <c r="G548" s="7"/>
      <c r="H548" s="7"/>
      <c r="I548" s="7"/>
      <c r="J548" s="7"/>
      <c r="K548" s="7"/>
      <c r="L548" s="7"/>
      <c r="M548" s="7"/>
      <c r="N548" s="7"/>
      <c r="O548" s="7"/>
    </row>
    <row r="549" spans="2:15" x14ac:dyDescent="0.35">
      <c r="B549" s="7"/>
      <c r="C549" s="7"/>
      <c r="D549" s="7"/>
      <c r="E549" s="7"/>
      <c r="F549" s="7"/>
      <c r="G549" s="7"/>
      <c r="H549" s="7"/>
      <c r="I549" s="7"/>
      <c r="J549" s="7"/>
      <c r="K549" s="7"/>
      <c r="L549" s="7"/>
      <c r="M549" s="7"/>
      <c r="N549" s="7"/>
      <c r="O549" s="7"/>
    </row>
    <row r="550" spans="2:15" x14ac:dyDescent="0.35">
      <c r="B550" s="7"/>
      <c r="C550" s="7"/>
      <c r="D550" s="7"/>
      <c r="E550" s="7"/>
      <c r="F550" s="7"/>
      <c r="G550" s="7"/>
      <c r="H550" s="7"/>
      <c r="I550" s="7"/>
      <c r="J550" s="7"/>
      <c r="K550" s="7"/>
      <c r="L550" s="7"/>
      <c r="M550" s="7"/>
      <c r="N550" s="7"/>
      <c r="O550" s="7"/>
    </row>
    <row r="551" spans="2:15" x14ac:dyDescent="0.35">
      <c r="B551" s="7"/>
      <c r="C551" s="7"/>
      <c r="D551" s="7"/>
      <c r="E551" s="7"/>
      <c r="F551" s="7"/>
      <c r="G551" s="7"/>
      <c r="H551" s="7"/>
      <c r="I551" s="7"/>
      <c r="J551" s="7"/>
      <c r="K551" s="7"/>
      <c r="L551" s="7"/>
      <c r="M551" s="7"/>
      <c r="N551" s="7"/>
      <c r="O551" s="7"/>
    </row>
    <row r="552" spans="2:15" x14ac:dyDescent="0.35">
      <c r="B552" s="7"/>
      <c r="C552" s="7"/>
      <c r="D552" s="7"/>
      <c r="E552" s="7"/>
      <c r="F552" s="7"/>
      <c r="G552" s="7"/>
      <c r="H552" s="7"/>
      <c r="I552" s="7"/>
      <c r="J552" s="7"/>
      <c r="K552" s="7"/>
      <c r="L552" s="7"/>
      <c r="M552" s="7"/>
      <c r="N552" s="7"/>
      <c r="O552" s="7"/>
    </row>
    <row r="553" spans="2:15" x14ac:dyDescent="0.35">
      <c r="B553" s="7"/>
      <c r="C553" s="7"/>
      <c r="D553" s="7"/>
      <c r="E553" s="7"/>
      <c r="F553" s="7"/>
      <c r="G553" s="7"/>
      <c r="H553" s="7"/>
      <c r="I553" s="7"/>
      <c r="J553" s="7"/>
      <c r="K553" s="7"/>
      <c r="L553" s="7"/>
      <c r="M553" s="7"/>
      <c r="N553" s="7"/>
      <c r="O553" s="7"/>
    </row>
    <row r="554" spans="2:15" x14ac:dyDescent="0.35">
      <c r="B554" s="7"/>
      <c r="C554" s="7"/>
      <c r="D554" s="7"/>
      <c r="E554" s="7"/>
      <c r="F554" s="7"/>
      <c r="G554" s="7"/>
      <c r="H554" s="7"/>
      <c r="I554" s="7"/>
      <c r="J554" s="7"/>
      <c r="K554" s="7"/>
      <c r="L554" s="7"/>
      <c r="M554" s="7"/>
      <c r="N554" s="7"/>
      <c r="O554" s="7"/>
    </row>
    <row r="555" spans="2:15" x14ac:dyDescent="0.35">
      <c r="B555" s="7"/>
      <c r="C555" s="7"/>
      <c r="D555" s="7"/>
      <c r="E555" s="7"/>
      <c r="F555" s="7"/>
      <c r="G555" s="7"/>
      <c r="H555" s="7"/>
      <c r="I555" s="7"/>
      <c r="J555" s="7"/>
      <c r="K555" s="7"/>
      <c r="L555" s="7"/>
      <c r="M555" s="7"/>
      <c r="N555" s="7"/>
      <c r="O555" s="7"/>
    </row>
    <row r="556" spans="2:15" x14ac:dyDescent="0.35">
      <c r="B556" s="7"/>
      <c r="C556" s="7"/>
      <c r="D556" s="7"/>
      <c r="E556" s="7"/>
      <c r="F556" s="7"/>
      <c r="G556" s="7"/>
      <c r="H556" s="7"/>
      <c r="I556" s="7"/>
      <c r="J556" s="7"/>
      <c r="K556" s="7"/>
      <c r="L556" s="7"/>
      <c r="M556" s="7"/>
      <c r="N556" s="7"/>
      <c r="O556" s="7"/>
    </row>
    <row r="557" spans="2:15" x14ac:dyDescent="0.35">
      <c r="B557" s="7"/>
      <c r="C557" s="7"/>
      <c r="D557" s="7"/>
      <c r="E557" s="7"/>
      <c r="F557" s="7"/>
      <c r="G557" s="7"/>
      <c r="H557" s="7"/>
      <c r="I557" s="7"/>
      <c r="J557" s="7"/>
      <c r="K557" s="7"/>
      <c r="L557" s="7"/>
      <c r="M557" s="7"/>
      <c r="N557" s="7"/>
      <c r="O557" s="7"/>
    </row>
    <row r="558" spans="2:15" x14ac:dyDescent="0.35">
      <c r="B558" s="7"/>
      <c r="C558" s="7"/>
      <c r="D558" s="7"/>
      <c r="E558" s="7"/>
      <c r="F558" s="7"/>
      <c r="G558" s="7"/>
      <c r="H558" s="7"/>
      <c r="I558" s="7"/>
      <c r="J558" s="7"/>
      <c r="K558" s="7"/>
      <c r="L558" s="7"/>
      <c r="M558" s="7"/>
      <c r="N558" s="7"/>
      <c r="O558" s="7"/>
    </row>
    <row r="559" spans="2:15" x14ac:dyDescent="0.35">
      <c r="B559" s="7"/>
      <c r="C559" s="7"/>
      <c r="D559" s="7"/>
      <c r="E559" s="7"/>
      <c r="F559" s="7"/>
      <c r="G559" s="7"/>
      <c r="H559" s="7"/>
      <c r="I559" s="7"/>
      <c r="J559" s="7"/>
      <c r="K559" s="7"/>
      <c r="L559" s="7"/>
      <c r="M559" s="7"/>
      <c r="N559" s="7"/>
      <c r="O559" s="7"/>
    </row>
    <row r="560" spans="2:15" x14ac:dyDescent="0.35">
      <c r="B560" s="7"/>
      <c r="C560" s="7"/>
      <c r="D560" s="7"/>
      <c r="E560" s="7"/>
      <c r="F560" s="7"/>
      <c r="G560" s="7"/>
      <c r="H560" s="7"/>
      <c r="I560" s="7"/>
      <c r="J560" s="7"/>
      <c r="K560" s="7"/>
      <c r="L560" s="7"/>
      <c r="M560" s="7"/>
      <c r="N560" s="7"/>
      <c r="O560" s="7"/>
    </row>
    <row r="561" spans="2:15" x14ac:dyDescent="0.35">
      <c r="B561" s="7"/>
      <c r="C561" s="7"/>
      <c r="D561" s="7"/>
      <c r="E561" s="7"/>
      <c r="F561" s="7"/>
      <c r="G561" s="7"/>
      <c r="H561" s="7"/>
      <c r="I561" s="7"/>
      <c r="J561" s="7"/>
      <c r="K561" s="7"/>
      <c r="L561" s="7"/>
      <c r="M561" s="7"/>
      <c r="N561" s="7"/>
      <c r="O561" s="7"/>
    </row>
    <row r="562" spans="2:15" x14ac:dyDescent="0.35">
      <c r="B562" s="7"/>
      <c r="C562" s="7"/>
      <c r="D562" s="7"/>
      <c r="E562" s="7"/>
      <c r="F562" s="7"/>
      <c r="G562" s="7"/>
      <c r="H562" s="7"/>
      <c r="I562" s="7"/>
      <c r="J562" s="7"/>
      <c r="K562" s="7"/>
      <c r="L562" s="7"/>
      <c r="M562" s="7"/>
      <c r="N562" s="7"/>
      <c r="O562" s="7"/>
    </row>
    <row r="563" spans="2:15" x14ac:dyDescent="0.35">
      <c r="B563" s="7"/>
      <c r="C563" s="7"/>
      <c r="D563" s="7"/>
      <c r="E563" s="7"/>
      <c r="F563" s="7"/>
      <c r="G563" s="7"/>
      <c r="H563" s="7"/>
      <c r="I563" s="7"/>
      <c r="J563" s="7"/>
      <c r="K563" s="7"/>
      <c r="L563" s="7"/>
      <c r="M563" s="7"/>
      <c r="N563" s="7"/>
      <c r="O563" s="7"/>
    </row>
    <row r="564" spans="2:15" x14ac:dyDescent="0.35">
      <c r="B564" s="7"/>
      <c r="C564" s="7"/>
      <c r="D564" s="7"/>
      <c r="E564" s="7"/>
      <c r="F564" s="7"/>
      <c r="G564" s="7"/>
      <c r="H564" s="7"/>
      <c r="I564" s="7"/>
      <c r="J564" s="7"/>
      <c r="K564" s="7"/>
      <c r="L564" s="7"/>
      <c r="M564" s="7"/>
      <c r="N564" s="7"/>
      <c r="O564" s="7"/>
    </row>
    <row r="565" spans="2:15" x14ac:dyDescent="0.35">
      <c r="B565" s="7"/>
      <c r="C565" s="7"/>
      <c r="D565" s="7"/>
      <c r="E565" s="7"/>
      <c r="F565" s="7"/>
      <c r="G565" s="7"/>
      <c r="H565" s="7"/>
      <c r="I565" s="7"/>
      <c r="J565" s="7"/>
      <c r="K565" s="7"/>
      <c r="L565" s="7"/>
      <c r="M565" s="7"/>
      <c r="N565" s="7"/>
      <c r="O565" s="7"/>
    </row>
    <row r="566" spans="2:15" x14ac:dyDescent="0.35">
      <c r="B566" s="7"/>
      <c r="C566" s="7"/>
      <c r="D566" s="7"/>
      <c r="E566" s="7"/>
      <c r="F566" s="7"/>
      <c r="G566" s="7"/>
      <c r="H566" s="7"/>
      <c r="I566" s="7"/>
      <c r="J566" s="7"/>
      <c r="K566" s="7"/>
      <c r="L566" s="7"/>
      <c r="M566" s="7"/>
      <c r="N566" s="7"/>
      <c r="O566" s="7"/>
    </row>
    <row r="567" spans="2:15" x14ac:dyDescent="0.35">
      <c r="B567" s="7"/>
      <c r="C567" s="7"/>
      <c r="D567" s="7"/>
      <c r="E567" s="7"/>
      <c r="F567" s="7"/>
      <c r="G567" s="7"/>
      <c r="H567" s="7"/>
      <c r="I567" s="7"/>
      <c r="J567" s="7"/>
      <c r="K567" s="7"/>
      <c r="L567" s="7"/>
      <c r="M567" s="7"/>
      <c r="N567" s="7"/>
      <c r="O567" s="7"/>
    </row>
    <row r="568" spans="2:15" x14ac:dyDescent="0.35">
      <c r="B568" s="7"/>
      <c r="C568" s="7"/>
      <c r="D568" s="7"/>
      <c r="E568" s="7"/>
      <c r="F568" s="7"/>
      <c r="G568" s="7"/>
      <c r="H568" s="7"/>
      <c r="I568" s="7"/>
      <c r="J568" s="7"/>
      <c r="K568" s="7"/>
      <c r="L568" s="7"/>
      <c r="M568" s="7"/>
      <c r="N568" s="7"/>
      <c r="O568" s="7"/>
    </row>
    <row r="569" spans="2:15" x14ac:dyDescent="0.35">
      <c r="B569" s="7"/>
      <c r="C569" s="7"/>
      <c r="D569" s="7"/>
      <c r="E569" s="7"/>
      <c r="F569" s="7"/>
      <c r="G569" s="7"/>
      <c r="H569" s="7"/>
      <c r="I569" s="7"/>
      <c r="J569" s="7"/>
      <c r="K569" s="7"/>
      <c r="L569" s="7"/>
      <c r="M569" s="7"/>
      <c r="N569" s="7"/>
      <c r="O569" s="7"/>
    </row>
    <row r="570" spans="2:15" x14ac:dyDescent="0.35">
      <c r="B570" s="7"/>
      <c r="C570" s="7"/>
      <c r="D570" s="7"/>
      <c r="E570" s="7"/>
      <c r="F570" s="7"/>
      <c r="G570" s="7"/>
      <c r="H570" s="7"/>
      <c r="I570" s="7"/>
      <c r="J570" s="7"/>
      <c r="K570" s="7"/>
      <c r="L570" s="7"/>
      <c r="M570" s="7"/>
      <c r="N570" s="7"/>
      <c r="O570" s="7"/>
    </row>
    <row r="571" spans="2:15" x14ac:dyDescent="0.35">
      <c r="B571" s="7"/>
      <c r="C571" s="7"/>
      <c r="D571" s="7"/>
      <c r="E571" s="7"/>
      <c r="F571" s="7"/>
      <c r="G571" s="7"/>
      <c r="H571" s="7"/>
      <c r="I571" s="7"/>
      <c r="J571" s="7"/>
      <c r="K571" s="7"/>
      <c r="L571" s="7"/>
      <c r="M571" s="7"/>
      <c r="N571" s="7"/>
      <c r="O571" s="7"/>
    </row>
    <row r="572" spans="2:15" x14ac:dyDescent="0.35">
      <c r="B572" s="7"/>
      <c r="C572" s="7"/>
      <c r="D572" s="7"/>
      <c r="E572" s="7"/>
      <c r="F572" s="7"/>
      <c r="G572" s="7"/>
      <c r="H572" s="7"/>
      <c r="I572" s="7"/>
      <c r="J572" s="7"/>
      <c r="K572" s="7"/>
      <c r="L572" s="7"/>
      <c r="M572" s="7"/>
      <c r="N572" s="7"/>
      <c r="O572" s="7"/>
    </row>
    <row r="573" spans="2:15" x14ac:dyDescent="0.35">
      <c r="B573" s="7"/>
      <c r="C573" s="7"/>
      <c r="D573" s="7"/>
      <c r="E573" s="7"/>
      <c r="F573" s="7"/>
      <c r="G573" s="7"/>
      <c r="H573" s="7"/>
      <c r="I573" s="7"/>
      <c r="J573" s="7"/>
      <c r="K573" s="7"/>
      <c r="L573" s="7"/>
      <c r="M573" s="7"/>
      <c r="N573" s="7"/>
      <c r="O573" s="7"/>
    </row>
    <row r="574" spans="2:15" x14ac:dyDescent="0.35">
      <c r="B574" s="7"/>
      <c r="C574" s="7"/>
      <c r="D574" s="7"/>
      <c r="E574" s="7"/>
      <c r="F574" s="7"/>
      <c r="G574" s="7"/>
      <c r="H574" s="7"/>
      <c r="I574" s="7"/>
      <c r="J574" s="7"/>
      <c r="K574" s="7"/>
      <c r="L574" s="7"/>
      <c r="M574" s="7"/>
      <c r="N574" s="7"/>
      <c r="O574" s="7"/>
    </row>
    <row r="575" spans="2:15" x14ac:dyDescent="0.35">
      <c r="B575" s="7"/>
      <c r="C575" s="7"/>
      <c r="D575" s="7"/>
      <c r="E575" s="7"/>
      <c r="F575" s="7"/>
      <c r="G575" s="7"/>
      <c r="H575" s="7"/>
      <c r="I575" s="7"/>
      <c r="J575" s="7"/>
      <c r="K575" s="7"/>
      <c r="L575" s="7"/>
      <c r="M575" s="7"/>
      <c r="N575" s="7"/>
      <c r="O575" s="7"/>
    </row>
    <row r="576" spans="2:15" x14ac:dyDescent="0.35">
      <c r="B576" s="7"/>
      <c r="C576" s="7"/>
      <c r="D576" s="7"/>
      <c r="E576" s="7"/>
      <c r="F576" s="7"/>
      <c r="G576" s="7"/>
      <c r="H576" s="7"/>
      <c r="I576" s="7"/>
      <c r="J576" s="7"/>
      <c r="K576" s="7"/>
      <c r="L576" s="7"/>
      <c r="M576" s="7"/>
      <c r="N576" s="7"/>
      <c r="O576" s="7"/>
    </row>
    <row r="577" spans="2:15" ht="62.5" x14ac:dyDescent="1.4">
      <c r="B577" s="2" t="s">
        <v>58</v>
      </c>
      <c r="C577" s="13">
        <f>Game!B143</f>
        <v>46097</v>
      </c>
      <c r="D577" s="13">
        <f>C577+6</f>
        <v>46103</v>
      </c>
      <c r="E577" s="7"/>
      <c r="F577" s="7"/>
      <c r="G577" s="7"/>
      <c r="H577" s="7"/>
      <c r="I577" s="7"/>
      <c r="J577" s="7"/>
      <c r="K577" s="7"/>
      <c r="L577" s="7"/>
      <c r="M577" s="7"/>
      <c r="N577" s="7"/>
      <c r="O577" s="7"/>
    </row>
    <row r="578" spans="2:15" x14ac:dyDescent="0.35">
      <c r="B578" s="7"/>
      <c r="C578" s="7"/>
      <c r="D578" s="7"/>
      <c r="E578" s="7"/>
      <c r="F578" s="7"/>
      <c r="G578" s="7"/>
      <c r="H578" s="7"/>
      <c r="I578" s="7"/>
      <c r="J578" s="7"/>
      <c r="K578" s="7"/>
      <c r="L578" s="7"/>
      <c r="M578" s="7"/>
      <c r="N578" s="7"/>
      <c r="O578" s="7"/>
    </row>
    <row r="579" spans="2:15" x14ac:dyDescent="0.35">
      <c r="B579" s="7"/>
      <c r="C579" s="7"/>
      <c r="D579" s="7"/>
      <c r="E579" s="7"/>
      <c r="F579" s="7"/>
      <c r="G579" s="7"/>
      <c r="H579" s="7"/>
      <c r="I579" s="7"/>
      <c r="J579" s="7"/>
      <c r="K579" s="7"/>
      <c r="L579" s="7"/>
      <c r="M579" s="7"/>
      <c r="N579" s="7"/>
      <c r="O579" s="7"/>
    </row>
    <row r="580" spans="2:15" x14ac:dyDescent="0.35">
      <c r="B580" s="7"/>
      <c r="C580" s="7"/>
      <c r="D580" s="7"/>
      <c r="E580" s="7"/>
      <c r="F580" s="7"/>
      <c r="G580" s="7"/>
      <c r="H580" s="7"/>
      <c r="I580" s="7"/>
      <c r="J580" s="7"/>
      <c r="K580" s="7"/>
      <c r="L580" s="7"/>
      <c r="M580" s="7"/>
      <c r="N580" s="7"/>
      <c r="O580" s="7"/>
    </row>
    <row r="581" spans="2:15" x14ac:dyDescent="0.35">
      <c r="B581" s="7"/>
      <c r="C581" s="7"/>
      <c r="D581" s="7"/>
      <c r="E581" s="7"/>
      <c r="F581" s="7"/>
      <c r="G581" s="7"/>
      <c r="H581" s="7"/>
      <c r="I581" s="7"/>
      <c r="J581" s="7"/>
      <c r="K581" s="7"/>
      <c r="L581" s="7"/>
      <c r="M581" s="7"/>
      <c r="N581" s="7"/>
      <c r="O581" s="7"/>
    </row>
    <row r="582" spans="2:15" x14ac:dyDescent="0.35">
      <c r="B582" s="7"/>
      <c r="C582" s="7"/>
      <c r="D582" s="7"/>
      <c r="E582" s="7"/>
      <c r="F582" s="7"/>
      <c r="G582" s="7"/>
      <c r="H582" s="7"/>
      <c r="I582" s="7"/>
      <c r="J582" s="7"/>
      <c r="K582" s="7"/>
      <c r="L582" s="7"/>
      <c r="M582" s="7"/>
      <c r="N582" s="7"/>
      <c r="O582" s="7"/>
    </row>
    <row r="583" spans="2:15" x14ac:dyDescent="0.35">
      <c r="B583" s="7"/>
      <c r="C583" s="7"/>
      <c r="D583" s="7"/>
      <c r="E583" s="7"/>
      <c r="F583" s="7"/>
      <c r="G583" s="7"/>
      <c r="H583" s="7"/>
      <c r="I583" s="7"/>
      <c r="J583" s="7"/>
      <c r="K583" s="7"/>
      <c r="L583" s="7"/>
      <c r="M583" s="7"/>
      <c r="N583" s="7"/>
      <c r="O583" s="7"/>
    </row>
    <row r="584" spans="2:15" x14ac:dyDescent="0.35">
      <c r="B584" s="7"/>
      <c r="C584" s="7"/>
      <c r="D584" s="7"/>
      <c r="E584" s="7"/>
      <c r="F584" s="7"/>
      <c r="G584" s="7"/>
      <c r="H584" s="7"/>
      <c r="I584" s="7"/>
      <c r="J584" s="7"/>
      <c r="K584" s="7"/>
      <c r="L584" s="7"/>
      <c r="M584" s="7"/>
      <c r="N584" s="7"/>
      <c r="O584" s="7"/>
    </row>
    <row r="585" spans="2:15" x14ac:dyDescent="0.35">
      <c r="B585" s="7"/>
      <c r="C585" s="7"/>
      <c r="D585" s="7"/>
      <c r="E585" s="7"/>
      <c r="F585" s="7"/>
      <c r="G585" s="7"/>
      <c r="H585" s="7"/>
      <c r="I585" s="7"/>
      <c r="J585" s="7"/>
      <c r="K585" s="7"/>
      <c r="L585" s="7"/>
      <c r="M585" s="7"/>
      <c r="N585" s="7"/>
      <c r="O585" s="7"/>
    </row>
    <row r="586" spans="2:15" x14ac:dyDescent="0.35">
      <c r="B586" s="7"/>
      <c r="C586" s="7"/>
      <c r="D586" s="7"/>
      <c r="E586" s="7"/>
      <c r="F586" s="7"/>
      <c r="G586" s="7"/>
      <c r="H586" s="7"/>
      <c r="I586" s="7"/>
      <c r="J586" s="7"/>
      <c r="K586" s="7"/>
      <c r="L586" s="7"/>
      <c r="M586" s="7"/>
      <c r="N586" s="7"/>
      <c r="O586" s="7"/>
    </row>
    <row r="587" spans="2:15" x14ac:dyDescent="0.35">
      <c r="B587" s="7"/>
      <c r="C587" s="7"/>
      <c r="D587" s="7"/>
      <c r="E587" s="7"/>
      <c r="F587" s="7"/>
      <c r="G587" s="7"/>
      <c r="H587" s="7"/>
      <c r="I587" s="7"/>
      <c r="J587" s="7"/>
      <c r="K587" s="7"/>
      <c r="L587" s="7"/>
      <c r="M587" s="7"/>
      <c r="N587" s="7"/>
      <c r="O587" s="7"/>
    </row>
    <row r="588" spans="2:15" x14ac:dyDescent="0.35">
      <c r="B588" s="7"/>
      <c r="C588" s="7"/>
      <c r="D588" s="7"/>
      <c r="E588" s="7"/>
      <c r="F588" s="7"/>
      <c r="G588" s="7"/>
      <c r="H588" s="7"/>
      <c r="I588" s="7"/>
      <c r="J588" s="7"/>
      <c r="K588" s="7"/>
      <c r="L588" s="7"/>
      <c r="M588" s="7"/>
      <c r="N588" s="7"/>
      <c r="O588" s="7"/>
    </row>
    <row r="589" spans="2:15" x14ac:dyDescent="0.35">
      <c r="B589" s="7"/>
      <c r="C589" s="7"/>
      <c r="D589" s="7"/>
      <c r="E589" s="7"/>
      <c r="F589" s="7"/>
      <c r="G589" s="7"/>
      <c r="H589" s="7"/>
      <c r="I589" s="7"/>
      <c r="J589" s="7"/>
      <c r="K589" s="7"/>
      <c r="L589" s="7"/>
      <c r="M589" s="7"/>
      <c r="N589" s="7"/>
      <c r="O589" s="7"/>
    </row>
    <row r="590" spans="2:15" x14ac:dyDescent="0.35">
      <c r="B590" s="7"/>
      <c r="C590" s="7"/>
      <c r="D590" s="7"/>
      <c r="E590" s="7"/>
      <c r="F590" s="7"/>
      <c r="G590" s="7"/>
      <c r="H590" s="7"/>
      <c r="I590" s="7"/>
      <c r="J590" s="7"/>
      <c r="K590" s="7"/>
      <c r="L590" s="7"/>
      <c r="M590" s="7"/>
      <c r="N590" s="7"/>
      <c r="O590" s="7"/>
    </row>
    <row r="591" spans="2:15" x14ac:dyDescent="0.35">
      <c r="B591" s="7"/>
      <c r="C591" s="7"/>
      <c r="D591" s="7"/>
      <c r="E591" s="7"/>
      <c r="F591" s="7"/>
      <c r="G591" s="7"/>
      <c r="H591" s="7"/>
      <c r="I591" s="7"/>
      <c r="J591" s="7"/>
      <c r="K591" s="7"/>
      <c r="L591" s="7"/>
      <c r="M591" s="7"/>
      <c r="N591" s="7"/>
      <c r="O591" s="7"/>
    </row>
    <row r="592" spans="2:15" x14ac:dyDescent="0.35">
      <c r="B592" s="7"/>
      <c r="C592" s="7"/>
      <c r="D592" s="7"/>
      <c r="E592" s="7"/>
      <c r="F592" s="7"/>
      <c r="G592" s="7"/>
      <c r="H592" s="7"/>
      <c r="I592" s="7"/>
      <c r="J592" s="7"/>
      <c r="K592" s="7"/>
      <c r="L592" s="7"/>
      <c r="M592" s="7"/>
      <c r="N592" s="7"/>
      <c r="O592" s="7"/>
    </row>
    <row r="593" spans="2:15" x14ac:dyDescent="0.35">
      <c r="B593" s="7"/>
      <c r="C593" s="7"/>
      <c r="D593" s="7"/>
      <c r="E593" s="7"/>
      <c r="F593" s="7"/>
      <c r="G593" s="7"/>
      <c r="H593" s="7"/>
      <c r="I593" s="7"/>
      <c r="J593" s="7"/>
      <c r="K593" s="7"/>
      <c r="L593" s="7"/>
      <c r="M593" s="7"/>
      <c r="N593" s="7"/>
      <c r="O593" s="7"/>
    </row>
    <row r="594" spans="2:15" x14ac:dyDescent="0.35">
      <c r="B594" s="7"/>
      <c r="C594" s="7"/>
      <c r="D594" s="7"/>
      <c r="E594" s="7"/>
      <c r="F594" s="7"/>
      <c r="G594" s="7"/>
      <c r="H594" s="7"/>
      <c r="I594" s="7"/>
      <c r="J594" s="7"/>
      <c r="K594" s="7"/>
      <c r="L594" s="7"/>
      <c r="M594" s="7"/>
      <c r="N594" s="7"/>
      <c r="O594" s="7"/>
    </row>
    <row r="595" spans="2:15" x14ac:dyDescent="0.35">
      <c r="B595" s="7"/>
      <c r="C595" s="7"/>
      <c r="D595" s="7"/>
      <c r="E595" s="7"/>
      <c r="F595" s="7"/>
      <c r="G595" s="7"/>
      <c r="H595" s="7"/>
      <c r="I595" s="7"/>
      <c r="J595" s="7"/>
      <c r="K595" s="7"/>
      <c r="L595" s="7"/>
      <c r="M595" s="7"/>
      <c r="N595" s="7"/>
      <c r="O595" s="7"/>
    </row>
    <row r="596" spans="2:15" x14ac:dyDescent="0.35">
      <c r="B596" s="7"/>
      <c r="C596" s="7"/>
      <c r="D596" s="7"/>
      <c r="E596" s="7"/>
      <c r="F596" s="7"/>
      <c r="G596" s="7"/>
      <c r="H596" s="7"/>
      <c r="I596" s="7"/>
      <c r="J596" s="7"/>
      <c r="K596" s="7"/>
      <c r="L596" s="7"/>
      <c r="M596" s="7"/>
      <c r="N596" s="7"/>
      <c r="O596" s="7"/>
    </row>
    <row r="597" spans="2:15" x14ac:dyDescent="0.35">
      <c r="B597" s="7"/>
      <c r="C597" s="7"/>
      <c r="D597" s="7"/>
      <c r="E597" s="7"/>
      <c r="F597" s="7"/>
      <c r="G597" s="7"/>
      <c r="H597" s="7"/>
      <c r="I597" s="7"/>
      <c r="J597" s="7"/>
      <c r="K597" s="7"/>
      <c r="L597" s="7"/>
      <c r="M597" s="7"/>
      <c r="N597" s="7"/>
      <c r="O597" s="7"/>
    </row>
    <row r="598" spans="2:15" x14ac:dyDescent="0.35">
      <c r="B598" s="7"/>
      <c r="C598" s="7"/>
      <c r="D598" s="7"/>
      <c r="E598" s="7"/>
      <c r="F598" s="7"/>
      <c r="G598" s="7"/>
      <c r="H598" s="7"/>
      <c r="I598" s="7"/>
      <c r="J598" s="7"/>
      <c r="K598" s="7"/>
      <c r="L598" s="7"/>
      <c r="M598" s="7"/>
      <c r="N598" s="7"/>
      <c r="O598" s="7"/>
    </row>
    <row r="599" spans="2:15" x14ac:dyDescent="0.35">
      <c r="B599" s="7"/>
      <c r="C599" s="7"/>
      <c r="D599" s="7"/>
      <c r="E599" s="7"/>
      <c r="F599" s="7"/>
      <c r="G599" s="7"/>
      <c r="H599" s="7"/>
      <c r="I599" s="7"/>
      <c r="J599" s="7"/>
      <c r="K599" s="7"/>
      <c r="L599" s="7"/>
      <c r="M599" s="7"/>
      <c r="N599" s="7"/>
      <c r="O599" s="7"/>
    </row>
    <row r="600" spans="2:15" x14ac:dyDescent="0.35">
      <c r="B600" s="7"/>
      <c r="C600" s="7"/>
      <c r="D600" s="7"/>
      <c r="E600" s="7"/>
      <c r="F600" s="7"/>
      <c r="G600" s="7"/>
      <c r="H600" s="7"/>
      <c r="I600" s="7"/>
      <c r="J600" s="7"/>
      <c r="K600" s="7"/>
      <c r="L600" s="7"/>
      <c r="M600" s="7"/>
      <c r="N600" s="7"/>
      <c r="O600" s="7"/>
    </row>
    <row r="601" spans="2:15" x14ac:dyDescent="0.35">
      <c r="B601" s="7"/>
      <c r="C601" s="7"/>
      <c r="D601" s="7"/>
      <c r="E601" s="7"/>
      <c r="F601" s="7"/>
      <c r="G601" s="7"/>
      <c r="H601" s="7"/>
      <c r="I601" s="7"/>
      <c r="J601" s="7"/>
      <c r="K601" s="7"/>
      <c r="L601" s="7"/>
      <c r="M601" s="7"/>
      <c r="N601" s="7"/>
      <c r="O601" s="7"/>
    </row>
    <row r="602" spans="2:15" x14ac:dyDescent="0.35">
      <c r="B602" s="7"/>
      <c r="C602" s="7"/>
      <c r="D602" s="7"/>
      <c r="E602" s="7"/>
      <c r="F602" s="7"/>
      <c r="G602" s="7"/>
      <c r="H602" s="7"/>
      <c r="I602" s="7"/>
      <c r="J602" s="7"/>
      <c r="K602" s="7"/>
      <c r="L602" s="7"/>
      <c r="M602" s="7"/>
      <c r="N602" s="7"/>
      <c r="O602" s="7"/>
    </row>
    <row r="603" spans="2:15" x14ac:dyDescent="0.35">
      <c r="B603" s="7"/>
      <c r="C603" s="7"/>
      <c r="D603" s="7"/>
      <c r="E603" s="7"/>
      <c r="F603" s="7"/>
      <c r="G603" s="7"/>
      <c r="H603" s="7"/>
      <c r="I603" s="7"/>
      <c r="J603" s="7"/>
      <c r="K603" s="7"/>
      <c r="L603" s="7"/>
      <c r="M603" s="7"/>
      <c r="N603" s="7"/>
      <c r="O603" s="7"/>
    </row>
    <row r="604" spans="2:15" x14ac:dyDescent="0.35">
      <c r="B604" s="7"/>
      <c r="C604" s="7"/>
      <c r="D604" s="7"/>
      <c r="E604" s="7"/>
      <c r="F604" s="7"/>
      <c r="G604" s="7"/>
      <c r="H604" s="7"/>
      <c r="I604" s="7"/>
      <c r="J604" s="7"/>
      <c r="K604" s="7"/>
      <c r="L604" s="7"/>
      <c r="M604" s="7"/>
      <c r="N604" s="7"/>
      <c r="O604" s="7"/>
    </row>
    <row r="605" spans="2:15" x14ac:dyDescent="0.35">
      <c r="B605" s="7"/>
      <c r="C605" s="7"/>
      <c r="D605" s="7"/>
      <c r="E605" s="7"/>
      <c r="F605" s="7"/>
      <c r="G605" s="7"/>
      <c r="H605" s="7"/>
      <c r="I605" s="7"/>
      <c r="J605" s="7"/>
      <c r="K605" s="7"/>
      <c r="L605" s="7"/>
      <c r="M605" s="7"/>
      <c r="N605" s="7"/>
      <c r="O605" s="7"/>
    </row>
    <row r="606" spans="2:15" x14ac:dyDescent="0.35">
      <c r="B606" s="7"/>
      <c r="C606" s="7"/>
      <c r="D606" s="7"/>
      <c r="E606" s="7"/>
      <c r="F606" s="7"/>
      <c r="G606" s="7"/>
      <c r="H606" s="7"/>
      <c r="I606" s="7"/>
      <c r="J606" s="7"/>
      <c r="K606" s="7"/>
      <c r="L606" s="7"/>
      <c r="M606" s="7"/>
      <c r="N606" s="7"/>
      <c r="O606" s="7"/>
    </row>
    <row r="607" spans="2:15" x14ac:dyDescent="0.35">
      <c r="B607" s="7"/>
      <c r="C607" s="7"/>
      <c r="D607" s="7"/>
      <c r="E607" s="7"/>
      <c r="F607" s="7"/>
      <c r="G607" s="7"/>
      <c r="H607" s="7"/>
      <c r="I607" s="7"/>
      <c r="J607" s="7"/>
      <c r="K607" s="7"/>
      <c r="L607" s="7"/>
      <c r="M607" s="7"/>
      <c r="N607" s="7"/>
      <c r="O607" s="7"/>
    </row>
    <row r="608" spans="2:15" x14ac:dyDescent="0.35">
      <c r="B608" s="7"/>
      <c r="C608" s="7"/>
      <c r="D608" s="7"/>
      <c r="E608" s="7"/>
      <c r="F608" s="7"/>
      <c r="G608" s="7"/>
      <c r="H608" s="7"/>
      <c r="I608" s="7"/>
      <c r="J608" s="7"/>
      <c r="K608" s="7"/>
      <c r="L608" s="7"/>
      <c r="M608" s="7"/>
      <c r="N608" s="7"/>
      <c r="O608" s="7"/>
    </row>
    <row r="609" spans="2:15" x14ac:dyDescent="0.35">
      <c r="B609" s="7"/>
      <c r="C609" s="7"/>
      <c r="D609" s="7"/>
      <c r="E609" s="7"/>
      <c r="F609" s="7"/>
      <c r="G609" s="7"/>
      <c r="H609" s="7"/>
      <c r="I609" s="7"/>
      <c r="J609" s="7"/>
      <c r="K609" s="7"/>
      <c r="L609" s="7"/>
      <c r="M609" s="7"/>
      <c r="N609" s="7"/>
      <c r="O609" s="7"/>
    </row>
    <row r="610" spans="2:15" x14ac:dyDescent="0.35">
      <c r="B610" s="7"/>
      <c r="C610" s="7"/>
      <c r="D610" s="7"/>
      <c r="E610" s="7"/>
      <c r="F610" s="7"/>
      <c r="G610" s="7"/>
      <c r="H610" s="7"/>
      <c r="I610" s="7"/>
      <c r="J610" s="7"/>
      <c r="K610" s="7"/>
      <c r="L610" s="7"/>
      <c r="M610" s="7"/>
      <c r="N610" s="7"/>
      <c r="O610" s="7"/>
    </row>
    <row r="611" spans="2:15" ht="62.5" x14ac:dyDescent="1.4">
      <c r="B611" s="2" t="s">
        <v>59</v>
      </c>
      <c r="C611" s="13">
        <f>Game!B157</f>
        <v>46104</v>
      </c>
      <c r="D611" s="13">
        <f>C611+6</f>
        <v>46110</v>
      </c>
      <c r="E611" s="7"/>
      <c r="F611" s="7"/>
      <c r="G611" s="7"/>
      <c r="H611" s="7"/>
      <c r="I611" s="7"/>
      <c r="J611" s="7"/>
      <c r="K611" s="7"/>
      <c r="L611" s="7"/>
      <c r="M611" s="7"/>
      <c r="N611" s="7"/>
      <c r="O611" s="7"/>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10A2-A284-4006-982E-B0B72A0005E8}">
  <sheetPr codeName="Sheet3"/>
  <dimension ref="A1:M117"/>
  <sheetViews>
    <sheetView workbookViewId="0">
      <pane ySplit="1" topLeftCell="A2" activePane="bottomLeft" state="frozen"/>
      <selection pane="bottomLeft" activeCell="B3" sqref="B3"/>
    </sheetView>
  </sheetViews>
  <sheetFormatPr defaultRowHeight="14.5" x14ac:dyDescent="0.35"/>
  <cols>
    <col min="1" max="1" width="10.7265625" customWidth="1"/>
    <col min="2" max="2" width="121.7265625" style="1" customWidth="1"/>
    <col min="3" max="3" width="21.7265625" customWidth="1"/>
    <col min="4" max="4" width="16.81640625" customWidth="1"/>
    <col min="5" max="5" width="23.453125" customWidth="1"/>
    <col min="6" max="6" width="15.90625" customWidth="1"/>
  </cols>
  <sheetData>
    <row r="1" spans="1:13" x14ac:dyDescent="0.35">
      <c r="A1" s="7"/>
      <c r="B1" s="198" t="s">
        <v>79</v>
      </c>
      <c r="C1" s="12" t="s">
        <v>75</v>
      </c>
      <c r="D1" s="12" t="s">
        <v>76</v>
      </c>
      <c r="E1" s="12" t="s">
        <v>78</v>
      </c>
      <c r="F1" s="12" t="s">
        <v>77</v>
      </c>
      <c r="I1" s="206" t="s">
        <v>167</v>
      </c>
      <c r="J1" s="206"/>
      <c r="K1" s="206"/>
      <c r="L1" s="206"/>
      <c r="M1" s="206"/>
    </row>
    <row r="2" spans="1:13" x14ac:dyDescent="0.35">
      <c r="A2" s="7" t="s">
        <v>21</v>
      </c>
      <c r="B2" s="200">
        <v>36994</v>
      </c>
      <c r="C2" s="9">
        <f>B2+6</f>
        <v>37000</v>
      </c>
      <c r="D2" s="10"/>
      <c r="E2" s="10"/>
      <c r="F2" s="10"/>
    </row>
    <row r="3" spans="1:13" x14ac:dyDescent="0.35">
      <c r="A3" s="7" t="s">
        <v>22</v>
      </c>
      <c r="B3" s="11"/>
      <c r="C3" s="7"/>
      <c r="D3" s="7"/>
      <c r="E3" s="7"/>
      <c r="F3" s="7"/>
    </row>
    <row r="4" spans="1:13" x14ac:dyDescent="0.35">
      <c r="A4" s="7" t="s">
        <v>23</v>
      </c>
      <c r="B4" s="11"/>
      <c r="C4" s="7"/>
      <c r="D4" s="7"/>
      <c r="E4" s="7"/>
      <c r="F4" s="7"/>
    </row>
    <row r="5" spans="1:13" x14ac:dyDescent="0.35">
      <c r="A5" s="7" t="s">
        <v>24</v>
      </c>
      <c r="B5" s="11"/>
      <c r="C5" s="7"/>
      <c r="D5" s="7"/>
      <c r="E5" s="7"/>
      <c r="F5" s="7"/>
    </row>
    <row r="6" spans="1:13" x14ac:dyDescent="0.35">
      <c r="A6" s="7" t="s">
        <v>25</v>
      </c>
      <c r="B6" s="11"/>
      <c r="C6" s="7"/>
      <c r="D6" s="7"/>
      <c r="E6" s="7"/>
      <c r="F6" s="7"/>
    </row>
    <row r="7" spans="1:13" x14ac:dyDescent="0.35">
      <c r="A7" s="7" t="s">
        <v>26</v>
      </c>
      <c r="B7" s="11"/>
      <c r="C7" s="7"/>
      <c r="D7" s="7"/>
      <c r="E7" s="7"/>
      <c r="F7" s="7"/>
    </row>
    <row r="8" spans="1:13" x14ac:dyDescent="0.35">
      <c r="A8" s="7" t="s">
        <v>27</v>
      </c>
      <c r="B8" s="11"/>
      <c r="C8" s="7"/>
      <c r="D8" s="7"/>
      <c r="E8" s="7"/>
      <c r="F8" s="7"/>
    </row>
    <row r="9" spans="1:13" x14ac:dyDescent="0.35">
      <c r="A9" s="7" t="s">
        <v>28</v>
      </c>
      <c r="B9" s="11"/>
      <c r="C9" s="7"/>
      <c r="D9" s="7"/>
      <c r="E9" s="7"/>
      <c r="F9" s="7"/>
    </row>
    <row r="10" spans="1:13" x14ac:dyDescent="0.35">
      <c r="A10" s="7"/>
      <c r="B10" s="11"/>
      <c r="C10" s="7"/>
      <c r="D10" s="7"/>
      <c r="E10" s="7"/>
      <c r="F10" s="7"/>
    </row>
    <row r="11" spans="1:13" x14ac:dyDescent="0.35">
      <c r="A11" s="7" t="s">
        <v>32</v>
      </c>
      <c r="B11" s="201">
        <f>C2+1</f>
        <v>37001</v>
      </c>
      <c r="C11" s="13">
        <f>B11+6</f>
        <v>37007</v>
      </c>
      <c r="D11" s="7"/>
      <c r="E11" s="7"/>
      <c r="F11" s="7"/>
    </row>
    <row r="12" spans="1:13" x14ac:dyDescent="0.35">
      <c r="A12" s="7" t="s">
        <v>22</v>
      </c>
      <c r="B12" s="11"/>
      <c r="C12" s="7"/>
      <c r="D12" s="7"/>
      <c r="E12" s="7"/>
      <c r="F12" s="7"/>
    </row>
    <row r="13" spans="1:13" x14ac:dyDescent="0.35">
      <c r="A13" s="7" t="s">
        <v>23</v>
      </c>
      <c r="B13" s="11"/>
      <c r="C13" s="7"/>
      <c r="D13" s="7"/>
      <c r="E13" s="7"/>
      <c r="F13" s="7"/>
    </row>
    <row r="14" spans="1:13" x14ac:dyDescent="0.35">
      <c r="A14" s="7" t="s">
        <v>24</v>
      </c>
      <c r="B14" s="11"/>
      <c r="C14" s="7"/>
      <c r="D14" s="7"/>
      <c r="E14" s="7"/>
      <c r="F14" s="7"/>
    </row>
    <row r="15" spans="1:13" x14ac:dyDescent="0.35">
      <c r="A15" s="7" t="s">
        <v>25</v>
      </c>
      <c r="B15" s="11"/>
      <c r="C15" s="7"/>
      <c r="D15" s="7"/>
      <c r="E15" s="7"/>
      <c r="F15" s="7"/>
    </row>
    <row r="16" spans="1:13" x14ac:dyDescent="0.35">
      <c r="A16" s="7" t="s">
        <v>26</v>
      </c>
      <c r="B16" s="11"/>
      <c r="C16" s="7"/>
      <c r="D16" s="7"/>
      <c r="E16" s="7"/>
      <c r="F16" s="7"/>
    </row>
    <row r="17" spans="1:6" x14ac:dyDescent="0.35">
      <c r="A17" s="7" t="s">
        <v>27</v>
      </c>
      <c r="B17" s="11"/>
      <c r="C17" s="7"/>
      <c r="D17" s="7"/>
      <c r="E17" s="7"/>
      <c r="F17" s="7"/>
    </row>
    <row r="18" spans="1:6" x14ac:dyDescent="0.35">
      <c r="A18" s="7" t="s">
        <v>28</v>
      </c>
      <c r="B18" s="11"/>
      <c r="C18" s="7"/>
      <c r="D18" s="7"/>
      <c r="E18" s="7"/>
      <c r="F18" s="7"/>
    </row>
    <row r="19" spans="1:6" x14ac:dyDescent="0.35">
      <c r="A19" s="7"/>
      <c r="B19" s="11"/>
      <c r="C19" s="7"/>
      <c r="D19" s="7"/>
      <c r="E19" s="7"/>
      <c r="F19" s="7"/>
    </row>
    <row r="20" spans="1:6" x14ac:dyDescent="0.35">
      <c r="A20" s="7" t="s">
        <v>35</v>
      </c>
      <c r="B20" s="201">
        <f>C11+1</f>
        <v>37008</v>
      </c>
      <c r="C20" s="13">
        <f>B20+6</f>
        <v>37014</v>
      </c>
      <c r="D20" s="7"/>
      <c r="E20" s="7"/>
      <c r="F20" s="7"/>
    </row>
    <row r="21" spans="1:6" x14ac:dyDescent="0.35">
      <c r="A21" s="7" t="s">
        <v>22</v>
      </c>
      <c r="B21" s="11"/>
      <c r="C21" s="7"/>
      <c r="D21" s="7"/>
      <c r="E21" s="7"/>
      <c r="F21" s="7"/>
    </row>
    <row r="22" spans="1:6" x14ac:dyDescent="0.35">
      <c r="A22" s="7" t="s">
        <v>23</v>
      </c>
      <c r="B22" s="11"/>
      <c r="C22" s="7"/>
      <c r="D22" s="7"/>
      <c r="E22" s="7"/>
      <c r="F22" s="7"/>
    </row>
    <row r="23" spans="1:6" x14ac:dyDescent="0.35">
      <c r="A23" s="7" t="s">
        <v>24</v>
      </c>
      <c r="B23" s="11"/>
      <c r="C23" s="7"/>
      <c r="D23" s="7"/>
      <c r="E23" s="7"/>
      <c r="F23" s="7"/>
    </row>
    <row r="24" spans="1:6" x14ac:dyDescent="0.35">
      <c r="A24" s="7" t="s">
        <v>25</v>
      </c>
      <c r="B24" s="11"/>
      <c r="C24" s="7"/>
      <c r="D24" s="7"/>
      <c r="E24" s="7"/>
      <c r="F24" s="7"/>
    </row>
    <row r="25" spans="1:6" x14ac:dyDescent="0.35">
      <c r="A25" s="7" t="s">
        <v>26</v>
      </c>
      <c r="B25" s="11"/>
      <c r="C25" s="7"/>
      <c r="D25" s="7"/>
      <c r="E25" s="7"/>
      <c r="F25" s="7"/>
    </row>
    <row r="26" spans="1:6" x14ac:dyDescent="0.35">
      <c r="A26" s="7" t="s">
        <v>27</v>
      </c>
      <c r="B26" s="11"/>
      <c r="C26" s="7"/>
      <c r="D26" s="7"/>
      <c r="E26" s="7"/>
      <c r="F26" s="7"/>
    </row>
    <row r="27" spans="1:6" x14ac:dyDescent="0.35">
      <c r="A27" s="7" t="s">
        <v>28</v>
      </c>
      <c r="B27" s="11"/>
      <c r="C27" s="7"/>
      <c r="D27" s="7"/>
      <c r="E27" s="7"/>
      <c r="F27" s="7"/>
    </row>
    <row r="28" spans="1:6" x14ac:dyDescent="0.35">
      <c r="A28" s="7"/>
      <c r="B28" s="11"/>
      <c r="C28" s="7"/>
      <c r="D28" s="7"/>
      <c r="E28" s="7"/>
      <c r="F28" s="7"/>
    </row>
    <row r="29" spans="1:6" x14ac:dyDescent="0.35">
      <c r="A29" s="7" t="s">
        <v>36</v>
      </c>
      <c r="B29" s="201">
        <f>C20+1</f>
        <v>37015</v>
      </c>
      <c r="C29" s="13">
        <f>B29+6</f>
        <v>37021</v>
      </c>
      <c r="D29" s="7"/>
      <c r="E29" s="7"/>
      <c r="F29" s="7"/>
    </row>
    <row r="30" spans="1:6" x14ac:dyDescent="0.35">
      <c r="A30" s="7" t="s">
        <v>22</v>
      </c>
      <c r="B30" s="11"/>
      <c r="C30" s="7"/>
      <c r="D30" s="7"/>
      <c r="E30" s="7"/>
      <c r="F30" s="7"/>
    </row>
    <row r="31" spans="1:6" x14ac:dyDescent="0.35">
      <c r="A31" s="7" t="s">
        <v>23</v>
      </c>
      <c r="B31" s="11"/>
      <c r="C31" s="7"/>
      <c r="D31" s="7"/>
      <c r="E31" s="7"/>
      <c r="F31" s="7"/>
    </row>
    <row r="32" spans="1:6" x14ac:dyDescent="0.35">
      <c r="A32" s="7" t="s">
        <v>24</v>
      </c>
      <c r="B32" s="11"/>
      <c r="C32" s="7"/>
      <c r="D32" s="7"/>
      <c r="E32" s="7"/>
      <c r="F32" s="7"/>
    </row>
    <row r="33" spans="1:6" x14ac:dyDescent="0.35">
      <c r="A33" s="7" t="s">
        <v>25</v>
      </c>
      <c r="B33" s="11"/>
      <c r="C33" s="7"/>
      <c r="D33" s="7"/>
      <c r="E33" s="7"/>
      <c r="F33" s="7"/>
    </row>
    <row r="34" spans="1:6" x14ac:dyDescent="0.35">
      <c r="A34" s="7" t="s">
        <v>26</v>
      </c>
      <c r="B34" s="11"/>
      <c r="C34" s="7"/>
      <c r="D34" s="7"/>
      <c r="E34" s="7"/>
      <c r="F34" s="7"/>
    </row>
    <row r="35" spans="1:6" x14ac:dyDescent="0.35">
      <c r="A35" s="7" t="s">
        <v>27</v>
      </c>
      <c r="B35" s="11"/>
      <c r="C35" s="7"/>
      <c r="D35" s="7"/>
      <c r="E35" s="7"/>
      <c r="F35" s="7"/>
    </row>
    <row r="36" spans="1:6" x14ac:dyDescent="0.35">
      <c r="A36" s="7" t="s">
        <v>28</v>
      </c>
      <c r="B36" s="11"/>
      <c r="C36" s="7"/>
      <c r="D36" s="7"/>
      <c r="E36" s="7"/>
      <c r="F36" s="7"/>
    </row>
    <row r="37" spans="1:6" x14ac:dyDescent="0.35">
      <c r="A37" s="7"/>
      <c r="B37" s="11"/>
      <c r="C37" s="7"/>
      <c r="D37" s="7"/>
      <c r="E37" s="7"/>
      <c r="F37" s="7"/>
    </row>
    <row r="38" spans="1:6" x14ac:dyDescent="0.35">
      <c r="A38" s="7"/>
      <c r="B38" s="11"/>
      <c r="C38" s="7"/>
      <c r="D38" s="7"/>
      <c r="E38" s="7"/>
      <c r="F38" s="7"/>
    </row>
    <row r="39" spans="1:6" x14ac:dyDescent="0.35">
      <c r="A39" s="7" t="s">
        <v>37</v>
      </c>
      <c r="B39" s="201">
        <f>C29+1</f>
        <v>37022</v>
      </c>
      <c r="C39" s="13">
        <f>B39+6</f>
        <v>37028</v>
      </c>
      <c r="D39" s="7"/>
      <c r="E39" s="7"/>
      <c r="F39" s="7"/>
    </row>
    <row r="40" spans="1:6" x14ac:dyDescent="0.35">
      <c r="A40" s="7" t="s">
        <v>22</v>
      </c>
      <c r="B40" s="11"/>
      <c r="C40" s="7"/>
      <c r="D40" s="7"/>
      <c r="E40" s="7"/>
      <c r="F40" s="7"/>
    </row>
    <row r="41" spans="1:6" x14ac:dyDescent="0.35">
      <c r="A41" s="7" t="s">
        <v>23</v>
      </c>
      <c r="B41" s="11"/>
      <c r="C41" s="7"/>
      <c r="D41" s="7"/>
      <c r="E41" s="7"/>
      <c r="F41" s="7"/>
    </row>
    <row r="42" spans="1:6" x14ac:dyDescent="0.35">
      <c r="A42" s="7" t="s">
        <v>24</v>
      </c>
      <c r="B42" s="11"/>
      <c r="C42" s="7"/>
      <c r="D42" s="7"/>
      <c r="E42" s="7"/>
      <c r="F42" s="7"/>
    </row>
    <row r="43" spans="1:6" x14ac:dyDescent="0.35">
      <c r="A43" s="7" t="s">
        <v>25</v>
      </c>
      <c r="B43" s="11"/>
      <c r="C43" s="7"/>
      <c r="D43" s="7"/>
      <c r="E43" s="7"/>
      <c r="F43" s="7"/>
    </row>
    <row r="44" spans="1:6" x14ac:dyDescent="0.35">
      <c r="A44" s="7" t="s">
        <v>26</v>
      </c>
      <c r="B44" s="11"/>
      <c r="C44" s="7"/>
      <c r="D44" s="7"/>
      <c r="E44" s="7"/>
      <c r="F44" s="7"/>
    </row>
    <row r="45" spans="1:6" x14ac:dyDescent="0.35">
      <c r="A45" s="7" t="s">
        <v>27</v>
      </c>
      <c r="B45" s="11"/>
      <c r="C45" s="7"/>
      <c r="D45" s="7"/>
      <c r="E45" s="7"/>
      <c r="F45" s="7"/>
    </row>
    <row r="46" spans="1:6" x14ac:dyDescent="0.35">
      <c r="A46" s="7" t="s">
        <v>28</v>
      </c>
      <c r="B46" s="11"/>
      <c r="C46" s="7"/>
      <c r="D46" s="7"/>
      <c r="E46" s="7"/>
      <c r="F46" s="7"/>
    </row>
    <row r="47" spans="1:6" x14ac:dyDescent="0.35">
      <c r="A47" s="7"/>
      <c r="B47" s="11"/>
      <c r="C47" s="7"/>
      <c r="D47" s="7"/>
      <c r="E47" s="7"/>
      <c r="F47" s="7"/>
    </row>
    <row r="48" spans="1:6" x14ac:dyDescent="0.35">
      <c r="A48" s="7"/>
      <c r="B48" s="11"/>
      <c r="C48" s="7"/>
      <c r="D48" s="7"/>
      <c r="E48" s="7"/>
      <c r="F48" s="7"/>
    </row>
    <row r="49" spans="1:6" x14ac:dyDescent="0.35">
      <c r="A49" s="7" t="s">
        <v>38</v>
      </c>
      <c r="B49" s="201">
        <f>C39+1</f>
        <v>37029</v>
      </c>
      <c r="C49" s="13">
        <f>B49+6</f>
        <v>37035</v>
      </c>
      <c r="D49" s="7"/>
      <c r="E49" s="7"/>
      <c r="F49" s="7"/>
    </row>
    <row r="50" spans="1:6" x14ac:dyDescent="0.35">
      <c r="A50" s="7" t="s">
        <v>22</v>
      </c>
      <c r="B50" s="11"/>
      <c r="C50" s="7"/>
      <c r="D50" s="7"/>
      <c r="E50" s="7"/>
      <c r="F50" s="7"/>
    </row>
    <row r="51" spans="1:6" x14ac:dyDescent="0.35">
      <c r="A51" s="7" t="s">
        <v>23</v>
      </c>
      <c r="B51" s="11"/>
      <c r="C51" s="7"/>
      <c r="D51" s="7"/>
      <c r="E51" s="7"/>
      <c r="F51" s="7"/>
    </row>
    <row r="52" spans="1:6" x14ac:dyDescent="0.35">
      <c r="A52" s="7" t="s">
        <v>24</v>
      </c>
      <c r="B52" s="11"/>
      <c r="C52" s="7"/>
      <c r="D52" s="7"/>
      <c r="E52" s="7"/>
      <c r="F52" s="7"/>
    </row>
    <row r="53" spans="1:6" x14ac:dyDescent="0.35">
      <c r="A53" s="7" t="s">
        <v>25</v>
      </c>
      <c r="B53" s="11"/>
      <c r="C53" s="7"/>
      <c r="D53" s="7"/>
      <c r="E53" s="7"/>
      <c r="F53" s="7"/>
    </row>
    <row r="54" spans="1:6" x14ac:dyDescent="0.35">
      <c r="A54" s="7" t="s">
        <v>26</v>
      </c>
      <c r="B54" s="11"/>
      <c r="C54" s="7"/>
      <c r="D54" s="7"/>
      <c r="E54" s="7"/>
      <c r="F54" s="7"/>
    </row>
    <row r="55" spans="1:6" x14ac:dyDescent="0.35">
      <c r="A55" s="7" t="s">
        <v>27</v>
      </c>
      <c r="B55" s="11"/>
      <c r="C55" s="7"/>
      <c r="D55" s="7"/>
      <c r="E55" s="7"/>
      <c r="F55" s="7"/>
    </row>
    <row r="56" spans="1:6" x14ac:dyDescent="0.35">
      <c r="A56" s="7" t="s">
        <v>28</v>
      </c>
      <c r="B56" s="11"/>
      <c r="C56" s="7"/>
      <c r="D56" s="7"/>
      <c r="E56" s="7"/>
      <c r="F56" s="7"/>
    </row>
    <row r="57" spans="1:6" x14ac:dyDescent="0.35">
      <c r="A57" s="7"/>
      <c r="B57" s="11"/>
      <c r="C57" s="7"/>
      <c r="D57" s="7"/>
      <c r="E57" s="7"/>
      <c r="F57" s="7"/>
    </row>
    <row r="58" spans="1:6" x14ac:dyDescent="0.35">
      <c r="A58" s="7"/>
      <c r="B58" s="11"/>
      <c r="C58" s="7"/>
      <c r="D58" s="7"/>
      <c r="E58" s="7"/>
      <c r="F58" s="7"/>
    </row>
    <row r="59" spans="1:6" x14ac:dyDescent="0.35">
      <c r="A59" s="7" t="s">
        <v>39</v>
      </c>
      <c r="B59" s="201">
        <f>C49+1</f>
        <v>37036</v>
      </c>
      <c r="C59" s="13">
        <f>B59+6</f>
        <v>37042</v>
      </c>
      <c r="D59" s="7"/>
      <c r="E59" s="7"/>
      <c r="F59" s="7"/>
    </row>
    <row r="60" spans="1:6" x14ac:dyDescent="0.35">
      <c r="A60" s="7" t="s">
        <v>22</v>
      </c>
      <c r="B60" s="11"/>
      <c r="C60" s="7"/>
      <c r="D60" s="7"/>
      <c r="E60" s="7"/>
      <c r="F60" s="7"/>
    </row>
    <row r="61" spans="1:6" x14ac:dyDescent="0.35">
      <c r="A61" s="7" t="s">
        <v>23</v>
      </c>
      <c r="B61" s="11"/>
      <c r="C61" s="7"/>
      <c r="D61" s="7"/>
      <c r="E61" s="7"/>
      <c r="F61" s="7"/>
    </row>
    <row r="62" spans="1:6" x14ac:dyDescent="0.35">
      <c r="A62" s="7" t="s">
        <v>24</v>
      </c>
      <c r="B62" s="11"/>
      <c r="C62" s="7"/>
      <c r="D62" s="7"/>
      <c r="E62" s="7"/>
      <c r="F62" s="7"/>
    </row>
    <row r="63" spans="1:6" x14ac:dyDescent="0.35">
      <c r="A63" s="7" t="s">
        <v>25</v>
      </c>
      <c r="B63" s="11"/>
      <c r="C63" s="7"/>
      <c r="D63" s="7"/>
      <c r="E63" s="7"/>
      <c r="F63" s="7"/>
    </row>
    <row r="64" spans="1:6" x14ac:dyDescent="0.35">
      <c r="A64" s="7" t="s">
        <v>26</v>
      </c>
      <c r="B64" s="11"/>
      <c r="C64" s="7"/>
      <c r="D64" s="7"/>
      <c r="E64" s="7"/>
      <c r="F64" s="7"/>
    </row>
    <row r="65" spans="1:6" x14ac:dyDescent="0.35">
      <c r="A65" s="7" t="s">
        <v>27</v>
      </c>
      <c r="B65" s="11"/>
      <c r="C65" s="7"/>
      <c r="D65" s="7"/>
      <c r="E65" s="7"/>
      <c r="F65" s="7"/>
    </row>
    <row r="66" spans="1:6" x14ac:dyDescent="0.35">
      <c r="A66" s="7" t="s">
        <v>28</v>
      </c>
      <c r="B66" s="11"/>
      <c r="C66" s="7"/>
      <c r="D66" s="7"/>
      <c r="E66" s="7"/>
      <c r="F66" s="7"/>
    </row>
    <row r="67" spans="1:6" x14ac:dyDescent="0.35">
      <c r="A67" s="7"/>
      <c r="B67" s="11"/>
      <c r="C67" s="7"/>
      <c r="D67" s="7"/>
      <c r="E67" s="7"/>
      <c r="F67" s="7"/>
    </row>
    <row r="68" spans="1:6" x14ac:dyDescent="0.35">
      <c r="A68" s="7" t="s">
        <v>40</v>
      </c>
      <c r="B68" s="201">
        <f>C59+1</f>
        <v>37043</v>
      </c>
      <c r="C68" s="13">
        <f>B68+6</f>
        <v>37049</v>
      </c>
      <c r="D68" s="7"/>
      <c r="E68" s="7"/>
      <c r="F68" s="7"/>
    </row>
    <row r="69" spans="1:6" x14ac:dyDescent="0.35">
      <c r="A69" s="7" t="s">
        <v>22</v>
      </c>
      <c r="B69" s="11"/>
      <c r="C69" s="7"/>
      <c r="D69" s="7"/>
      <c r="E69" s="7"/>
      <c r="F69" s="7"/>
    </row>
    <row r="70" spans="1:6" x14ac:dyDescent="0.35">
      <c r="A70" s="7" t="s">
        <v>23</v>
      </c>
      <c r="B70" s="11"/>
      <c r="C70" s="7"/>
      <c r="D70" s="7"/>
      <c r="E70" s="7"/>
      <c r="F70" s="7"/>
    </row>
    <row r="71" spans="1:6" x14ac:dyDescent="0.35">
      <c r="A71" s="7" t="s">
        <v>24</v>
      </c>
      <c r="B71" s="11"/>
      <c r="C71" s="7"/>
      <c r="D71" s="7"/>
      <c r="E71" s="7"/>
      <c r="F71" s="7"/>
    </row>
    <row r="72" spans="1:6" x14ac:dyDescent="0.35">
      <c r="A72" s="7" t="s">
        <v>25</v>
      </c>
      <c r="B72" s="11"/>
      <c r="C72" s="7"/>
      <c r="D72" s="7"/>
      <c r="E72" s="7"/>
      <c r="F72" s="7"/>
    </row>
    <row r="73" spans="1:6" x14ac:dyDescent="0.35">
      <c r="A73" s="7" t="s">
        <v>26</v>
      </c>
      <c r="B73" s="11"/>
      <c r="C73" s="7"/>
      <c r="D73" s="7"/>
      <c r="E73" s="7"/>
      <c r="F73" s="7"/>
    </row>
    <row r="74" spans="1:6" x14ac:dyDescent="0.35">
      <c r="A74" s="7" t="s">
        <v>27</v>
      </c>
      <c r="B74" s="11"/>
      <c r="C74" s="7"/>
      <c r="D74" s="7"/>
      <c r="E74" s="7"/>
      <c r="F74" s="7"/>
    </row>
    <row r="75" spans="1:6" x14ac:dyDescent="0.35">
      <c r="A75" s="7" t="s">
        <v>28</v>
      </c>
      <c r="B75" s="11"/>
      <c r="C75" s="7"/>
      <c r="D75" s="7"/>
      <c r="E75" s="7"/>
      <c r="F75" s="7"/>
    </row>
    <row r="76" spans="1:6" x14ac:dyDescent="0.35">
      <c r="A76" s="7"/>
      <c r="B76" s="11"/>
      <c r="C76" s="7"/>
      <c r="D76" s="7"/>
      <c r="E76" s="7"/>
      <c r="F76" s="7"/>
    </row>
    <row r="77" spans="1:6" x14ac:dyDescent="0.35">
      <c r="A77" s="7"/>
      <c r="B77" s="11"/>
      <c r="C77" s="7"/>
      <c r="D77" s="7"/>
      <c r="E77" s="7"/>
      <c r="F77" s="7"/>
    </row>
    <row r="78" spans="1:6" x14ac:dyDescent="0.35">
      <c r="A78" s="7"/>
      <c r="B78" s="11"/>
      <c r="C78" s="7"/>
      <c r="D78" s="7"/>
      <c r="E78" s="7"/>
      <c r="F78" s="7"/>
    </row>
    <row r="79" spans="1:6" x14ac:dyDescent="0.35">
      <c r="A79" s="7"/>
      <c r="B79" s="11"/>
      <c r="C79" s="7"/>
      <c r="D79" s="7"/>
      <c r="E79" s="7"/>
      <c r="F79" s="7"/>
    </row>
    <row r="80" spans="1:6" x14ac:dyDescent="0.35">
      <c r="A80" s="7" t="s">
        <v>60</v>
      </c>
      <c r="B80" s="201">
        <f>C68+1</f>
        <v>37050</v>
      </c>
      <c r="C80" s="13">
        <f>B80+6</f>
        <v>37056</v>
      </c>
      <c r="D80" s="7"/>
      <c r="E80" s="7"/>
      <c r="F80" s="7"/>
    </row>
    <row r="81" spans="1:6" x14ac:dyDescent="0.35">
      <c r="A81" s="7" t="s">
        <v>22</v>
      </c>
      <c r="B81" s="11"/>
      <c r="C81" s="7"/>
      <c r="D81" s="7"/>
      <c r="E81" s="7"/>
      <c r="F81" s="7"/>
    </row>
    <row r="82" spans="1:6" x14ac:dyDescent="0.35">
      <c r="A82" s="7" t="s">
        <v>23</v>
      </c>
      <c r="B82" s="11"/>
      <c r="C82" s="7"/>
      <c r="D82" s="7"/>
      <c r="E82" s="7"/>
      <c r="F82" s="7"/>
    </row>
    <row r="83" spans="1:6" x14ac:dyDescent="0.35">
      <c r="A83" s="7" t="s">
        <v>24</v>
      </c>
      <c r="B83" s="11"/>
      <c r="C83" s="7"/>
      <c r="D83" s="7"/>
      <c r="E83" s="7"/>
      <c r="F83" s="7"/>
    </row>
    <row r="84" spans="1:6" x14ac:dyDescent="0.35">
      <c r="A84" s="7" t="s">
        <v>25</v>
      </c>
      <c r="B84" s="11"/>
      <c r="C84" s="7"/>
      <c r="D84" s="7"/>
      <c r="E84" s="7"/>
      <c r="F84" s="7"/>
    </row>
    <row r="85" spans="1:6" x14ac:dyDescent="0.35">
      <c r="A85" s="7" t="s">
        <v>26</v>
      </c>
      <c r="B85" s="11"/>
      <c r="C85" s="7"/>
      <c r="D85" s="7"/>
      <c r="E85" s="7"/>
      <c r="F85" s="7"/>
    </row>
    <row r="86" spans="1:6" x14ac:dyDescent="0.35">
      <c r="A86" s="7" t="s">
        <v>27</v>
      </c>
      <c r="B86" s="11"/>
      <c r="C86" s="7"/>
      <c r="D86" s="7"/>
      <c r="E86" s="7"/>
      <c r="F86" s="7"/>
    </row>
    <row r="87" spans="1:6" x14ac:dyDescent="0.35">
      <c r="A87" s="7" t="s">
        <v>28</v>
      </c>
      <c r="B87" s="11"/>
      <c r="C87" s="7"/>
      <c r="D87" s="7"/>
      <c r="E87" s="7"/>
      <c r="F87" s="7"/>
    </row>
    <row r="88" spans="1:6" x14ac:dyDescent="0.35">
      <c r="A88" s="7"/>
      <c r="B88" s="11"/>
      <c r="C88" s="7"/>
      <c r="D88" s="7"/>
      <c r="E88" s="7"/>
      <c r="F88" s="7"/>
    </row>
    <row r="89" spans="1:6" x14ac:dyDescent="0.35">
      <c r="A89" s="7"/>
      <c r="B89" s="11"/>
      <c r="C89" s="7"/>
      <c r="D89" s="7"/>
      <c r="E89" s="7"/>
      <c r="F89" s="7"/>
    </row>
    <row r="90" spans="1:6" x14ac:dyDescent="0.35">
      <c r="A90" s="7" t="s">
        <v>54</v>
      </c>
      <c r="B90" s="201">
        <f>C80+1</f>
        <v>37057</v>
      </c>
      <c r="C90" s="13">
        <f>B90+6</f>
        <v>37063</v>
      </c>
      <c r="D90" s="7"/>
      <c r="E90" s="7"/>
      <c r="F90" s="7"/>
    </row>
    <row r="91" spans="1:6" x14ac:dyDescent="0.35">
      <c r="A91" s="7" t="s">
        <v>22</v>
      </c>
      <c r="B91" s="11"/>
      <c r="C91" s="7"/>
      <c r="D91" s="7"/>
      <c r="E91" s="7"/>
      <c r="F91" s="7"/>
    </row>
    <row r="92" spans="1:6" x14ac:dyDescent="0.35">
      <c r="A92" s="7" t="s">
        <v>23</v>
      </c>
      <c r="B92" s="11"/>
      <c r="C92" s="7"/>
      <c r="D92" s="7"/>
      <c r="E92" s="7"/>
      <c r="F92" s="7"/>
    </row>
    <row r="93" spans="1:6" x14ac:dyDescent="0.35">
      <c r="A93" s="7" t="s">
        <v>24</v>
      </c>
      <c r="B93" s="11"/>
      <c r="C93" s="7"/>
      <c r="D93" s="7"/>
      <c r="E93" s="7"/>
      <c r="F93" s="7"/>
    </row>
    <row r="94" spans="1:6" x14ac:dyDescent="0.35">
      <c r="A94" s="7" t="s">
        <v>25</v>
      </c>
      <c r="B94" s="11"/>
      <c r="C94" s="7"/>
      <c r="D94" s="7"/>
      <c r="E94" s="7"/>
      <c r="F94" s="7"/>
    </row>
    <row r="95" spans="1:6" x14ac:dyDescent="0.35">
      <c r="A95" s="7" t="s">
        <v>26</v>
      </c>
      <c r="B95" s="11"/>
      <c r="C95" s="7"/>
      <c r="D95" s="7"/>
      <c r="E95" s="7"/>
      <c r="F95" s="7"/>
    </row>
    <row r="96" spans="1:6" x14ac:dyDescent="0.35">
      <c r="A96" s="7" t="s">
        <v>27</v>
      </c>
      <c r="B96" s="11"/>
      <c r="C96" s="7"/>
      <c r="D96" s="7"/>
      <c r="E96" s="7"/>
      <c r="F96" s="7"/>
    </row>
    <row r="97" spans="1:6" x14ac:dyDescent="0.35">
      <c r="A97" s="7" t="s">
        <v>28</v>
      </c>
      <c r="B97" s="11"/>
      <c r="C97" s="7"/>
      <c r="D97" s="7"/>
      <c r="E97" s="7"/>
      <c r="F97" s="7"/>
    </row>
    <row r="98" spans="1:6" x14ac:dyDescent="0.35">
      <c r="A98" s="7"/>
      <c r="B98" s="11"/>
      <c r="C98" s="7"/>
      <c r="D98" s="7"/>
      <c r="E98" s="7"/>
      <c r="F98" s="7"/>
    </row>
    <row r="99" spans="1:6" x14ac:dyDescent="0.35">
      <c r="A99" s="7"/>
      <c r="B99" s="11"/>
      <c r="C99" s="7"/>
      <c r="D99" s="7"/>
      <c r="E99" s="7"/>
      <c r="F99" s="7"/>
    </row>
    <row r="100" spans="1:6" x14ac:dyDescent="0.35">
      <c r="A100" s="7" t="s">
        <v>55</v>
      </c>
      <c r="B100" s="201">
        <f>C90+1</f>
        <v>37064</v>
      </c>
      <c r="C100" s="13">
        <f>B100+6</f>
        <v>37070</v>
      </c>
      <c r="D100" s="7"/>
      <c r="E100" s="7"/>
      <c r="F100" s="7"/>
    </row>
    <row r="101" spans="1:6" x14ac:dyDescent="0.35">
      <c r="A101" s="7" t="s">
        <v>22</v>
      </c>
      <c r="B101" s="11"/>
      <c r="C101" s="7"/>
      <c r="D101" s="7"/>
      <c r="E101" s="7"/>
      <c r="F101" s="7"/>
    </row>
    <row r="102" spans="1:6" x14ac:dyDescent="0.35">
      <c r="A102" s="7" t="s">
        <v>23</v>
      </c>
      <c r="B102" s="11"/>
      <c r="C102" s="7"/>
      <c r="D102" s="7"/>
      <c r="E102" s="7"/>
      <c r="F102" s="7"/>
    </row>
    <row r="103" spans="1:6" x14ac:dyDescent="0.35">
      <c r="A103" s="7" t="s">
        <v>24</v>
      </c>
      <c r="B103" s="11"/>
      <c r="C103" s="7"/>
      <c r="D103" s="7"/>
      <c r="E103" s="7"/>
      <c r="F103" s="7"/>
    </row>
    <row r="104" spans="1:6" x14ac:dyDescent="0.35">
      <c r="A104" s="7" t="s">
        <v>25</v>
      </c>
      <c r="B104" s="11"/>
      <c r="C104" s="7"/>
      <c r="D104" s="7"/>
      <c r="E104" s="7"/>
      <c r="F104" s="7"/>
    </row>
    <row r="105" spans="1:6" x14ac:dyDescent="0.35">
      <c r="A105" s="7" t="s">
        <v>26</v>
      </c>
      <c r="B105" s="11"/>
      <c r="C105" s="7"/>
      <c r="D105" s="7"/>
      <c r="E105" s="7"/>
      <c r="F105" s="7"/>
    </row>
    <row r="106" spans="1:6" x14ac:dyDescent="0.35">
      <c r="A106" s="7" t="s">
        <v>27</v>
      </c>
      <c r="B106" s="11"/>
      <c r="C106" s="7"/>
      <c r="D106" s="7"/>
      <c r="E106" s="7"/>
      <c r="F106" s="7"/>
    </row>
    <row r="107" spans="1:6" x14ac:dyDescent="0.35">
      <c r="A107" s="7" t="s">
        <v>28</v>
      </c>
      <c r="B107" s="11"/>
      <c r="C107" s="7"/>
      <c r="D107" s="7"/>
      <c r="E107" s="7"/>
      <c r="F107" s="7"/>
    </row>
    <row r="108" spans="1:6" x14ac:dyDescent="0.35">
      <c r="A108" s="7"/>
      <c r="B108" s="11"/>
      <c r="C108" s="7"/>
      <c r="D108" s="7"/>
      <c r="E108" s="7"/>
      <c r="F108" s="7"/>
    </row>
    <row r="109" spans="1:6" x14ac:dyDescent="0.35">
      <c r="A109" s="7"/>
      <c r="B109" s="11"/>
      <c r="C109" s="7"/>
      <c r="D109" s="7"/>
      <c r="E109" s="7"/>
      <c r="F109" s="7"/>
    </row>
    <row r="110" spans="1:6" x14ac:dyDescent="0.35">
      <c r="A110" s="7" t="s">
        <v>56</v>
      </c>
      <c r="B110" s="201">
        <f>C100+1</f>
        <v>37071</v>
      </c>
      <c r="C110" s="13">
        <f>B110+6</f>
        <v>37077</v>
      </c>
      <c r="D110" s="7"/>
      <c r="E110" s="7"/>
      <c r="F110" s="7"/>
    </row>
    <row r="111" spans="1:6" x14ac:dyDescent="0.35">
      <c r="A111" s="7" t="s">
        <v>22</v>
      </c>
      <c r="B111" s="11"/>
      <c r="C111" s="7"/>
      <c r="D111" s="7"/>
      <c r="E111" s="7"/>
      <c r="F111" s="7"/>
    </row>
    <row r="112" spans="1:6" x14ac:dyDescent="0.35">
      <c r="A112" s="7" t="s">
        <v>23</v>
      </c>
      <c r="B112" s="11"/>
      <c r="C112" s="7"/>
      <c r="D112" s="7"/>
      <c r="E112" s="7"/>
      <c r="F112" s="7"/>
    </row>
    <row r="113" spans="1:6" x14ac:dyDescent="0.35">
      <c r="A113" s="7" t="s">
        <v>24</v>
      </c>
      <c r="B113" s="11"/>
      <c r="C113" s="7"/>
      <c r="D113" s="7"/>
      <c r="E113" s="7"/>
      <c r="F113" s="7"/>
    </row>
    <row r="114" spans="1:6" x14ac:dyDescent="0.35">
      <c r="A114" s="7" t="s">
        <v>25</v>
      </c>
      <c r="B114" s="11"/>
      <c r="C114" s="7"/>
      <c r="D114" s="7"/>
      <c r="E114" s="7"/>
      <c r="F114" s="7"/>
    </row>
    <row r="115" spans="1:6" x14ac:dyDescent="0.35">
      <c r="A115" s="7" t="s">
        <v>26</v>
      </c>
      <c r="B115" s="11"/>
      <c r="C115" s="7"/>
      <c r="D115" s="7"/>
      <c r="E115" s="7"/>
      <c r="F115" s="7"/>
    </row>
    <row r="116" spans="1:6" x14ac:dyDescent="0.35">
      <c r="A116" s="7" t="s">
        <v>27</v>
      </c>
      <c r="B116" s="11"/>
      <c r="C116" s="7"/>
      <c r="D116" s="7"/>
      <c r="E116" s="7"/>
      <c r="F116" s="7"/>
    </row>
    <row r="117" spans="1:6" x14ac:dyDescent="0.35">
      <c r="A117" s="7" t="s">
        <v>28</v>
      </c>
      <c r="B117" s="11"/>
      <c r="C117" s="7"/>
      <c r="D117" s="7"/>
      <c r="E117" s="7"/>
      <c r="F117" s="7"/>
    </row>
  </sheetData>
  <mergeCells count="1">
    <mergeCell ref="I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6D6D-3D7D-4987-AF49-B09169361ED8}">
  <sheetPr codeName="Sheet4"/>
  <dimension ref="A1:Z43"/>
  <sheetViews>
    <sheetView topLeftCell="A8" workbookViewId="0">
      <selection activeCell="K52" sqref="K52"/>
    </sheetView>
  </sheetViews>
  <sheetFormatPr defaultRowHeight="14.5" x14ac:dyDescent="0.35"/>
  <cols>
    <col min="1" max="16384" width="8.7265625" style="181"/>
  </cols>
  <sheetData>
    <row r="1" spans="1:26" x14ac:dyDescent="0.35">
      <c r="A1" s="60"/>
      <c r="B1" s="60"/>
      <c r="C1" s="60"/>
      <c r="D1" s="60"/>
      <c r="E1" s="60"/>
      <c r="F1" s="60"/>
      <c r="G1" s="60"/>
      <c r="H1" s="60"/>
      <c r="I1" s="60"/>
      <c r="J1" s="60"/>
      <c r="K1" s="207" t="s">
        <v>89</v>
      </c>
      <c r="L1" s="207"/>
      <c r="M1" s="207"/>
      <c r="N1" s="207"/>
    </row>
    <row r="2" spans="1:26" x14ac:dyDescent="0.35">
      <c r="A2" s="60"/>
      <c r="B2" s="60"/>
      <c r="C2" s="60"/>
      <c r="D2" s="60"/>
      <c r="E2" s="60"/>
      <c r="F2" s="60"/>
      <c r="G2" s="60"/>
      <c r="H2" s="60"/>
      <c r="I2" s="60"/>
      <c r="J2" s="60"/>
      <c r="K2" s="210" t="s">
        <v>139</v>
      </c>
      <c r="L2" s="210"/>
      <c r="M2" s="210"/>
      <c r="N2" s="210"/>
    </row>
    <row r="3" spans="1:26" x14ac:dyDescent="0.35">
      <c r="A3" s="60"/>
      <c r="B3" s="60"/>
      <c r="C3" s="60"/>
      <c r="D3" s="60"/>
      <c r="E3" s="60"/>
      <c r="F3" s="60"/>
      <c r="G3" s="60"/>
      <c r="H3" s="60"/>
      <c r="I3" s="60"/>
      <c r="J3" s="60"/>
      <c r="K3" s="60"/>
      <c r="L3" s="60"/>
    </row>
    <row r="4" spans="1:26" ht="103.5" customHeight="1" x14ac:dyDescent="0.35">
      <c r="A4" s="209" t="s">
        <v>147</v>
      </c>
      <c r="B4" s="209"/>
      <c r="C4" s="209"/>
      <c r="D4" s="209"/>
      <c r="E4" s="209"/>
      <c r="F4" s="209"/>
      <c r="G4" s="209"/>
      <c r="H4" s="209"/>
      <c r="I4" s="209"/>
      <c r="J4" s="209"/>
      <c r="K4" s="209"/>
      <c r="L4" s="209"/>
      <c r="M4" s="209"/>
      <c r="N4" s="209"/>
      <c r="O4" s="209"/>
      <c r="P4" s="209"/>
      <c r="Q4" s="209"/>
      <c r="R4" s="209"/>
      <c r="S4" s="209"/>
      <c r="T4" s="209"/>
      <c r="U4" s="209"/>
      <c r="V4" s="209"/>
      <c r="W4" s="209"/>
      <c r="X4" s="209"/>
      <c r="Y4" s="209"/>
      <c r="Z4" s="209"/>
    </row>
    <row r="5" spans="1:26" x14ac:dyDescent="0.35">
      <c r="A5" s="60"/>
      <c r="B5" s="60"/>
      <c r="C5" s="60"/>
      <c r="D5" s="60"/>
      <c r="E5" s="60"/>
      <c r="F5" s="60"/>
      <c r="G5" s="60"/>
      <c r="H5" s="60"/>
      <c r="I5" s="60"/>
      <c r="J5" s="60"/>
      <c r="K5" s="60"/>
      <c r="L5" s="60"/>
    </row>
    <row r="6" spans="1:26" ht="253.5" customHeight="1" x14ac:dyDescent="0.35">
      <c r="A6" s="211" t="s">
        <v>148</v>
      </c>
      <c r="B6" s="211"/>
      <c r="C6" s="211"/>
      <c r="D6" s="211"/>
      <c r="E6" s="211"/>
      <c r="F6" s="211"/>
      <c r="G6" s="211"/>
      <c r="H6" s="211"/>
      <c r="I6" s="211"/>
      <c r="J6" s="211"/>
      <c r="K6" s="211"/>
      <c r="L6" s="211"/>
      <c r="M6" s="211"/>
      <c r="N6" s="211"/>
      <c r="O6" s="211"/>
      <c r="P6" s="211"/>
      <c r="Q6" s="211"/>
      <c r="R6" s="211"/>
      <c r="S6" s="211"/>
      <c r="T6" s="211"/>
      <c r="U6" s="211"/>
      <c r="V6" s="211"/>
      <c r="W6" s="211"/>
      <c r="X6" s="211"/>
      <c r="Y6" s="211"/>
      <c r="Z6" s="211"/>
    </row>
    <row r="7" spans="1:26" x14ac:dyDescent="0.35">
      <c r="A7" s="60"/>
      <c r="B7" s="60"/>
      <c r="C7" s="60"/>
      <c r="D7" s="60"/>
      <c r="E7" s="60"/>
      <c r="F7" s="60"/>
      <c r="G7" s="60"/>
      <c r="H7" s="60"/>
      <c r="I7" s="60"/>
      <c r="J7" s="60"/>
      <c r="K7" s="60"/>
      <c r="L7" s="60"/>
    </row>
    <row r="8" spans="1:26" ht="409.5" customHeight="1" x14ac:dyDescent="0.35">
      <c r="A8" s="212" t="s">
        <v>168</v>
      </c>
      <c r="B8" s="212"/>
      <c r="C8" s="212"/>
      <c r="D8" s="212"/>
      <c r="E8" s="212"/>
      <c r="F8" s="212"/>
      <c r="G8" s="212"/>
      <c r="H8" s="212"/>
      <c r="I8" s="212"/>
      <c r="J8" s="212"/>
      <c r="K8" s="212"/>
      <c r="L8" s="212"/>
      <c r="M8" s="212"/>
      <c r="N8" s="212"/>
      <c r="O8" s="212"/>
      <c r="P8" s="212"/>
      <c r="Q8" s="212"/>
      <c r="R8" s="212"/>
      <c r="S8" s="212"/>
      <c r="T8" s="212"/>
      <c r="U8" s="212"/>
      <c r="V8" s="212"/>
      <c r="W8" s="212"/>
      <c r="X8" s="212"/>
      <c r="Y8" s="212"/>
      <c r="Z8" s="212"/>
    </row>
    <row r="9" spans="1:26" x14ac:dyDescent="0.35">
      <c r="A9" s="60"/>
      <c r="B9" s="60"/>
      <c r="C9" s="60"/>
      <c r="D9" s="60"/>
      <c r="E9" s="60"/>
      <c r="F9" s="60"/>
      <c r="G9" s="60"/>
      <c r="H9" s="60"/>
      <c r="I9" s="60"/>
      <c r="J9" s="60"/>
      <c r="K9" s="60"/>
      <c r="L9" s="60"/>
    </row>
    <row r="10" spans="1:26" x14ac:dyDescent="0.35">
      <c r="A10" s="60"/>
      <c r="B10" s="60"/>
      <c r="C10" s="60"/>
      <c r="D10" s="60"/>
      <c r="E10" s="60"/>
      <c r="F10" s="60"/>
      <c r="G10" s="60"/>
      <c r="H10" s="60"/>
      <c r="I10" s="60"/>
      <c r="J10" s="60"/>
      <c r="K10" s="60"/>
      <c r="L10" s="60"/>
    </row>
    <row r="11" spans="1:26" x14ac:dyDescent="0.35">
      <c r="A11" s="60"/>
      <c r="B11" s="60"/>
      <c r="C11" s="60"/>
      <c r="D11" s="60"/>
      <c r="E11" s="60"/>
      <c r="F11" s="60"/>
      <c r="G11" s="60"/>
      <c r="H11" s="60"/>
      <c r="I11" s="60"/>
      <c r="J11" s="60"/>
      <c r="K11" s="60"/>
      <c r="L11" s="60"/>
    </row>
    <row r="12" spans="1:26" x14ac:dyDescent="0.35">
      <c r="A12" s="60"/>
      <c r="B12" s="60"/>
      <c r="C12" s="60"/>
      <c r="D12" s="60"/>
      <c r="E12" s="60"/>
      <c r="F12" s="60"/>
      <c r="G12" s="60"/>
      <c r="H12" s="60"/>
      <c r="I12" s="60"/>
      <c r="J12" s="60"/>
      <c r="K12" s="60"/>
      <c r="L12" s="60"/>
      <c r="U12" s="181" t="s">
        <v>158</v>
      </c>
    </row>
    <row r="13" spans="1:26" x14ac:dyDescent="0.35">
      <c r="A13" s="60" t="s">
        <v>152</v>
      </c>
      <c r="B13" s="60"/>
      <c r="C13" s="60"/>
      <c r="D13" s="60"/>
      <c r="E13" s="60"/>
      <c r="F13" s="60"/>
      <c r="G13" s="60"/>
      <c r="H13" s="60"/>
      <c r="I13" s="60"/>
      <c r="J13" s="60"/>
      <c r="K13" s="60"/>
      <c r="L13" s="60"/>
      <c r="U13" s="181" t="s">
        <v>159</v>
      </c>
      <c r="W13" s="187" t="s">
        <v>160</v>
      </c>
    </row>
    <row r="14" spans="1:26" x14ac:dyDescent="0.35">
      <c r="A14" s="60" t="s">
        <v>153</v>
      </c>
      <c r="B14" s="60"/>
      <c r="C14" s="60"/>
      <c r="D14" s="60"/>
      <c r="E14" s="60"/>
      <c r="F14" s="60"/>
      <c r="G14" s="60"/>
      <c r="H14" s="60"/>
      <c r="I14" s="60"/>
      <c r="J14" s="60"/>
      <c r="K14" s="60"/>
      <c r="L14" s="60"/>
      <c r="U14" s="181" t="s">
        <v>161</v>
      </c>
      <c r="W14" s="208" t="s">
        <v>162</v>
      </c>
      <c r="X14" s="208"/>
      <c r="Y14" s="187" t="s">
        <v>163</v>
      </c>
    </row>
    <row r="15" spans="1:26" x14ac:dyDescent="0.35">
      <c r="A15" s="60" t="s">
        <v>154</v>
      </c>
      <c r="B15" s="60"/>
      <c r="C15" s="60"/>
      <c r="E15" s="185" t="s">
        <v>155</v>
      </c>
      <c r="F15" s="60"/>
      <c r="G15" s="60"/>
      <c r="H15" s="60"/>
      <c r="I15" s="60"/>
      <c r="J15" s="60"/>
      <c r="K15" s="60"/>
      <c r="L15" s="60"/>
      <c r="W15" s="187" t="s">
        <v>164</v>
      </c>
    </row>
    <row r="16" spans="1:26" x14ac:dyDescent="0.35">
      <c r="A16" s="60"/>
      <c r="B16" s="60"/>
      <c r="C16" s="60"/>
      <c r="D16" s="60"/>
      <c r="E16" s="60"/>
      <c r="F16" s="60"/>
      <c r="G16" s="60"/>
      <c r="H16" s="60"/>
      <c r="I16" s="60"/>
      <c r="J16" s="60"/>
      <c r="K16" s="60"/>
      <c r="L16" s="60"/>
      <c r="U16" s="181" t="s">
        <v>165</v>
      </c>
      <c r="W16" s="187" t="s">
        <v>166</v>
      </c>
    </row>
    <row r="17" spans="1:12" x14ac:dyDescent="0.35">
      <c r="A17" s="60"/>
      <c r="B17" s="60"/>
      <c r="C17" s="60"/>
      <c r="D17" s="60"/>
      <c r="E17" s="60"/>
      <c r="F17" s="60"/>
      <c r="G17" s="60"/>
      <c r="H17" s="60"/>
      <c r="I17" s="60"/>
      <c r="J17" s="60"/>
      <c r="K17" s="60"/>
      <c r="L17" s="60"/>
    </row>
    <row r="18" spans="1:12" x14ac:dyDescent="0.35">
      <c r="A18" s="60"/>
      <c r="B18" s="60"/>
      <c r="C18" s="60"/>
      <c r="D18" s="60"/>
      <c r="E18" s="60"/>
      <c r="F18" s="60"/>
      <c r="G18" s="60"/>
      <c r="H18" s="60"/>
      <c r="I18" s="60"/>
      <c r="J18" s="60"/>
      <c r="K18" s="60"/>
      <c r="L18" s="60"/>
    </row>
    <row r="19" spans="1:12" x14ac:dyDescent="0.35">
      <c r="A19" s="60"/>
      <c r="B19" s="60"/>
      <c r="C19" s="60"/>
      <c r="D19" s="60"/>
      <c r="E19" s="60"/>
      <c r="F19" s="60"/>
      <c r="G19" s="60"/>
      <c r="H19" s="60"/>
      <c r="I19" s="60"/>
      <c r="J19" s="60"/>
      <c r="K19" s="60"/>
      <c r="L19" s="60"/>
    </row>
    <row r="20" spans="1:12" x14ac:dyDescent="0.35">
      <c r="A20" s="60"/>
      <c r="B20" s="60"/>
      <c r="C20" s="60"/>
      <c r="D20" s="60"/>
      <c r="E20" s="60"/>
      <c r="F20" s="60"/>
      <c r="G20" s="60"/>
      <c r="H20" s="60"/>
      <c r="I20" s="60"/>
      <c r="J20" s="60"/>
      <c r="K20" s="60"/>
      <c r="L20" s="60"/>
    </row>
    <row r="21" spans="1:12" x14ac:dyDescent="0.35">
      <c r="A21" s="60"/>
      <c r="B21" s="60"/>
      <c r="C21" s="60"/>
      <c r="D21" s="60"/>
      <c r="E21" s="60"/>
      <c r="F21" s="60"/>
      <c r="G21" s="60"/>
      <c r="H21" s="60"/>
      <c r="I21" s="60"/>
      <c r="J21" s="60"/>
      <c r="K21" s="60"/>
      <c r="L21" s="60"/>
    </row>
    <row r="22" spans="1:12" x14ac:dyDescent="0.35">
      <c r="A22" s="60"/>
      <c r="B22" s="60"/>
      <c r="C22" s="60"/>
      <c r="D22" s="60"/>
      <c r="E22" s="60"/>
      <c r="F22" s="60"/>
      <c r="G22" s="60"/>
      <c r="H22" s="60"/>
      <c r="I22" s="60"/>
      <c r="J22" s="60"/>
      <c r="K22" s="60"/>
      <c r="L22" s="60"/>
    </row>
    <row r="23" spans="1:12" x14ac:dyDescent="0.35">
      <c r="A23" s="60"/>
      <c r="B23" s="60"/>
      <c r="C23" s="60"/>
      <c r="D23" s="60"/>
      <c r="E23" s="60"/>
      <c r="F23" s="60"/>
      <c r="G23" s="60"/>
      <c r="H23" s="60"/>
      <c r="I23" s="60"/>
      <c r="J23" s="60"/>
      <c r="K23" s="60"/>
      <c r="L23" s="60"/>
    </row>
    <row r="24" spans="1:12" x14ac:dyDescent="0.35">
      <c r="A24" s="60"/>
      <c r="B24" s="60"/>
      <c r="C24" s="60"/>
      <c r="D24" s="60"/>
      <c r="E24" s="60"/>
      <c r="F24" s="60"/>
      <c r="G24" s="60"/>
      <c r="H24" s="60"/>
      <c r="I24" s="60"/>
      <c r="J24" s="60"/>
      <c r="K24" s="60"/>
      <c r="L24" s="60"/>
    </row>
    <row r="25" spans="1:12" x14ac:dyDescent="0.35">
      <c r="A25" s="60"/>
      <c r="B25" s="60"/>
      <c r="C25" s="60"/>
      <c r="D25" s="60"/>
      <c r="E25" s="60"/>
      <c r="F25" s="60"/>
      <c r="G25" s="60"/>
      <c r="H25" s="60"/>
      <c r="I25" s="60"/>
      <c r="J25" s="60"/>
      <c r="K25" s="60"/>
      <c r="L25" s="60"/>
    </row>
    <row r="26" spans="1:12" x14ac:dyDescent="0.35">
      <c r="A26" s="60"/>
      <c r="B26" s="60"/>
      <c r="C26" s="60"/>
      <c r="D26" s="60"/>
      <c r="E26" s="60"/>
      <c r="F26" s="60"/>
      <c r="G26" s="60"/>
      <c r="H26" s="60"/>
      <c r="I26" s="60"/>
      <c r="J26" s="60"/>
      <c r="K26" s="60"/>
      <c r="L26" s="60"/>
    </row>
    <row r="27" spans="1:12" x14ac:dyDescent="0.35">
      <c r="A27" s="60"/>
      <c r="B27" s="60"/>
      <c r="C27" s="60"/>
      <c r="D27" s="60"/>
      <c r="E27" s="60"/>
      <c r="F27" s="60"/>
      <c r="G27" s="60"/>
      <c r="H27" s="60"/>
      <c r="I27" s="60"/>
      <c r="J27" s="60"/>
      <c r="K27" s="60"/>
      <c r="L27" s="60"/>
    </row>
    <row r="28" spans="1:12" x14ac:dyDescent="0.35">
      <c r="A28" s="60"/>
      <c r="B28" s="60"/>
      <c r="C28" s="60"/>
      <c r="D28" s="60"/>
      <c r="E28" s="60"/>
      <c r="F28" s="60"/>
      <c r="G28" s="60"/>
      <c r="H28" s="60"/>
      <c r="I28" s="60"/>
      <c r="J28" s="60"/>
      <c r="K28" s="60"/>
      <c r="L28" s="60"/>
    </row>
    <row r="29" spans="1:12" x14ac:dyDescent="0.35">
      <c r="A29" s="60"/>
      <c r="B29" s="60"/>
      <c r="C29" s="60"/>
      <c r="D29" s="60"/>
      <c r="E29" s="60"/>
      <c r="F29" s="60"/>
      <c r="G29" s="60"/>
      <c r="H29" s="60"/>
      <c r="I29" s="60"/>
      <c r="J29" s="60"/>
      <c r="K29" s="60"/>
      <c r="L29" s="60"/>
    </row>
    <row r="30" spans="1:12" x14ac:dyDescent="0.35">
      <c r="A30" s="60"/>
      <c r="B30" s="60"/>
      <c r="C30" s="60"/>
      <c r="D30" s="60"/>
      <c r="E30" s="60"/>
      <c r="F30" s="60"/>
      <c r="G30" s="60"/>
      <c r="H30" s="60"/>
      <c r="I30" s="60"/>
      <c r="J30" s="60"/>
      <c r="K30" s="60"/>
      <c r="L30" s="60"/>
    </row>
    <row r="31" spans="1:12" x14ac:dyDescent="0.35">
      <c r="A31" s="60"/>
      <c r="B31" s="60"/>
      <c r="C31" s="60"/>
      <c r="D31" s="60"/>
      <c r="E31" s="60"/>
      <c r="F31" s="60"/>
      <c r="G31" s="60"/>
      <c r="H31" s="60"/>
      <c r="I31" s="60"/>
      <c r="J31" s="60"/>
      <c r="K31" s="60"/>
      <c r="L31" s="60"/>
    </row>
    <row r="32" spans="1:12" x14ac:dyDescent="0.35">
      <c r="A32" s="60"/>
      <c r="B32" s="60"/>
      <c r="C32" s="60"/>
      <c r="D32" s="60"/>
      <c r="E32" s="60"/>
      <c r="F32" s="60"/>
      <c r="G32" s="60"/>
      <c r="H32" s="60"/>
      <c r="I32" s="60"/>
      <c r="J32" s="60"/>
      <c r="K32" s="60"/>
      <c r="L32" s="60"/>
    </row>
    <row r="33" spans="1:13" x14ac:dyDescent="0.35">
      <c r="A33" s="60"/>
      <c r="B33" s="60"/>
      <c r="C33" s="60"/>
      <c r="D33" s="60"/>
      <c r="E33" s="60"/>
      <c r="F33" s="60"/>
      <c r="G33" s="60"/>
      <c r="H33" s="60"/>
      <c r="I33" s="60"/>
      <c r="J33" s="60"/>
      <c r="K33" s="60"/>
      <c r="L33" s="60"/>
    </row>
    <row r="34" spans="1:13" x14ac:dyDescent="0.35">
      <c r="A34" s="60"/>
      <c r="B34" s="60"/>
      <c r="C34" s="60"/>
      <c r="D34" s="60"/>
      <c r="E34" s="60"/>
      <c r="F34" s="60"/>
      <c r="G34" s="60"/>
      <c r="H34" s="60"/>
      <c r="I34" s="60"/>
      <c r="J34" s="60"/>
      <c r="K34" s="60"/>
      <c r="L34" s="60"/>
    </row>
    <row r="35" spans="1:13" x14ac:dyDescent="0.35">
      <c r="A35" s="60"/>
      <c r="B35" s="60"/>
      <c r="C35" s="60"/>
      <c r="D35" s="60"/>
      <c r="E35" s="60"/>
      <c r="F35" s="60"/>
      <c r="G35" s="60"/>
      <c r="H35" s="60"/>
      <c r="I35" s="60"/>
      <c r="J35" s="60"/>
      <c r="K35" s="60"/>
      <c r="L35" s="60"/>
    </row>
    <row r="36" spans="1:13" x14ac:dyDescent="0.35">
      <c r="A36" s="60"/>
      <c r="B36" s="60"/>
      <c r="C36" s="60"/>
      <c r="D36" s="60"/>
      <c r="E36" s="60"/>
      <c r="F36" s="60"/>
      <c r="G36" s="60"/>
      <c r="H36" s="60"/>
      <c r="I36" s="60"/>
      <c r="J36" s="60"/>
      <c r="K36" s="60"/>
      <c r="L36" s="60"/>
    </row>
    <row r="37" spans="1:13" x14ac:dyDescent="0.35">
      <c r="A37" s="60" t="s">
        <v>151</v>
      </c>
      <c r="B37" s="60"/>
      <c r="C37" s="60"/>
      <c r="D37" s="60"/>
      <c r="E37" s="60"/>
      <c r="F37" s="60"/>
      <c r="G37" s="60"/>
      <c r="H37" s="60"/>
      <c r="I37" s="60"/>
      <c r="J37" s="60"/>
      <c r="K37" s="60"/>
      <c r="L37" s="60"/>
    </row>
    <row r="38" spans="1:13" x14ac:dyDescent="0.35">
      <c r="A38" s="60" t="s">
        <v>90</v>
      </c>
      <c r="B38" s="60"/>
      <c r="C38" s="60"/>
      <c r="D38" s="60"/>
      <c r="E38" s="182" t="s">
        <v>92</v>
      </c>
      <c r="F38" s="60" t="s">
        <v>93</v>
      </c>
      <c r="G38" s="60"/>
      <c r="H38" s="60"/>
      <c r="I38" s="60"/>
      <c r="J38" s="60"/>
      <c r="K38" s="60"/>
      <c r="L38" s="60"/>
    </row>
    <row r="39" spans="1:13" x14ac:dyDescent="0.35">
      <c r="A39" s="60" t="s">
        <v>91</v>
      </c>
      <c r="B39" s="60"/>
      <c r="C39" s="60"/>
      <c r="D39" s="60"/>
      <c r="E39" s="182" t="s">
        <v>92</v>
      </c>
      <c r="F39" s="60" t="s">
        <v>94</v>
      </c>
      <c r="G39" s="60"/>
      <c r="H39" s="60"/>
      <c r="I39" s="60"/>
      <c r="J39" s="60"/>
      <c r="K39" s="183" t="s">
        <v>95</v>
      </c>
      <c r="L39" s="60"/>
    </row>
    <row r="40" spans="1:13" x14ac:dyDescent="0.35">
      <c r="A40" s="60"/>
      <c r="B40" s="60"/>
      <c r="C40" s="60"/>
      <c r="D40" s="60"/>
      <c r="E40" s="60"/>
      <c r="F40" s="60" t="s">
        <v>97</v>
      </c>
      <c r="G40" s="60"/>
      <c r="H40" s="60"/>
      <c r="I40" s="60"/>
      <c r="J40" s="60"/>
      <c r="K40" s="60" t="s">
        <v>96</v>
      </c>
      <c r="L40" s="60"/>
    </row>
    <row r="41" spans="1:13" x14ac:dyDescent="0.35">
      <c r="A41" s="60"/>
      <c r="B41" s="60"/>
      <c r="C41" s="60"/>
      <c r="D41" s="60"/>
      <c r="E41" s="60"/>
      <c r="F41" s="60"/>
      <c r="G41" s="60"/>
      <c r="H41" s="60"/>
      <c r="I41" s="60"/>
      <c r="J41" s="60"/>
      <c r="K41" s="60"/>
      <c r="L41" s="60"/>
    </row>
    <row r="42" spans="1:13" x14ac:dyDescent="0.35">
      <c r="A42" s="60" t="s">
        <v>179</v>
      </c>
      <c r="B42" s="60"/>
      <c r="C42" s="60"/>
      <c r="D42" s="60"/>
      <c r="E42" s="60"/>
      <c r="F42" s="60"/>
      <c r="G42" s="60"/>
      <c r="H42" s="60"/>
      <c r="I42" s="60"/>
      <c r="J42" s="60"/>
      <c r="K42" s="60"/>
      <c r="L42" s="60"/>
    </row>
    <row r="43" spans="1:13" x14ac:dyDescent="0.35">
      <c r="A43" s="60"/>
      <c r="B43" s="60"/>
      <c r="C43" s="60"/>
      <c r="D43" s="60"/>
      <c r="E43" s="60"/>
      <c r="F43" s="60"/>
      <c r="G43" s="60"/>
      <c r="H43" s="60"/>
      <c r="I43" s="60"/>
      <c r="J43" s="60"/>
      <c r="K43" s="60"/>
      <c r="L43" s="60"/>
      <c r="M43" s="181" t="s">
        <v>180</v>
      </c>
    </row>
  </sheetData>
  <mergeCells count="6">
    <mergeCell ref="K1:N1"/>
    <mergeCell ref="W14:X14"/>
    <mergeCell ref="A4:Z4"/>
    <mergeCell ref="K2:N2"/>
    <mergeCell ref="A6:Z6"/>
    <mergeCell ref="A8:Z8"/>
  </mergeCells>
  <hyperlinks>
    <hyperlink ref="E15" r:id="rId1" xr:uid="{10EA2CA8-9E7B-48C6-8511-3EA502AE3F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Game</vt:lpstr>
      <vt:lpstr>charts</vt:lpstr>
      <vt:lpstr>optional</vt:lpstr>
      <vt:lpstr>PJ-about,rules</vt:lpstr>
      <vt:lpstr>week_5</vt:lpstr>
      <vt:lpstr>week_6</vt:lpstr>
      <vt:lpstr>week_7</vt:lpstr>
      <vt:lpstr>Week1</vt:lpstr>
      <vt:lpstr>week2</vt:lpstr>
      <vt:lpstr>week3</vt:lpstr>
      <vt:lpstr>week4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KAIPA, SAI BHARGAV</dc:creator>
  <cp:keywords/>
  <dc:description/>
  <cp:lastModifiedBy>Bhargav Kaipa</cp:lastModifiedBy>
  <cp:revision/>
  <dcterms:created xsi:type="dcterms:W3CDTF">2024-10-03T09:34:55Z</dcterms:created>
  <dcterms:modified xsi:type="dcterms:W3CDTF">2026-01-06T15:32:12Z</dcterms:modified>
  <cp:category/>
  <cp:contentStatus/>
</cp:coreProperties>
</file>