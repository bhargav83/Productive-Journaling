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13_ncr:1_{764CF9CF-E30C-457C-A6D0-C774A1B87E87}" xr6:coauthVersionLast="47" xr6:coauthVersionMax="47" xr10:uidLastSave="{00000000-0000-0000-0000-000000000000}"/>
  <bookViews>
    <workbookView xWindow="-90" yWindow="0" windowWidth="18240" windowHeight="1537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U19" i="1" l="1"/>
  <c r="BU21" i="1"/>
  <c r="BU22" i="1"/>
  <c r="BU23" i="1"/>
  <c r="BU24" i="1"/>
  <c r="BU18" i="1"/>
  <c r="BU32" i="1"/>
  <c r="W19" i="1"/>
  <c r="W20" i="1"/>
  <c r="W21" i="1"/>
  <c r="W22" i="1"/>
  <c r="W23" i="1"/>
  <c r="W24" i="1"/>
  <c r="BA18" i="1"/>
  <c r="BB18" i="1"/>
  <c r="BC18" i="1"/>
  <c r="BD18" i="1"/>
  <c r="BE18" i="1"/>
  <c r="BF18" i="1"/>
  <c r="BG18" i="1"/>
  <c r="BH18" i="1"/>
  <c r="BI18" i="1"/>
  <c r="BJ18" i="1"/>
  <c r="BK18" i="1"/>
  <c r="BL18" i="1"/>
  <c r="BM18" i="1"/>
  <c r="BN18" i="1"/>
  <c r="BO18" i="1"/>
  <c r="BP18" i="1"/>
  <c r="BQ18" i="1"/>
  <c r="BR18" i="1"/>
  <c r="BS18" i="1"/>
  <c r="BT18" i="1"/>
  <c r="BU20" i="1" s="1"/>
  <c r="BA33" i="1"/>
  <c r="BB33" i="1"/>
  <c r="BC33" i="1"/>
  <c r="BD33" i="1"/>
  <c r="BE33" i="1"/>
  <c r="BF33" i="1"/>
  <c r="BG33" i="1"/>
  <c r="BH33" i="1"/>
  <c r="BI33" i="1"/>
  <c r="BJ33" i="1"/>
  <c r="BK33" i="1"/>
  <c r="BL33" i="1"/>
  <c r="BM33" i="1"/>
  <c r="BN33" i="1"/>
  <c r="BO33" i="1"/>
  <c r="BP33" i="1"/>
  <c r="BQ33" i="1"/>
  <c r="BR33" i="1"/>
  <c r="BS33" i="1"/>
  <c r="BT33" i="1"/>
  <c r="BA32" i="1"/>
  <c r="BB32" i="1"/>
  <c r="BC32" i="1"/>
  <c r="BD32" i="1"/>
  <c r="BE32" i="1"/>
  <c r="BF32" i="1"/>
  <c r="BG32" i="1"/>
  <c r="BH32" i="1"/>
  <c r="BI32" i="1"/>
  <c r="BJ32" i="1"/>
  <c r="BK32" i="1"/>
  <c r="BL32" i="1"/>
  <c r="BM32" i="1"/>
  <c r="BN32" i="1"/>
  <c r="BO32" i="1"/>
  <c r="BP32" i="1"/>
  <c r="BQ32" i="1"/>
  <c r="BR32" i="1"/>
  <c r="BS32" i="1"/>
  <c r="BT32" i="1"/>
  <c r="BA24" i="1"/>
  <c r="BB24" i="1"/>
  <c r="BC24" i="1"/>
  <c r="BD24" i="1"/>
  <c r="BE24" i="1"/>
  <c r="BF24" i="1"/>
  <c r="BG24" i="1"/>
  <c r="BH24" i="1"/>
  <c r="BI24" i="1"/>
  <c r="BJ24" i="1"/>
  <c r="BK24" i="1"/>
  <c r="BL24" i="1"/>
  <c r="BM24" i="1"/>
  <c r="BN24" i="1"/>
  <c r="BO24" i="1"/>
  <c r="BP24" i="1"/>
  <c r="BQ24" i="1"/>
  <c r="BR24" i="1"/>
  <c r="BS24" i="1"/>
  <c r="BT24" i="1"/>
  <c r="BA23" i="1"/>
  <c r="BB23" i="1"/>
  <c r="BC23" i="1"/>
  <c r="BD23" i="1"/>
  <c r="BE23" i="1"/>
  <c r="BF23" i="1"/>
  <c r="BG23" i="1"/>
  <c r="BH23" i="1"/>
  <c r="BI23" i="1"/>
  <c r="BJ23" i="1"/>
  <c r="BK23" i="1"/>
  <c r="BL23" i="1"/>
  <c r="BM23" i="1"/>
  <c r="BN23" i="1"/>
  <c r="BO23" i="1"/>
  <c r="BP23" i="1"/>
  <c r="BQ23" i="1"/>
  <c r="BR23" i="1"/>
  <c r="BS23" i="1"/>
  <c r="BT23" i="1"/>
  <c r="BA22" i="1"/>
  <c r="BB22" i="1"/>
  <c r="BC22" i="1"/>
  <c r="BD22" i="1"/>
  <c r="BE22" i="1"/>
  <c r="BF22" i="1"/>
  <c r="BG22" i="1"/>
  <c r="BH22" i="1"/>
  <c r="BI22" i="1"/>
  <c r="BJ22" i="1"/>
  <c r="BK22" i="1"/>
  <c r="BL22" i="1"/>
  <c r="BM22" i="1"/>
  <c r="BN22" i="1"/>
  <c r="BO22" i="1"/>
  <c r="BP22" i="1"/>
  <c r="BQ22" i="1"/>
  <c r="BR22" i="1"/>
  <c r="BS22" i="1"/>
  <c r="BT22" i="1"/>
  <c r="BA21" i="1"/>
  <c r="BB21" i="1"/>
  <c r="BC21" i="1"/>
  <c r="BD21" i="1"/>
  <c r="BE21" i="1"/>
  <c r="BF21" i="1"/>
  <c r="BG21" i="1"/>
  <c r="BH21" i="1"/>
  <c r="BI21" i="1"/>
  <c r="BJ21" i="1"/>
  <c r="BK21" i="1"/>
  <c r="BL21" i="1"/>
  <c r="BM21" i="1"/>
  <c r="BN21" i="1"/>
  <c r="BO21" i="1"/>
  <c r="BP21" i="1"/>
  <c r="BQ21" i="1"/>
  <c r="BR21" i="1"/>
  <c r="BS21" i="1"/>
  <c r="BT21" i="1"/>
  <c r="BA20" i="1"/>
  <c r="BB20" i="1"/>
  <c r="BC20" i="1"/>
  <c r="BD20" i="1"/>
  <c r="BE20" i="1"/>
  <c r="BF20" i="1"/>
  <c r="BG20" i="1"/>
  <c r="BH20" i="1"/>
  <c r="BI20" i="1"/>
  <c r="BJ20" i="1"/>
  <c r="BK20" i="1"/>
  <c r="BL20" i="1"/>
  <c r="BM20" i="1"/>
  <c r="BN20" i="1"/>
  <c r="BO20" i="1"/>
  <c r="BP20" i="1"/>
  <c r="BQ20" i="1"/>
  <c r="BR20" i="1"/>
  <c r="BS20" i="1"/>
  <c r="BT20" i="1"/>
  <c r="BA19" i="1"/>
  <c r="BB19" i="1"/>
  <c r="BC19" i="1"/>
  <c r="BD19" i="1"/>
  <c r="BE19" i="1"/>
  <c r="BF19" i="1"/>
  <c r="BG19" i="1"/>
  <c r="BH19" i="1"/>
  <c r="BI19" i="1"/>
  <c r="BJ19" i="1"/>
  <c r="BK19" i="1"/>
  <c r="BL19" i="1"/>
  <c r="BM19" i="1"/>
  <c r="BN19" i="1"/>
  <c r="BO19" i="1"/>
  <c r="BP19" i="1"/>
  <c r="BQ19" i="1"/>
  <c r="BR19" i="1"/>
  <c r="BS19" i="1"/>
  <c r="BT19" i="1"/>
  <c r="BV5" i="1"/>
  <c r="BV6" i="1"/>
  <c r="BV7" i="1"/>
  <c r="BV8" i="1"/>
  <c r="BV9" i="1"/>
  <c r="BV10" i="1"/>
  <c r="BV4" i="1"/>
  <c r="BT10" i="1"/>
  <c r="BT9" i="1"/>
  <c r="BT8" i="1"/>
  <c r="BT7" i="1"/>
  <c r="BT6" i="1"/>
  <c r="BT5" i="1"/>
  <c r="BT4" i="1"/>
  <c r="BT2" i="1"/>
  <c r="AX2" i="1" a="1"/>
  <c r="AX2" i="1" s="1"/>
  <c r="BA4" i="1" l="1"/>
  <c r="BB4" i="1"/>
  <c r="BC4" i="1"/>
  <c r="BD4" i="1"/>
  <c r="BE4" i="1"/>
  <c r="BF4" i="1"/>
  <c r="BG4" i="1"/>
  <c r="BH4" i="1"/>
  <c r="BI4" i="1"/>
  <c r="BJ4" i="1"/>
  <c r="BK4" i="1"/>
  <c r="BL4" i="1"/>
  <c r="BM4" i="1"/>
  <c r="BN4" i="1"/>
  <c r="BO4" i="1"/>
  <c r="BP4" i="1"/>
  <c r="BQ4" i="1"/>
  <c r="BR4" i="1"/>
  <c r="BS4" i="1"/>
  <c r="W5" i="1"/>
  <c r="W4" i="1"/>
  <c r="W18" i="1"/>
  <c r="W32" i="1"/>
  <c r="AU159" i="1"/>
  <c r="AU160" i="1"/>
  <c r="AU161" i="1"/>
  <c r="AU162" i="1"/>
  <c r="AU163" i="1"/>
  <c r="AU164" i="1"/>
  <c r="AU158" i="1"/>
  <c r="AU145" i="1"/>
  <c r="AU146" i="1"/>
  <c r="AU147" i="1"/>
  <c r="AU148" i="1"/>
  <c r="AU149" i="1"/>
  <c r="AU150" i="1"/>
  <c r="AU144" i="1"/>
  <c r="AU131" i="1"/>
  <c r="AU132" i="1"/>
  <c r="AU133" i="1"/>
  <c r="AU134" i="1"/>
  <c r="AU135" i="1"/>
  <c r="AU136" i="1"/>
  <c r="AU130" i="1"/>
  <c r="AU117" i="1"/>
  <c r="AU118" i="1"/>
  <c r="AU119" i="1"/>
  <c r="AU120" i="1"/>
  <c r="AU121" i="1"/>
  <c r="AU122" i="1"/>
  <c r="AU116" i="1"/>
  <c r="S125" i="1" s="1" a="1"/>
  <c r="S125" i="1" s="1"/>
  <c r="AU103" i="1"/>
  <c r="AU104" i="1"/>
  <c r="AU105" i="1"/>
  <c r="AU106" i="1"/>
  <c r="AU107" i="1"/>
  <c r="AU108" i="1"/>
  <c r="AU102" i="1"/>
  <c r="AU89" i="1"/>
  <c r="AU90" i="1"/>
  <c r="AU91" i="1"/>
  <c r="AU92" i="1"/>
  <c r="AU93" i="1"/>
  <c r="AU94" i="1"/>
  <c r="AU88" i="1"/>
  <c r="AU75" i="1"/>
  <c r="AU76" i="1"/>
  <c r="AU77" i="1"/>
  <c r="AU78" i="1"/>
  <c r="AU79" i="1"/>
  <c r="AU80" i="1"/>
  <c r="AU74" i="1"/>
  <c r="AU61" i="1"/>
  <c r="AU62" i="1"/>
  <c r="AU63" i="1"/>
  <c r="AU64" i="1"/>
  <c r="AU65" i="1"/>
  <c r="AU66" i="1"/>
  <c r="AU60" i="1"/>
  <c r="AU47" i="1"/>
  <c r="AU48" i="1"/>
  <c r="AU49" i="1"/>
  <c r="AU50" i="1"/>
  <c r="AU51" i="1"/>
  <c r="AU52" i="1"/>
  <c r="AU46" i="1"/>
  <c r="AU33" i="1"/>
  <c r="AU34" i="1"/>
  <c r="AU35" i="1"/>
  <c r="AU36" i="1"/>
  <c r="AU37" i="1"/>
  <c r="AU38" i="1"/>
  <c r="AU32" i="1"/>
  <c r="AU19" i="1"/>
  <c r="S27" i="1" s="1" a="1"/>
  <c r="S27" i="1" s="1"/>
  <c r="AU20" i="1"/>
  <c r="AU21" i="1"/>
  <c r="AU22" i="1"/>
  <c r="AU23" i="1"/>
  <c r="AU24" i="1"/>
  <c r="AU18" i="1"/>
  <c r="AU10" i="1"/>
  <c r="AU9" i="1"/>
  <c r="AU8" i="1"/>
  <c r="AU7" i="1"/>
  <c r="AU6" i="1"/>
  <c r="AU5" i="1"/>
  <c r="AU4" i="1"/>
  <c r="W6" i="1"/>
  <c r="W7" i="1"/>
  <c r="W8" i="1"/>
  <c r="W9" i="1"/>
  <c r="W10" i="1"/>
  <c r="AE2" i="1" a="1"/>
  <c r="AE2" i="1" s="1"/>
  <c r="BA2" i="1" s="1"/>
  <c r="AF2" i="1" a="1"/>
  <c r="AF2" i="1" s="1"/>
  <c r="BB2" i="1" s="1"/>
  <c r="AG2" i="1" a="1"/>
  <c r="AG2" i="1" s="1"/>
  <c r="BC2" i="1" s="1"/>
  <c r="AH2" i="1" a="1"/>
  <c r="AH2" i="1" s="1"/>
  <c r="BD2" i="1" s="1"/>
  <c r="AI2" i="1" a="1"/>
  <c r="AI2" i="1" s="1"/>
  <c r="BE2" i="1" s="1"/>
  <c r="AJ2" i="1" a="1"/>
  <c r="AJ2" i="1" s="1"/>
  <c r="BF2" i="1" s="1"/>
  <c r="AK2" i="1" a="1"/>
  <c r="AK2" i="1" s="1"/>
  <c r="BG2" i="1" s="1"/>
  <c r="AL2" i="1" a="1"/>
  <c r="AL2" i="1" s="1"/>
  <c r="BH2" i="1" s="1"/>
  <c r="AM2" i="1" a="1"/>
  <c r="AM2" i="1" s="1"/>
  <c r="BI2" i="1" s="1"/>
  <c r="AN2" i="1" a="1"/>
  <c r="AN2" i="1" s="1"/>
  <c r="BJ2" i="1" s="1"/>
  <c r="AO2" i="1" a="1"/>
  <c r="AO2" i="1" s="1"/>
  <c r="BK2" i="1" s="1"/>
  <c r="AP2" i="1" a="1"/>
  <c r="AP2" i="1" s="1"/>
  <c r="BL2" i="1" s="1"/>
  <c r="AQ2" i="1" a="1"/>
  <c r="AQ2" i="1" s="1"/>
  <c r="BM2" i="1" s="1"/>
  <c r="AR2" i="1" a="1"/>
  <c r="AR2" i="1" s="1"/>
  <c r="BN2" i="1" s="1"/>
  <c r="AS2" i="1" a="1"/>
  <c r="AS2" i="1" s="1"/>
  <c r="BO2" i="1" s="1"/>
  <c r="AT2" i="1" a="1"/>
  <c r="AT2" i="1" s="1"/>
  <c r="BP2" i="1" s="1"/>
  <c r="AU2" i="1" a="1"/>
  <c r="AU2" i="1" s="1"/>
  <c r="BQ2" i="1" s="1"/>
  <c r="AV2" i="1" a="1"/>
  <c r="AV2" i="1" s="1"/>
  <c r="BR2" i="1" s="1"/>
  <c r="AW2" i="1" a="1"/>
  <c r="AW2" i="1" s="1"/>
  <c r="BS2" i="1" s="1"/>
  <c r="AD2" i="1" a="1"/>
  <c r="AD2" i="1" s="1"/>
  <c r="AZ2" i="1" s="1"/>
  <c r="BV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R116" i="1"/>
  <c r="BA116" i="1"/>
  <c r="AZ116" i="1"/>
  <c r="S153" i="1" a="1"/>
  <c r="S153" i="1" s="1"/>
  <c r="S139" i="1" a="1"/>
  <c r="S139" i="1" s="1"/>
  <c r="S97" i="1" a="1"/>
  <c r="S97" i="1" s="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E5" i="1"/>
  <c r="AE6" i="1" s="1"/>
  <c r="AE7" i="1"/>
  <c r="AE8" i="1"/>
  <c r="AE9" i="1" s="1"/>
  <c r="AE10" i="1"/>
  <c r="AE4" i="1"/>
  <c r="AF4" i="1"/>
  <c r="AF5" i="1" s="1"/>
  <c r="AF6" i="1" s="1"/>
  <c r="AF7" i="1" s="1"/>
  <c r="AF8" i="1" s="1"/>
  <c r="AF9" i="1" s="1"/>
  <c r="AF10" i="1" s="1"/>
  <c r="AF18" i="1" s="1"/>
  <c r="AF19" i="1" s="1"/>
  <c r="AF20" i="1" s="1"/>
  <c r="AF21" i="1" s="1"/>
  <c r="AF22" i="1" s="1"/>
  <c r="AF23" i="1" s="1"/>
  <c r="AF24"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S55" i="1" l="1" a="1"/>
  <c r="S55" i="1" s="1"/>
  <c r="S111" i="1" a="1"/>
  <c r="S111" i="1" s="1"/>
  <c r="S83" i="1" a="1"/>
  <c r="S83" i="1" s="1"/>
  <c r="AU25" i="1"/>
  <c r="S167" i="1" a="1"/>
  <c r="S167" i="1" s="1"/>
  <c r="S41" i="1" a="1"/>
  <c r="S41" i="1" s="1"/>
  <c r="S69" i="1" a="1"/>
  <c r="S69" i="1" s="1"/>
  <c r="S13" i="1" a="1"/>
  <c r="S13" i="1" s="1"/>
  <c r="O97" i="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BV24" i="1" s="1"/>
  <c r="X20" i="1"/>
  <c r="BV20" i="1" s="1"/>
  <c r="L55" i="1" a="1"/>
  <c r="L55" i="1" s="1"/>
  <c r="N13" i="1" a="1"/>
  <c r="N13" i="1" s="1"/>
  <c r="N27" i="1" a="1"/>
  <c r="N27" i="1" s="1"/>
  <c r="X36" i="1"/>
  <c r="G27" i="1" a="1"/>
  <c r="G27" i="1" s="1"/>
  <c r="Q40" i="1"/>
  <c r="I55" i="1" a="1"/>
  <c r="I55" i="1" s="1"/>
  <c r="X32" i="1"/>
  <c r="L27" i="1" a="1"/>
  <c r="L27" i="1" s="1"/>
  <c r="K13" i="1" a="1"/>
  <c r="K13" i="1" s="1"/>
  <c r="X23" i="1"/>
  <c r="BV23" i="1" s="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BV21" i="1" s="1"/>
  <c r="X19" i="1"/>
  <c r="BV19" i="1" s="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BV18" i="1" s="1"/>
  <c r="E41" i="1" a="1"/>
  <c r="E41" i="1" s="1"/>
  <c r="X22" i="1"/>
  <c r="BV22" i="1" s="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BA164" i="1"/>
  <c r="BB164" i="1"/>
  <c r="BC164" i="1"/>
  <c r="BD164" i="1"/>
  <c r="BE164" i="1"/>
  <c r="BF164" i="1"/>
  <c r="BG164" i="1"/>
  <c r="BH164" i="1"/>
  <c r="BI164" i="1"/>
  <c r="BJ164" i="1"/>
  <c r="BK164" i="1"/>
  <c r="BL164" i="1"/>
  <c r="BM164" i="1"/>
  <c r="BN164" i="1"/>
  <c r="BO164" i="1"/>
  <c r="BP164" i="1"/>
  <c r="BQ164" i="1"/>
  <c r="BR164" i="1"/>
  <c r="BS164" i="1"/>
  <c r="BV164" i="1" s="1"/>
  <c r="BA163" i="1"/>
  <c r="BB163" i="1"/>
  <c r="BC163" i="1"/>
  <c r="BD163" i="1"/>
  <c r="BE163" i="1"/>
  <c r="BF163" i="1"/>
  <c r="BG163" i="1"/>
  <c r="BH163" i="1"/>
  <c r="BI163" i="1"/>
  <c r="BJ163" i="1"/>
  <c r="BK163" i="1"/>
  <c r="BL163" i="1"/>
  <c r="BM163" i="1"/>
  <c r="BN163" i="1"/>
  <c r="BO163" i="1"/>
  <c r="BP163" i="1"/>
  <c r="BQ163" i="1"/>
  <c r="BR163" i="1"/>
  <c r="BS163" i="1"/>
  <c r="BV163" i="1" s="1"/>
  <c r="BA162" i="1"/>
  <c r="BB162" i="1"/>
  <c r="BC162" i="1"/>
  <c r="BD162" i="1"/>
  <c r="BE162" i="1"/>
  <c r="BF162" i="1"/>
  <c r="BG162" i="1"/>
  <c r="BH162" i="1"/>
  <c r="BI162" i="1"/>
  <c r="BJ162" i="1"/>
  <c r="BK162" i="1"/>
  <c r="BL162" i="1"/>
  <c r="BM162" i="1"/>
  <c r="BN162" i="1"/>
  <c r="BO162" i="1"/>
  <c r="BP162" i="1"/>
  <c r="BQ162" i="1"/>
  <c r="BR162" i="1"/>
  <c r="BS162" i="1"/>
  <c r="BV162" i="1" s="1"/>
  <c r="BA161" i="1"/>
  <c r="BB161" i="1"/>
  <c r="BC161" i="1"/>
  <c r="BD161" i="1"/>
  <c r="BE161" i="1"/>
  <c r="BF161" i="1"/>
  <c r="BG161" i="1"/>
  <c r="BH161" i="1"/>
  <c r="BI161" i="1"/>
  <c r="BJ161" i="1"/>
  <c r="BK161" i="1"/>
  <c r="BL161" i="1"/>
  <c r="BM161" i="1"/>
  <c r="BN161" i="1"/>
  <c r="BO161" i="1"/>
  <c r="BP161" i="1"/>
  <c r="BQ161" i="1"/>
  <c r="BR161" i="1"/>
  <c r="BS161" i="1"/>
  <c r="BV161" i="1" s="1"/>
  <c r="BA160" i="1"/>
  <c r="BB160" i="1"/>
  <c r="BC160" i="1"/>
  <c r="BD160" i="1"/>
  <c r="BE160" i="1"/>
  <c r="BF160" i="1"/>
  <c r="BG160" i="1"/>
  <c r="BH160" i="1"/>
  <c r="BI160" i="1"/>
  <c r="BJ160" i="1"/>
  <c r="BK160" i="1"/>
  <c r="BL160" i="1"/>
  <c r="BM160" i="1"/>
  <c r="BN160" i="1"/>
  <c r="BO160" i="1"/>
  <c r="BP160" i="1"/>
  <c r="BQ160" i="1"/>
  <c r="BR160" i="1"/>
  <c r="BS160" i="1"/>
  <c r="BV160" i="1" s="1"/>
  <c r="BA159" i="1"/>
  <c r="BB159" i="1"/>
  <c r="BC159" i="1"/>
  <c r="BD159" i="1"/>
  <c r="BE159" i="1"/>
  <c r="BF159" i="1"/>
  <c r="BG159" i="1"/>
  <c r="BH159" i="1"/>
  <c r="BI159" i="1"/>
  <c r="BJ159" i="1"/>
  <c r="BK159" i="1"/>
  <c r="BL159" i="1"/>
  <c r="BM159" i="1"/>
  <c r="BN159" i="1"/>
  <c r="BO159" i="1"/>
  <c r="BP159" i="1"/>
  <c r="BQ159" i="1"/>
  <c r="BR159" i="1"/>
  <c r="BS159" i="1"/>
  <c r="BV159" i="1" s="1"/>
  <c r="BA158" i="1"/>
  <c r="BB158" i="1"/>
  <c r="BC158" i="1"/>
  <c r="BD158" i="1"/>
  <c r="BE158" i="1"/>
  <c r="BF158" i="1"/>
  <c r="BG158" i="1"/>
  <c r="BH158" i="1"/>
  <c r="BI158" i="1"/>
  <c r="BJ158" i="1"/>
  <c r="BK158" i="1"/>
  <c r="BL158" i="1"/>
  <c r="BM158" i="1"/>
  <c r="BN158" i="1"/>
  <c r="BO158" i="1"/>
  <c r="BP158" i="1"/>
  <c r="BQ158" i="1"/>
  <c r="BR158" i="1"/>
  <c r="BS158" i="1"/>
  <c r="BU158" i="1" s="1"/>
  <c r="AZ164" i="1"/>
  <c r="AZ163" i="1"/>
  <c r="AZ162" i="1"/>
  <c r="AZ161" i="1"/>
  <c r="AZ160" i="1"/>
  <c r="AZ159" i="1"/>
  <c r="AZ158" i="1"/>
  <c r="BA150" i="1"/>
  <c r="BB150" i="1"/>
  <c r="BC150" i="1"/>
  <c r="BD150" i="1"/>
  <c r="BE150" i="1"/>
  <c r="BF150" i="1"/>
  <c r="BG150" i="1"/>
  <c r="BH150" i="1"/>
  <c r="BI150" i="1"/>
  <c r="BJ150" i="1"/>
  <c r="BK150" i="1"/>
  <c r="BL150" i="1"/>
  <c r="BM150" i="1"/>
  <c r="BN150" i="1"/>
  <c r="BO150" i="1"/>
  <c r="BP150" i="1"/>
  <c r="BQ150" i="1"/>
  <c r="BR150" i="1"/>
  <c r="BS150" i="1"/>
  <c r="BV150" i="1" s="1"/>
  <c r="BA149" i="1"/>
  <c r="BB149" i="1"/>
  <c r="BC149" i="1"/>
  <c r="BD149" i="1"/>
  <c r="BE149" i="1"/>
  <c r="BF149" i="1"/>
  <c r="BG149" i="1"/>
  <c r="BH149" i="1"/>
  <c r="BI149" i="1"/>
  <c r="BJ149" i="1"/>
  <c r="BK149" i="1"/>
  <c r="BL149" i="1"/>
  <c r="BM149" i="1"/>
  <c r="BN149" i="1"/>
  <c r="BO149" i="1"/>
  <c r="BP149" i="1"/>
  <c r="BQ149" i="1"/>
  <c r="BR149" i="1"/>
  <c r="BS149" i="1"/>
  <c r="BV149" i="1" s="1"/>
  <c r="BA148" i="1"/>
  <c r="BB148" i="1"/>
  <c r="BC148" i="1"/>
  <c r="BD148" i="1"/>
  <c r="BE148" i="1"/>
  <c r="BF148" i="1"/>
  <c r="BG148" i="1"/>
  <c r="BH148" i="1"/>
  <c r="BI148" i="1"/>
  <c r="BJ148" i="1"/>
  <c r="BK148" i="1"/>
  <c r="BL148" i="1"/>
  <c r="BM148" i="1"/>
  <c r="BN148" i="1"/>
  <c r="BO148" i="1"/>
  <c r="BP148" i="1"/>
  <c r="BQ148" i="1"/>
  <c r="BR148" i="1"/>
  <c r="BS148" i="1"/>
  <c r="BV148" i="1" s="1"/>
  <c r="BA147" i="1"/>
  <c r="BB147" i="1"/>
  <c r="BC147" i="1"/>
  <c r="BD147" i="1"/>
  <c r="BE147" i="1"/>
  <c r="BF147" i="1"/>
  <c r="BG147" i="1"/>
  <c r="BH147" i="1"/>
  <c r="BI147" i="1"/>
  <c r="BJ147" i="1"/>
  <c r="BK147" i="1"/>
  <c r="BL147" i="1"/>
  <c r="BM147" i="1"/>
  <c r="BN147" i="1"/>
  <c r="BO147" i="1"/>
  <c r="BP147" i="1"/>
  <c r="BQ147" i="1"/>
  <c r="BR147" i="1"/>
  <c r="BS147" i="1"/>
  <c r="BV147" i="1" s="1"/>
  <c r="AZ150" i="1"/>
  <c r="AZ149" i="1"/>
  <c r="AZ148" i="1"/>
  <c r="AZ147" i="1"/>
  <c r="BA146" i="1"/>
  <c r="BB146" i="1"/>
  <c r="BC146" i="1"/>
  <c r="BD146" i="1"/>
  <c r="BE146" i="1"/>
  <c r="BF146" i="1"/>
  <c r="BG146" i="1"/>
  <c r="BH146" i="1"/>
  <c r="BI146" i="1"/>
  <c r="BJ146" i="1"/>
  <c r="BK146" i="1"/>
  <c r="BL146" i="1"/>
  <c r="BM146" i="1"/>
  <c r="BN146" i="1"/>
  <c r="BO146" i="1"/>
  <c r="BP146" i="1"/>
  <c r="BQ146" i="1"/>
  <c r="BR146" i="1"/>
  <c r="BS146" i="1"/>
  <c r="BV146" i="1" s="1"/>
  <c r="AZ146" i="1"/>
  <c r="BA144" i="1"/>
  <c r="BB144" i="1"/>
  <c r="BC144" i="1"/>
  <c r="BD144" i="1"/>
  <c r="BE144" i="1"/>
  <c r="BF144" i="1"/>
  <c r="BG144" i="1"/>
  <c r="BH144" i="1"/>
  <c r="BI144" i="1"/>
  <c r="BJ144" i="1"/>
  <c r="BK144" i="1"/>
  <c r="BL144" i="1"/>
  <c r="BM144" i="1"/>
  <c r="BN144" i="1"/>
  <c r="BO144" i="1"/>
  <c r="BP144" i="1"/>
  <c r="BQ144" i="1"/>
  <c r="BR144" i="1"/>
  <c r="BS144" i="1"/>
  <c r="BV144" i="1" s="1"/>
  <c r="BA145" i="1"/>
  <c r="BB145" i="1"/>
  <c r="BC145" i="1"/>
  <c r="BD145" i="1"/>
  <c r="BE145" i="1"/>
  <c r="BF145" i="1"/>
  <c r="BG145" i="1"/>
  <c r="BH145" i="1"/>
  <c r="BI145" i="1"/>
  <c r="BJ145" i="1"/>
  <c r="BK145" i="1"/>
  <c r="BL145" i="1"/>
  <c r="BM145" i="1"/>
  <c r="BN145" i="1"/>
  <c r="BO145" i="1"/>
  <c r="BP145" i="1"/>
  <c r="BQ145" i="1"/>
  <c r="BR145" i="1"/>
  <c r="BS145" i="1"/>
  <c r="BV145" i="1" s="1"/>
  <c r="AZ145" i="1"/>
  <c r="AZ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Y32" i="1"/>
  <c r="Y24" i="1"/>
  <c r="Y23" i="1"/>
  <c r="Y22" i="1"/>
  <c r="Y21" i="1"/>
  <c r="Y20" i="1"/>
  <c r="Y19" i="1"/>
  <c r="Y18"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W67" i="1" l="1"/>
  <c r="V167" i="1" a="1"/>
  <c r="V167" i="1" s="1"/>
  <c r="C17" i="1"/>
  <c r="B31" i="1" s="1"/>
  <c r="C274" i="2"/>
  <c r="D274" i="2" s="1"/>
  <c r="Y98" i="1"/>
  <c r="Y56" i="1"/>
  <c r="Y84" i="1"/>
  <c r="BV158" i="1"/>
  <c r="BW145" i="1"/>
  <c r="BW146" i="1"/>
  <c r="BW147" i="1"/>
  <c r="BW148" i="1"/>
  <c r="BW149" i="1"/>
  <c r="BW150" i="1"/>
  <c r="BW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AB21" i="1" s="1"/>
  <c r="AB35" i="1" s="1"/>
  <c r="AB49" i="1" s="1"/>
  <c r="Y7" i="1"/>
  <c r="AB5" i="1"/>
  <c r="AB19" i="1" s="1"/>
  <c r="AB33" i="1" s="1"/>
  <c r="AB47" i="1" s="1"/>
  <c r="Y5" i="1"/>
  <c r="AB10" i="1"/>
  <c r="AB24" i="1" s="1"/>
  <c r="AB38" i="1" s="1"/>
  <c r="AB52" i="1" s="1"/>
  <c r="Y10" i="1"/>
  <c r="X167" i="1" a="1"/>
  <c r="X167" i="1" s="1"/>
  <c r="AB4" i="1"/>
  <c r="AB18" i="1" s="1"/>
  <c r="AB32" i="1" s="1"/>
  <c r="AB46" i="1" s="1"/>
  <c r="Y4" i="1"/>
  <c r="AB8" i="1"/>
  <c r="AB22" i="1" s="1"/>
  <c r="AB36" i="1" s="1"/>
  <c r="AB50" i="1" s="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U145" i="1"/>
  <c r="W25" i="1"/>
  <c r="W169" i="1"/>
  <c r="BU159" i="1"/>
  <c r="Q166" i="1"/>
  <c r="N166" i="1"/>
  <c r="O166" i="1"/>
  <c r="P166" i="1"/>
  <c r="R166" i="1"/>
  <c r="S166" i="1"/>
  <c r="T166" i="1"/>
  <c r="V166" i="1"/>
  <c r="BU147" i="1"/>
  <c r="C166" i="1"/>
  <c r="D166" i="1"/>
  <c r="E166" i="1"/>
  <c r="BU144" i="1"/>
  <c r="BU146" i="1"/>
  <c r="BU164" i="1"/>
  <c r="BU163" i="1"/>
  <c r="BU162" i="1"/>
  <c r="BU161" i="1"/>
  <c r="BU160" i="1"/>
  <c r="BU148" i="1"/>
  <c r="BU149" i="1"/>
  <c r="BU150" i="1"/>
  <c r="I166" i="1"/>
  <c r="F166" i="1"/>
  <c r="H166" i="1"/>
  <c r="G166" i="1"/>
  <c r="J166" i="1"/>
  <c r="K166" i="1"/>
  <c r="L166" i="1"/>
  <c r="W155" i="1"/>
  <c r="V155" i="1"/>
  <c r="W151" i="1"/>
  <c r="M166" i="1"/>
  <c r="W165" i="1"/>
  <c r="B166" i="1"/>
  <c r="V169" i="1"/>
  <c r="C31" i="1" l="1"/>
  <c r="B45" i="1" s="1"/>
  <c r="C308" i="2"/>
  <c r="BW159" i="1"/>
  <c r="BW160" i="1"/>
  <c r="BW161" i="1"/>
  <c r="BW162" i="1"/>
  <c r="BW164" i="1"/>
  <c r="BW158" i="1"/>
  <c r="BW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BA136" i="1"/>
  <c r="BB136" i="1"/>
  <c r="BC136" i="1"/>
  <c r="BD136" i="1"/>
  <c r="BE136" i="1"/>
  <c r="BF136" i="1"/>
  <c r="BG136" i="1"/>
  <c r="BH136" i="1"/>
  <c r="BI136" i="1"/>
  <c r="BJ136" i="1"/>
  <c r="BK136" i="1"/>
  <c r="BL136" i="1"/>
  <c r="BM136" i="1"/>
  <c r="BN136" i="1"/>
  <c r="BO136" i="1"/>
  <c r="BP136" i="1"/>
  <c r="BQ136" i="1"/>
  <c r="BR136" i="1"/>
  <c r="BS136" i="1"/>
  <c r="BV136" i="1" s="1"/>
  <c r="BA135" i="1"/>
  <c r="BB135" i="1"/>
  <c r="BC135" i="1"/>
  <c r="BD135" i="1"/>
  <c r="BE135" i="1"/>
  <c r="BF135" i="1"/>
  <c r="BG135" i="1"/>
  <c r="BH135" i="1"/>
  <c r="BI135" i="1"/>
  <c r="BJ135" i="1"/>
  <c r="BK135" i="1"/>
  <c r="BL135" i="1"/>
  <c r="BM135" i="1"/>
  <c r="BN135" i="1"/>
  <c r="BO135" i="1"/>
  <c r="BP135" i="1"/>
  <c r="BQ135" i="1"/>
  <c r="BR135" i="1"/>
  <c r="BS135" i="1"/>
  <c r="BV135" i="1" s="1"/>
  <c r="BA134" i="1"/>
  <c r="BB134" i="1"/>
  <c r="BC134" i="1"/>
  <c r="BD134" i="1"/>
  <c r="BE134" i="1"/>
  <c r="BF134" i="1"/>
  <c r="BG134" i="1"/>
  <c r="BH134" i="1"/>
  <c r="BI134" i="1"/>
  <c r="BJ134" i="1"/>
  <c r="BK134" i="1"/>
  <c r="BL134" i="1"/>
  <c r="BM134" i="1"/>
  <c r="BN134" i="1"/>
  <c r="BO134" i="1"/>
  <c r="BP134" i="1"/>
  <c r="BQ134" i="1"/>
  <c r="BR134" i="1"/>
  <c r="BS134" i="1"/>
  <c r="BV134" i="1" s="1"/>
  <c r="BA133" i="1"/>
  <c r="BB133" i="1"/>
  <c r="BC133" i="1"/>
  <c r="BD133" i="1"/>
  <c r="BE133" i="1"/>
  <c r="BF133" i="1"/>
  <c r="BG133" i="1"/>
  <c r="BH133" i="1"/>
  <c r="BI133" i="1"/>
  <c r="BJ133" i="1"/>
  <c r="BK133" i="1"/>
  <c r="BL133" i="1"/>
  <c r="BM133" i="1"/>
  <c r="BN133" i="1"/>
  <c r="BO133" i="1"/>
  <c r="BP133" i="1"/>
  <c r="BQ133" i="1"/>
  <c r="BR133" i="1"/>
  <c r="BS133" i="1"/>
  <c r="BV133" i="1" s="1"/>
  <c r="BA132" i="1"/>
  <c r="BB132" i="1"/>
  <c r="BC132" i="1"/>
  <c r="BD132" i="1"/>
  <c r="BE132" i="1"/>
  <c r="BF132" i="1"/>
  <c r="BG132" i="1"/>
  <c r="BH132" i="1"/>
  <c r="BI132" i="1"/>
  <c r="BJ132" i="1"/>
  <c r="BK132" i="1"/>
  <c r="BL132" i="1"/>
  <c r="BM132" i="1"/>
  <c r="BN132" i="1"/>
  <c r="BO132" i="1"/>
  <c r="BP132" i="1"/>
  <c r="BQ132" i="1"/>
  <c r="BR132" i="1"/>
  <c r="BS132" i="1"/>
  <c r="BV132" i="1" s="1"/>
  <c r="BA131" i="1"/>
  <c r="BB131" i="1"/>
  <c r="BC131" i="1"/>
  <c r="BD131" i="1"/>
  <c r="BE131" i="1"/>
  <c r="BF131" i="1"/>
  <c r="BG131" i="1"/>
  <c r="BH131" i="1"/>
  <c r="BI131" i="1"/>
  <c r="BJ131" i="1"/>
  <c r="BK131" i="1"/>
  <c r="BL131" i="1"/>
  <c r="BM131" i="1"/>
  <c r="BN131" i="1"/>
  <c r="BO131" i="1"/>
  <c r="BP131" i="1"/>
  <c r="BQ131" i="1"/>
  <c r="BR131" i="1"/>
  <c r="BS131" i="1"/>
  <c r="BV131" i="1" s="1"/>
  <c r="BA130" i="1"/>
  <c r="BB130" i="1"/>
  <c r="BC130" i="1"/>
  <c r="BD130" i="1"/>
  <c r="BE130" i="1"/>
  <c r="BF130" i="1"/>
  <c r="BG130" i="1"/>
  <c r="BH130" i="1"/>
  <c r="BI130" i="1"/>
  <c r="BJ130" i="1"/>
  <c r="BK130" i="1"/>
  <c r="BL130" i="1"/>
  <c r="BM130" i="1"/>
  <c r="BN130" i="1"/>
  <c r="BO130" i="1"/>
  <c r="BP130" i="1"/>
  <c r="BQ130" i="1"/>
  <c r="BR130" i="1"/>
  <c r="BS130" i="1"/>
  <c r="BV130" i="1" s="1"/>
  <c r="AZ136" i="1"/>
  <c r="AZ135" i="1"/>
  <c r="AZ134" i="1"/>
  <c r="AZ133" i="1"/>
  <c r="AZ132" i="1"/>
  <c r="AZ131" i="1"/>
  <c r="AZ130" i="1"/>
  <c r="BA122" i="1"/>
  <c r="BB122" i="1"/>
  <c r="BC122" i="1"/>
  <c r="BD122" i="1"/>
  <c r="BE122" i="1"/>
  <c r="BF122" i="1"/>
  <c r="BG122" i="1"/>
  <c r="BH122" i="1"/>
  <c r="BI122" i="1"/>
  <c r="BJ122" i="1"/>
  <c r="BK122" i="1"/>
  <c r="BL122" i="1"/>
  <c r="BM122" i="1"/>
  <c r="BN122" i="1"/>
  <c r="BO122" i="1"/>
  <c r="BP122" i="1"/>
  <c r="BQ122" i="1"/>
  <c r="BR122" i="1"/>
  <c r="BS122" i="1"/>
  <c r="BV122" i="1" s="1"/>
  <c r="BA121" i="1"/>
  <c r="BB121" i="1"/>
  <c r="BC121" i="1"/>
  <c r="BD121" i="1"/>
  <c r="BE121" i="1"/>
  <c r="BF121" i="1"/>
  <c r="BG121" i="1"/>
  <c r="BH121" i="1"/>
  <c r="BI121" i="1"/>
  <c r="BJ121" i="1"/>
  <c r="BK121" i="1"/>
  <c r="BL121" i="1"/>
  <c r="BM121" i="1"/>
  <c r="BN121" i="1"/>
  <c r="BO121" i="1"/>
  <c r="BP121" i="1"/>
  <c r="BQ121" i="1"/>
  <c r="BR121" i="1"/>
  <c r="BS121" i="1"/>
  <c r="BV121" i="1" s="1"/>
  <c r="BA120" i="1"/>
  <c r="BB120" i="1"/>
  <c r="BC120" i="1"/>
  <c r="BD120" i="1"/>
  <c r="BE120" i="1"/>
  <c r="BF120" i="1"/>
  <c r="BG120" i="1"/>
  <c r="BH120" i="1"/>
  <c r="BI120" i="1"/>
  <c r="BJ120" i="1"/>
  <c r="BK120" i="1"/>
  <c r="BL120" i="1"/>
  <c r="BM120" i="1"/>
  <c r="BN120" i="1"/>
  <c r="BO120" i="1"/>
  <c r="BP120" i="1"/>
  <c r="BQ120" i="1"/>
  <c r="BR120" i="1"/>
  <c r="BS120" i="1"/>
  <c r="BV120" i="1" s="1"/>
  <c r="BA119" i="1"/>
  <c r="BB119" i="1"/>
  <c r="BC119" i="1"/>
  <c r="BD119" i="1"/>
  <c r="BE119" i="1"/>
  <c r="BF119" i="1"/>
  <c r="BG119" i="1"/>
  <c r="BH119" i="1"/>
  <c r="BI119" i="1"/>
  <c r="BJ119" i="1"/>
  <c r="BK119" i="1"/>
  <c r="BL119" i="1"/>
  <c r="BM119" i="1"/>
  <c r="BN119" i="1"/>
  <c r="BO119" i="1"/>
  <c r="BP119" i="1"/>
  <c r="BQ119" i="1"/>
  <c r="BR119" i="1"/>
  <c r="BS119" i="1"/>
  <c r="BV119" i="1" s="1"/>
  <c r="BA118" i="1"/>
  <c r="BB118" i="1"/>
  <c r="BC118" i="1"/>
  <c r="BD118" i="1"/>
  <c r="BE118" i="1"/>
  <c r="BF118" i="1"/>
  <c r="BG118" i="1"/>
  <c r="BH118" i="1"/>
  <c r="BI118" i="1"/>
  <c r="BJ118" i="1"/>
  <c r="BK118" i="1"/>
  <c r="BL118" i="1"/>
  <c r="BM118" i="1"/>
  <c r="BN118" i="1"/>
  <c r="BO118" i="1"/>
  <c r="BP118" i="1"/>
  <c r="BQ118" i="1"/>
  <c r="BR118" i="1"/>
  <c r="BS118" i="1"/>
  <c r="BV118" i="1" s="1"/>
  <c r="BA117" i="1"/>
  <c r="BB117" i="1"/>
  <c r="BC117" i="1"/>
  <c r="BD117" i="1"/>
  <c r="BE117" i="1"/>
  <c r="BF117" i="1"/>
  <c r="BG117" i="1"/>
  <c r="BH117" i="1"/>
  <c r="BI117" i="1"/>
  <c r="BJ117" i="1"/>
  <c r="BK117" i="1"/>
  <c r="BL117" i="1"/>
  <c r="BM117" i="1"/>
  <c r="BN117" i="1"/>
  <c r="BO117" i="1"/>
  <c r="BP117" i="1"/>
  <c r="BQ117" i="1"/>
  <c r="BR117" i="1"/>
  <c r="BS117" i="1"/>
  <c r="BV117" i="1" s="1"/>
  <c r="BB116" i="1"/>
  <c r="BC116" i="1"/>
  <c r="BD116" i="1"/>
  <c r="BE116" i="1"/>
  <c r="BF116" i="1"/>
  <c r="BG116" i="1"/>
  <c r="BH116" i="1"/>
  <c r="BI116" i="1"/>
  <c r="BJ116" i="1"/>
  <c r="BK116" i="1"/>
  <c r="BL116" i="1"/>
  <c r="BM116" i="1"/>
  <c r="BN116" i="1"/>
  <c r="BO116" i="1"/>
  <c r="BP116" i="1"/>
  <c r="BQ116" i="1"/>
  <c r="BS116" i="1"/>
  <c r="AZ122" i="1"/>
  <c r="AZ121" i="1"/>
  <c r="AZ120" i="1"/>
  <c r="AZ119" i="1"/>
  <c r="AZ118" i="1"/>
  <c r="AZ117" i="1"/>
  <c r="BA108" i="1"/>
  <c r="BB108" i="1"/>
  <c r="BC108" i="1"/>
  <c r="BD108" i="1"/>
  <c r="BE108" i="1"/>
  <c r="BF108" i="1"/>
  <c r="BG108" i="1"/>
  <c r="BH108" i="1"/>
  <c r="BI108" i="1"/>
  <c r="BJ108" i="1"/>
  <c r="BK108" i="1"/>
  <c r="BL108" i="1"/>
  <c r="BM108" i="1"/>
  <c r="BN108" i="1"/>
  <c r="BO108" i="1"/>
  <c r="BP108" i="1"/>
  <c r="BQ108" i="1"/>
  <c r="BR108" i="1"/>
  <c r="BS108" i="1"/>
  <c r="BV108" i="1" s="1"/>
  <c r="BA107" i="1"/>
  <c r="BB107" i="1"/>
  <c r="BC107" i="1"/>
  <c r="BD107" i="1"/>
  <c r="BE107" i="1"/>
  <c r="BF107" i="1"/>
  <c r="BG107" i="1"/>
  <c r="BH107" i="1"/>
  <c r="BI107" i="1"/>
  <c r="BJ107" i="1"/>
  <c r="BK107" i="1"/>
  <c r="BL107" i="1"/>
  <c r="BM107" i="1"/>
  <c r="BN107" i="1"/>
  <c r="BO107" i="1"/>
  <c r="BP107" i="1"/>
  <c r="BQ107" i="1"/>
  <c r="BR107" i="1"/>
  <c r="BS107" i="1"/>
  <c r="BV107" i="1" s="1"/>
  <c r="BA106" i="1"/>
  <c r="BB106" i="1"/>
  <c r="BC106" i="1"/>
  <c r="BD106" i="1"/>
  <c r="BE106" i="1"/>
  <c r="BF106" i="1"/>
  <c r="BG106" i="1"/>
  <c r="BH106" i="1"/>
  <c r="BI106" i="1"/>
  <c r="BJ106" i="1"/>
  <c r="BK106" i="1"/>
  <c r="BL106" i="1"/>
  <c r="BM106" i="1"/>
  <c r="BN106" i="1"/>
  <c r="BO106" i="1"/>
  <c r="BP106" i="1"/>
  <c r="BQ106" i="1"/>
  <c r="BR106" i="1"/>
  <c r="BS106" i="1"/>
  <c r="BV106" i="1" s="1"/>
  <c r="BA105" i="1"/>
  <c r="BB105" i="1"/>
  <c r="BC105" i="1"/>
  <c r="BD105" i="1"/>
  <c r="BE105" i="1"/>
  <c r="BF105" i="1"/>
  <c r="BG105" i="1"/>
  <c r="BH105" i="1"/>
  <c r="BI105" i="1"/>
  <c r="BJ105" i="1"/>
  <c r="BK105" i="1"/>
  <c r="BL105" i="1"/>
  <c r="BM105" i="1"/>
  <c r="BN105" i="1"/>
  <c r="BO105" i="1"/>
  <c r="BP105" i="1"/>
  <c r="BQ105" i="1"/>
  <c r="BR105" i="1"/>
  <c r="BS105" i="1"/>
  <c r="BV105" i="1" s="1"/>
  <c r="BA104" i="1"/>
  <c r="BB104" i="1"/>
  <c r="BC104" i="1"/>
  <c r="BD104" i="1"/>
  <c r="BE104" i="1"/>
  <c r="BF104" i="1"/>
  <c r="BG104" i="1"/>
  <c r="BH104" i="1"/>
  <c r="BI104" i="1"/>
  <c r="BJ104" i="1"/>
  <c r="BK104" i="1"/>
  <c r="BL104" i="1"/>
  <c r="BM104" i="1"/>
  <c r="BN104" i="1"/>
  <c r="BO104" i="1"/>
  <c r="BP104" i="1"/>
  <c r="BQ104" i="1"/>
  <c r="BR104" i="1"/>
  <c r="BS104" i="1"/>
  <c r="BV104" i="1" s="1"/>
  <c r="BA103" i="1"/>
  <c r="BB103" i="1"/>
  <c r="BC103" i="1"/>
  <c r="BD103" i="1"/>
  <c r="BE103" i="1"/>
  <c r="BF103" i="1"/>
  <c r="BG103" i="1"/>
  <c r="BH103" i="1"/>
  <c r="BI103" i="1"/>
  <c r="BJ103" i="1"/>
  <c r="BK103" i="1"/>
  <c r="BL103" i="1"/>
  <c r="BM103" i="1"/>
  <c r="BN103" i="1"/>
  <c r="BO103" i="1"/>
  <c r="BP103" i="1"/>
  <c r="BQ103" i="1"/>
  <c r="BR103" i="1"/>
  <c r="BS103" i="1"/>
  <c r="BV103" i="1" s="1"/>
  <c r="BA102" i="1"/>
  <c r="BB102" i="1"/>
  <c r="BC102" i="1"/>
  <c r="BD102" i="1"/>
  <c r="BE102" i="1"/>
  <c r="BF102" i="1"/>
  <c r="BG102" i="1"/>
  <c r="BH102" i="1"/>
  <c r="BI102" i="1"/>
  <c r="BJ102" i="1"/>
  <c r="BK102" i="1"/>
  <c r="BL102" i="1"/>
  <c r="BM102" i="1"/>
  <c r="BN102" i="1"/>
  <c r="BO102" i="1"/>
  <c r="BP102" i="1"/>
  <c r="BQ102" i="1"/>
  <c r="BR102" i="1"/>
  <c r="BS102" i="1"/>
  <c r="BV102" i="1" s="1"/>
  <c r="AZ108" i="1"/>
  <c r="AZ107" i="1"/>
  <c r="AZ106" i="1"/>
  <c r="AZ105" i="1"/>
  <c r="AZ104" i="1"/>
  <c r="AZ103" i="1"/>
  <c r="AZ102" i="1"/>
  <c r="BA94" i="1"/>
  <c r="BB94" i="1"/>
  <c r="BC94" i="1"/>
  <c r="BD94" i="1"/>
  <c r="BE94" i="1"/>
  <c r="BF94" i="1"/>
  <c r="BG94" i="1"/>
  <c r="BH94" i="1"/>
  <c r="BI94" i="1"/>
  <c r="BJ94" i="1"/>
  <c r="BK94" i="1"/>
  <c r="BL94" i="1"/>
  <c r="BM94" i="1"/>
  <c r="BN94" i="1"/>
  <c r="BO94" i="1"/>
  <c r="BP94" i="1"/>
  <c r="BQ94" i="1"/>
  <c r="BR94" i="1"/>
  <c r="BS94" i="1"/>
  <c r="BV94" i="1" s="1"/>
  <c r="BA93" i="1"/>
  <c r="BB93" i="1"/>
  <c r="BC93" i="1"/>
  <c r="BD93" i="1"/>
  <c r="BE93" i="1"/>
  <c r="BF93" i="1"/>
  <c r="BG93" i="1"/>
  <c r="BH93" i="1"/>
  <c r="BI93" i="1"/>
  <c r="BJ93" i="1"/>
  <c r="BK93" i="1"/>
  <c r="BL93" i="1"/>
  <c r="BM93" i="1"/>
  <c r="BN93" i="1"/>
  <c r="BO93" i="1"/>
  <c r="BP93" i="1"/>
  <c r="BQ93" i="1"/>
  <c r="BR93" i="1"/>
  <c r="BS93" i="1"/>
  <c r="BV93" i="1" s="1"/>
  <c r="BA92" i="1"/>
  <c r="BB92" i="1"/>
  <c r="BC92" i="1"/>
  <c r="BD92" i="1"/>
  <c r="BE92" i="1"/>
  <c r="BF92" i="1"/>
  <c r="BG92" i="1"/>
  <c r="BH92" i="1"/>
  <c r="BI92" i="1"/>
  <c r="BJ92" i="1"/>
  <c r="BK92" i="1"/>
  <c r="BL92" i="1"/>
  <c r="BM92" i="1"/>
  <c r="BN92" i="1"/>
  <c r="BO92" i="1"/>
  <c r="BP92" i="1"/>
  <c r="BQ92" i="1"/>
  <c r="BR92" i="1"/>
  <c r="BS92" i="1"/>
  <c r="BV92" i="1" s="1"/>
  <c r="BA91" i="1"/>
  <c r="BB91" i="1"/>
  <c r="BC91" i="1"/>
  <c r="BD91" i="1"/>
  <c r="BE91" i="1"/>
  <c r="BF91" i="1"/>
  <c r="BG91" i="1"/>
  <c r="BH91" i="1"/>
  <c r="BI91" i="1"/>
  <c r="BJ91" i="1"/>
  <c r="BK91" i="1"/>
  <c r="BL91" i="1"/>
  <c r="BM91" i="1"/>
  <c r="BN91" i="1"/>
  <c r="BO91" i="1"/>
  <c r="BP91" i="1"/>
  <c r="BQ91" i="1"/>
  <c r="BR91" i="1"/>
  <c r="BS91" i="1"/>
  <c r="BV91" i="1" s="1"/>
  <c r="BA90" i="1"/>
  <c r="BB90" i="1"/>
  <c r="BC90" i="1"/>
  <c r="BD90" i="1"/>
  <c r="BE90" i="1"/>
  <c r="BF90" i="1"/>
  <c r="BG90" i="1"/>
  <c r="BH90" i="1"/>
  <c r="BI90" i="1"/>
  <c r="BJ90" i="1"/>
  <c r="BK90" i="1"/>
  <c r="BL90" i="1"/>
  <c r="BM90" i="1"/>
  <c r="BN90" i="1"/>
  <c r="BO90" i="1"/>
  <c r="BP90" i="1"/>
  <c r="BQ90" i="1"/>
  <c r="BR90" i="1"/>
  <c r="BS90" i="1"/>
  <c r="BV90" i="1" s="1"/>
  <c r="BA89" i="1"/>
  <c r="BB89" i="1"/>
  <c r="BC89" i="1"/>
  <c r="BD89" i="1"/>
  <c r="BE89" i="1"/>
  <c r="BF89" i="1"/>
  <c r="BG89" i="1"/>
  <c r="BH89" i="1"/>
  <c r="BI89" i="1"/>
  <c r="BJ89" i="1"/>
  <c r="BK89" i="1"/>
  <c r="BL89" i="1"/>
  <c r="BM89" i="1"/>
  <c r="BN89" i="1"/>
  <c r="BO89" i="1"/>
  <c r="BP89" i="1"/>
  <c r="BQ89" i="1"/>
  <c r="BR89" i="1"/>
  <c r="BS89" i="1"/>
  <c r="BV89" i="1" s="1"/>
  <c r="BA88" i="1"/>
  <c r="BB88" i="1"/>
  <c r="BC88" i="1"/>
  <c r="BD88" i="1"/>
  <c r="BE88" i="1"/>
  <c r="BF88" i="1"/>
  <c r="BG88" i="1"/>
  <c r="BH88" i="1"/>
  <c r="BI88" i="1"/>
  <c r="BJ88" i="1"/>
  <c r="BK88" i="1"/>
  <c r="BL88" i="1"/>
  <c r="BM88" i="1"/>
  <c r="BN88" i="1"/>
  <c r="BO88" i="1"/>
  <c r="BP88" i="1"/>
  <c r="BQ88" i="1"/>
  <c r="BR88" i="1"/>
  <c r="BS88" i="1"/>
  <c r="BV88" i="1" s="1"/>
  <c r="AZ94" i="1"/>
  <c r="AZ93" i="1"/>
  <c r="AZ92" i="1"/>
  <c r="AZ91" i="1"/>
  <c r="AZ90" i="1"/>
  <c r="AZ89" i="1"/>
  <c r="AZ88" i="1"/>
  <c r="BA80" i="1"/>
  <c r="BB80" i="1"/>
  <c r="BC80" i="1"/>
  <c r="BD80" i="1"/>
  <c r="BE80" i="1"/>
  <c r="BF80" i="1"/>
  <c r="BG80" i="1"/>
  <c r="BH80" i="1"/>
  <c r="BI80" i="1"/>
  <c r="BJ80" i="1"/>
  <c r="BK80" i="1"/>
  <c r="BL80" i="1"/>
  <c r="BM80" i="1"/>
  <c r="BN80" i="1"/>
  <c r="BO80" i="1"/>
  <c r="BP80" i="1"/>
  <c r="BQ80" i="1"/>
  <c r="BR80" i="1"/>
  <c r="BS80" i="1"/>
  <c r="BV80" i="1" s="1"/>
  <c r="BA79" i="1"/>
  <c r="BB79" i="1"/>
  <c r="BC79" i="1"/>
  <c r="BD79" i="1"/>
  <c r="BE79" i="1"/>
  <c r="BF79" i="1"/>
  <c r="BG79" i="1"/>
  <c r="BH79" i="1"/>
  <c r="BI79" i="1"/>
  <c r="BJ79" i="1"/>
  <c r="BK79" i="1"/>
  <c r="BL79" i="1"/>
  <c r="BM79" i="1"/>
  <c r="BN79" i="1"/>
  <c r="BO79" i="1"/>
  <c r="BP79" i="1"/>
  <c r="BQ79" i="1"/>
  <c r="BR79" i="1"/>
  <c r="BS79" i="1"/>
  <c r="BV79" i="1" s="1"/>
  <c r="BA78" i="1"/>
  <c r="BB78" i="1"/>
  <c r="BC78" i="1"/>
  <c r="BD78" i="1"/>
  <c r="BE78" i="1"/>
  <c r="BF78" i="1"/>
  <c r="BG78" i="1"/>
  <c r="BH78" i="1"/>
  <c r="BI78" i="1"/>
  <c r="BJ78" i="1"/>
  <c r="BK78" i="1"/>
  <c r="BL78" i="1"/>
  <c r="BM78" i="1"/>
  <c r="BN78" i="1"/>
  <c r="BO78" i="1"/>
  <c r="BP78" i="1"/>
  <c r="BQ78" i="1"/>
  <c r="BR78" i="1"/>
  <c r="BS78" i="1"/>
  <c r="BV78" i="1" s="1"/>
  <c r="BA77" i="1"/>
  <c r="BB77" i="1"/>
  <c r="BC77" i="1"/>
  <c r="BD77" i="1"/>
  <c r="BE77" i="1"/>
  <c r="BF77" i="1"/>
  <c r="BG77" i="1"/>
  <c r="BH77" i="1"/>
  <c r="BI77" i="1"/>
  <c r="BJ77" i="1"/>
  <c r="BK77" i="1"/>
  <c r="BL77" i="1"/>
  <c r="BM77" i="1"/>
  <c r="BN77" i="1"/>
  <c r="BO77" i="1"/>
  <c r="BP77" i="1"/>
  <c r="BQ77" i="1"/>
  <c r="BR77" i="1"/>
  <c r="BS77" i="1"/>
  <c r="BV77" i="1" s="1"/>
  <c r="BA76" i="1"/>
  <c r="BB76" i="1"/>
  <c r="BC76" i="1"/>
  <c r="BD76" i="1"/>
  <c r="BE76" i="1"/>
  <c r="BF76" i="1"/>
  <c r="BG76" i="1"/>
  <c r="BH76" i="1"/>
  <c r="BI76" i="1"/>
  <c r="BJ76" i="1"/>
  <c r="BK76" i="1"/>
  <c r="BL76" i="1"/>
  <c r="BM76" i="1"/>
  <c r="BN76" i="1"/>
  <c r="BO76" i="1"/>
  <c r="BP76" i="1"/>
  <c r="BQ76" i="1"/>
  <c r="BR76" i="1"/>
  <c r="BS76" i="1"/>
  <c r="BV76" i="1" s="1"/>
  <c r="BA75" i="1"/>
  <c r="BB75" i="1"/>
  <c r="BC75" i="1"/>
  <c r="BD75" i="1"/>
  <c r="BE75" i="1"/>
  <c r="BF75" i="1"/>
  <c r="BG75" i="1"/>
  <c r="BH75" i="1"/>
  <c r="BI75" i="1"/>
  <c r="BJ75" i="1"/>
  <c r="BK75" i="1"/>
  <c r="BL75" i="1"/>
  <c r="BM75" i="1"/>
  <c r="BN75" i="1"/>
  <c r="BO75" i="1"/>
  <c r="BP75" i="1"/>
  <c r="BQ75" i="1"/>
  <c r="BR75" i="1"/>
  <c r="BS75" i="1"/>
  <c r="BV75" i="1" s="1"/>
  <c r="BA74" i="1"/>
  <c r="BB74" i="1"/>
  <c r="BC74" i="1"/>
  <c r="BD74" i="1"/>
  <c r="BE74" i="1"/>
  <c r="BF74" i="1"/>
  <c r="BG74" i="1"/>
  <c r="BH74" i="1"/>
  <c r="BI74" i="1"/>
  <c r="BJ74" i="1"/>
  <c r="BK74" i="1"/>
  <c r="BL74" i="1"/>
  <c r="BM74" i="1"/>
  <c r="BN74" i="1"/>
  <c r="BO74" i="1"/>
  <c r="BP74" i="1"/>
  <c r="BQ74" i="1"/>
  <c r="BR74" i="1"/>
  <c r="BS74" i="1"/>
  <c r="BV74" i="1" s="1"/>
  <c r="AZ80" i="1"/>
  <c r="AZ79" i="1"/>
  <c r="AZ78" i="1"/>
  <c r="AZ77" i="1"/>
  <c r="AZ76" i="1"/>
  <c r="AZ75" i="1"/>
  <c r="AZ74" i="1"/>
  <c r="BA66" i="1"/>
  <c r="BB66" i="1"/>
  <c r="BC66" i="1"/>
  <c r="BD66" i="1"/>
  <c r="BE66" i="1"/>
  <c r="BF66" i="1"/>
  <c r="BG66" i="1"/>
  <c r="BH66" i="1"/>
  <c r="BI66" i="1"/>
  <c r="BJ66" i="1"/>
  <c r="BK66" i="1"/>
  <c r="BL66" i="1"/>
  <c r="BM66" i="1"/>
  <c r="BN66" i="1"/>
  <c r="BO66" i="1"/>
  <c r="BP66" i="1"/>
  <c r="BQ66" i="1"/>
  <c r="BR66" i="1"/>
  <c r="BS66" i="1"/>
  <c r="BV66" i="1" s="1"/>
  <c r="BA65" i="1"/>
  <c r="BB65" i="1"/>
  <c r="BC65" i="1"/>
  <c r="BD65" i="1"/>
  <c r="BE65" i="1"/>
  <c r="BF65" i="1"/>
  <c r="BG65" i="1"/>
  <c r="BH65" i="1"/>
  <c r="BI65" i="1"/>
  <c r="BJ65" i="1"/>
  <c r="BK65" i="1"/>
  <c r="BL65" i="1"/>
  <c r="BM65" i="1"/>
  <c r="BN65" i="1"/>
  <c r="BO65" i="1"/>
  <c r="BP65" i="1"/>
  <c r="BQ65" i="1"/>
  <c r="BR65" i="1"/>
  <c r="BS65" i="1"/>
  <c r="BV65" i="1" s="1"/>
  <c r="BA64" i="1"/>
  <c r="BB64" i="1"/>
  <c r="BC64" i="1"/>
  <c r="BD64" i="1"/>
  <c r="BE64" i="1"/>
  <c r="BF64" i="1"/>
  <c r="BG64" i="1"/>
  <c r="BH64" i="1"/>
  <c r="BI64" i="1"/>
  <c r="BJ64" i="1"/>
  <c r="BK64" i="1"/>
  <c r="BL64" i="1"/>
  <c r="BM64" i="1"/>
  <c r="BN64" i="1"/>
  <c r="BO64" i="1"/>
  <c r="BP64" i="1"/>
  <c r="BQ64" i="1"/>
  <c r="BR64" i="1"/>
  <c r="BS64" i="1"/>
  <c r="BV64" i="1" s="1"/>
  <c r="BA63" i="1"/>
  <c r="BB63" i="1"/>
  <c r="BC63" i="1"/>
  <c r="BD63" i="1"/>
  <c r="BE63" i="1"/>
  <c r="BF63" i="1"/>
  <c r="BG63" i="1"/>
  <c r="BH63" i="1"/>
  <c r="BI63" i="1"/>
  <c r="BJ63" i="1"/>
  <c r="BK63" i="1"/>
  <c r="BL63" i="1"/>
  <c r="BM63" i="1"/>
  <c r="BN63" i="1"/>
  <c r="BO63" i="1"/>
  <c r="BP63" i="1"/>
  <c r="BQ63" i="1"/>
  <c r="BR63" i="1"/>
  <c r="BS63" i="1"/>
  <c r="BV63" i="1" s="1"/>
  <c r="BA62" i="1"/>
  <c r="BB62" i="1"/>
  <c r="BC62" i="1"/>
  <c r="BD62" i="1"/>
  <c r="BE62" i="1"/>
  <c r="BF62" i="1"/>
  <c r="BG62" i="1"/>
  <c r="BH62" i="1"/>
  <c r="BI62" i="1"/>
  <c r="BJ62" i="1"/>
  <c r="BK62" i="1"/>
  <c r="BL62" i="1"/>
  <c r="BM62" i="1"/>
  <c r="BN62" i="1"/>
  <c r="BO62" i="1"/>
  <c r="BP62" i="1"/>
  <c r="BQ62" i="1"/>
  <c r="BR62" i="1"/>
  <c r="BS62" i="1"/>
  <c r="BV62" i="1" s="1"/>
  <c r="BA61" i="1"/>
  <c r="BB61" i="1"/>
  <c r="BC61" i="1"/>
  <c r="BD61" i="1"/>
  <c r="BE61" i="1"/>
  <c r="BF61" i="1"/>
  <c r="BG61" i="1"/>
  <c r="BH61" i="1"/>
  <c r="BI61" i="1"/>
  <c r="BJ61" i="1"/>
  <c r="BK61" i="1"/>
  <c r="BL61" i="1"/>
  <c r="BM61" i="1"/>
  <c r="BN61" i="1"/>
  <c r="BO61" i="1"/>
  <c r="BP61" i="1"/>
  <c r="BQ61" i="1"/>
  <c r="BR61" i="1"/>
  <c r="BS61" i="1"/>
  <c r="BV61" i="1" s="1"/>
  <c r="BA60" i="1"/>
  <c r="BB60" i="1"/>
  <c r="BC60" i="1"/>
  <c r="BD60" i="1"/>
  <c r="BE60" i="1"/>
  <c r="BF60" i="1"/>
  <c r="BG60" i="1"/>
  <c r="BH60" i="1"/>
  <c r="BI60" i="1"/>
  <c r="BJ60" i="1"/>
  <c r="BK60" i="1"/>
  <c r="BL60" i="1"/>
  <c r="BM60" i="1"/>
  <c r="BN60" i="1"/>
  <c r="BO60" i="1"/>
  <c r="BP60" i="1"/>
  <c r="BQ60" i="1"/>
  <c r="BR60" i="1"/>
  <c r="BS60" i="1"/>
  <c r="AZ66" i="1"/>
  <c r="AZ65" i="1"/>
  <c r="AZ64" i="1"/>
  <c r="AZ63" i="1"/>
  <c r="AZ62" i="1"/>
  <c r="AZ61" i="1"/>
  <c r="AZ60" i="1"/>
  <c r="BA52" i="1"/>
  <c r="BB52" i="1"/>
  <c r="BC52" i="1"/>
  <c r="BD52" i="1"/>
  <c r="BE52" i="1"/>
  <c r="BF52" i="1"/>
  <c r="BG52" i="1"/>
  <c r="BH52" i="1"/>
  <c r="BI52" i="1"/>
  <c r="BJ52" i="1"/>
  <c r="BK52" i="1"/>
  <c r="BL52" i="1"/>
  <c r="BM52" i="1"/>
  <c r="BN52" i="1"/>
  <c r="BO52" i="1"/>
  <c r="BP52" i="1"/>
  <c r="BQ52" i="1"/>
  <c r="BR52" i="1"/>
  <c r="BS52" i="1"/>
  <c r="BV52" i="1" s="1"/>
  <c r="BA51" i="1"/>
  <c r="BB51" i="1"/>
  <c r="BC51" i="1"/>
  <c r="BD51" i="1"/>
  <c r="BE51" i="1"/>
  <c r="BF51" i="1"/>
  <c r="BG51" i="1"/>
  <c r="BH51" i="1"/>
  <c r="BI51" i="1"/>
  <c r="BJ51" i="1"/>
  <c r="BK51" i="1"/>
  <c r="BL51" i="1"/>
  <c r="BM51" i="1"/>
  <c r="BN51" i="1"/>
  <c r="BO51" i="1"/>
  <c r="BP51" i="1"/>
  <c r="BQ51" i="1"/>
  <c r="BR51" i="1"/>
  <c r="BS51" i="1"/>
  <c r="BV51" i="1" s="1"/>
  <c r="BA50" i="1"/>
  <c r="BB50" i="1"/>
  <c r="BC50" i="1"/>
  <c r="BD50" i="1"/>
  <c r="BE50" i="1"/>
  <c r="BF50" i="1"/>
  <c r="BG50" i="1"/>
  <c r="BH50" i="1"/>
  <c r="BI50" i="1"/>
  <c r="BJ50" i="1"/>
  <c r="BK50" i="1"/>
  <c r="BL50" i="1"/>
  <c r="BM50" i="1"/>
  <c r="BN50" i="1"/>
  <c r="BO50" i="1"/>
  <c r="BP50" i="1"/>
  <c r="BQ50" i="1"/>
  <c r="BR50" i="1"/>
  <c r="BS50" i="1"/>
  <c r="BV50" i="1" s="1"/>
  <c r="BA49" i="1"/>
  <c r="BB49" i="1"/>
  <c r="BC49" i="1"/>
  <c r="BD49" i="1"/>
  <c r="BE49" i="1"/>
  <c r="BF49" i="1"/>
  <c r="BG49" i="1"/>
  <c r="BH49" i="1"/>
  <c r="BI49" i="1"/>
  <c r="BJ49" i="1"/>
  <c r="BK49" i="1"/>
  <c r="BL49" i="1"/>
  <c r="BM49" i="1"/>
  <c r="BN49" i="1"/>
  <c r="BO49" i="1"/>
  <c r="BP49" i="1"/>
  <c r="BQ49" i="1"/>
  <c r="BR49" i="1"/>
  <c r="BS49" i="1"/>
  <c r="BV49" i="1" s="1"/>
  <c r="BA48" i="1"/>
  <c r="BB48" i="1"/>
  <c r="BC48" i="1"/>
  <c r="BD48" i="1"/>
  <c r="BE48" i="1"/>
  <c r="BF48" i="1"/>
  <c r="BG48" i="1"/>
  <c r="BH48" i="1"/>
  <c r="BI48" i="1"/>
  <c r="BJ48" i="1"/>
  <c r="BK48" i="1"/>
  <c r="BL48" i="1"/>
  <c r="BM48" i="1"/>
  <c r="BN48" i="1"/>
  <c r="BO48" i="1"/>
  <c r="BP48" i="1"/>
  <c r="BQ48" i="1"/>
  <c r="BR48" i="1"/>
  <c r="BS48" i="1"/>
  <c r="BV48" i="1" s="1"/>
  <c r="BA47" i="1"/>
  <c r="BB47" i="1"/>
  <c r="BC47" i="1"/>
  <c r="BD47" i="1"/>
  <c r="BE47" i="1"/>
  <c r="BF47" i="1"/>
  <c r="BG47" i="1"/>
  <c r="BH47" i="1"/>
  <c r="BI47" i="1"/>
  <c r="BJ47" i="1"/>
  <c r="BK47" i="1"/>
  <c r="BL47" i="1"/>
  <c r="BM47" i="1"/>
  <c r="BN47" i="1"/>
  <c r="BO47" i="1"/>
  <c r="BP47" i="1"/>
  <c r="BQ47" i="1"/>
  <c r="BR47" i="1"/>
  <c r="BS47" i="1"/>
  <c r="BV47" i="1" s="1"/>
  <c r="BA46" i="1"/>
  <c r="BB46" i="1"/>
  <c r="BC46" i="1"/>
  <c r="BD46" i="1"/>
  <c r="BE46" i="1"/>
  <c r="BF46" i="1"/>
  <c r="BG46" i="1"/>
  <c r="BH46" i="1"/>
  <c r="BI46" i="1"/>
  <c r="BJ46" i="1"/>
  <c r="BK46" i="1"/>
  <c r="BL46" i="1"/>
  <c r="BM46" i="1"/>
  <c r="BN46" i="1"/>
  <c r="BO46" i="1"/>
  <c r="BP46" i="1"/>
  <c r="BQ46" i="1"/>
  <c r="BR46" i="1"/>
  <c r="BS46" i="1"/>
  <c r="BV46" i="1" s="1"/>
  <c r="AZ52" i="1"/>
  <c r="AZ51" i="1"/>
  <c r="AZ50" i="1"/>
  <c r="AZ49" i="1"/>
  <c r="AZ48" i="1"/>
  <c r="AZ47" i="1"/>
  <c r="AZ46" i="1"/>
  <c r="BA38" i="1"/>
  <c r="BB38" i="1"/>
  <c r="BC38" i="1"/>
  <c r="BD38" i="1"/>
  <c r="BE38" i="1"/>
  <c r="BF38" i="1"/>
  <c r="BG38" i="1"/>
  <c r="BH38" i="1"/>
  <c r="BI38" i="1"/>
  <c r="BJ38" i="1"/>
  <c r="BK38" i="1"/>
  <c r="BL38" i="1"/>
  <c r="BM38" i="1"/>
  <c r="BN38" i="1"/>
  <c r="BO38" i="1"/>
  <c r="BP38" i="1"/>
  <c r="BQ38" i="1"/>
  <c r="BR38" i="1"/>
  <c r="BS38" i="1"/>
  <c r="BV38" i="1" s="1"/>
  <c r="BA37" i="1"/>
  <c r="BB37" i="1"/>
  <c r="BC37" i="1"/>
  <c r="BD37" i="1"/>
  <c r="BE37" i="1"/>
  <c r="BF37" i="1"/>
  <c r="BG37" i="1"/>
  <c r="BH37" i="1"/>
  <c r="BI37" i="1"/>
  <c r="BJ37" i="1"/>
  <c r="BK37" i="1"/>
  <c r="BL37" i="1"/>
  <c r="BM37" i="1"/>
  <c r="BN37" i="1"/>
  <c r="BO37" i="1"/>
  <c r="BP37" i="1"/>
  <c r="BQ37" i="1"/>
  <c r="BR37" i="1"/>
  <c r="BS37" i="1"/>
  <c r="BV37" i="1" s="1"/>
  <c r="BA36" i="1"/>
  <c r="BB36" i="1"/>
  <c r="BC36" i="1"/>
  <c r="BD36" i="1"/>
  <c r="BE36" i="1"/>
  <c r="BF36" i="1"/>
  <c r="BG36" i="1"/>
  <c r="BH36" i="1"/>
  <c r="BI36" i="1"/>
  <c r="BJ36" i="1"/>
  <c r="BK36" i="1"/>
  <c r="BL36" i="1"/>
  <c r="BM36" i="1"/>
  <c r="BN36" i="1"/>
  <c r="BO36" i="1"/>
  <c r="BP36" i="1"/>
  <c r="BQ36" i="1"/>
  <c r="BR36" i="1"/>
  <c r="BS36" i="1"/>
  <c r="BV36" i="1" s="1"/>
  <c r="BA35" i="1"/>
  <c r="BB35" i="1"/>
  <c r="BC35" i="1"/>
  <c r="BD35" i="1"/>
  <c r="BE35" i="1"/>
  <c r="BF35" i="1"/>
  <c r="BG35" i="1"/>
  <c r="BH35" i="1"/>
  <c r="BI35" i="1"/>
  <c r="BJ35" i="1"/>
  <c r="BK35" i="1"/>
  <c r="BL35" i="1"/>
  <c r="BM35" i="1"/>
  <c r="BN35" i="1"/>
  <c r="BO35" i="1"/>
  <c r="BP35" i="1"/>
  <c r="BQ35" i="1"/>
  <c r="BR35" i="1"/>
  <c r="BS35" i="1"/>
  <c r="BV35" i="1" s="1"/>
  <c r="BA34" i="1"/>
  <c r="BB34" i="1"/>
  <c r="BC34" i="1"/>
  <c r="BD34" i="1"/>
  <c r="BE34" i="1"/>
  <c r="BF34" i="1"/>
  <c r="BG34" i="1"/>
  <c r="BH34" i="1"/>
  <c r="BI34" i="1"/>
  <c r="BJ34" i="1"/>
  <c r="BK34" i="1"/>
  <c r="BL34" i="1"/>
  <c r="BM34" i="1"/>
  <c r="BN34" i="1"/>
  <c r="BO34" i="1"/>
  <c r="BP34" i="1"/>
  <c r="BQ34" i="1"/>
  <c r="BR34" i="1"/>
  <c r="BS34" i="1"/>
  <c r="BV34" i="1" s="1"/>
  <c r="BV33" i="1"/>
  <c r="BV32" i="1"/>
  <c r="AZ37" i="1"/>
  <c r="AZ38" i="1"/>
  <c r="AZ36" i="1"/>
  <c r="AZ35" i="1"/>
  <c r="AZ34" i="1"/>
  <c r="AZ33" i="1"/>
  <c r="AZ32" i="1"/>
  <c r="AZ24" i="1"/>
  <c r="AZ23" i="1"/>
  <c r="AZ22" i="1"/>
  <c r="AZ21" i="1"/>
  <c r="AZ20" i="1"/>
  <c r="AZ19" i="1"/>
  <c r="AZ18" i="1"/>
  <c r="BA10" i="1"/>
  <c r="BB10" i="1"/>
  <c r="BC10" i="1"/>
  <c r="BD10" i="1"/>
  <c r="BE10" i="1"/>
  <c r="BF10" i="1"/>
  <c r="BG10" i="1"/>
  <c r="BH10" i="1"/>
  <c r="BI10" i="1"/>
  <c r="BJ10" i="1"/>
  <c r="BK10" i="1"/>
  <c r="BL10" i="1"/>
  <c r="BM10" i="1"/>
  <c r="BN10" i="1"/>
  <c r="BO10" i="1"/>
  <c r="BP10" i="1"/>
  <c r="BQ10" i="1"/>
  <c r="BR10" i="1"/>
  <c r="BS10" i="1"/>
  <c r="BA9" i="1"/>
  <c r="BB9" i="1"/>
  <c r="BC9" i="1"/>
  <c r="BD9" i="1"/>
  <c r="BE9" i="1"/>
  <c r="BF9" i="1"/>
  <c r="BG9" i="1"/>
  <c r="BH9" i="1"/>
  <c r="BI9" i="1"/>
  <c r="BJ9" i="1"/>
  <c r="BK9" i="1"/>
  <c r="BL9" i="1"/>
  <c r="BM9" i="1"/>
  <c r="BN9" i="1"/>
  <c r="BO9" i="1"/>
  <c r="BP9" i="1"/>
  <c r="BQ9" i="1"/>
  <c r="BR9" i="1"/>
  <c r="BS9" i="1"/>
  <c r="BA8" i="1"/>
  <c r="BB8" i="1"/>
  <c r="BC8" i="1"/>
  <c r="BD8" i="1"/>
  <c r="BE8" i="1"/>
  <c r="BF8" i="1"/>
  <c r="BG8" i="1"/>
  <c r="BH8" i="1"/>
  <c r="BI8" i="1"/>
  <c r="BJ8" i="1"/>
  <c r="BK8" i="1"/>
  <c r="BL8" i="1"/>
  <c r="BM8" i="1"/>
  <c r="BN8" i="1"/>
  <c r="BO8" i="1"/>
  <c r="BP8" i="1"/>
  <c r="BQ8" i="1"/>
  <c r="BR8" i="1"/>
  <c r="BS8" i="1"/>
  <c r="BA7" i="1"/>
  <c r="BB7" i="1"/>
  <c r="BC7" i="1"/>
  <c r="BD7" i="1"/>
  <c r="BE7" i="1"/>
  <c r="BF7" i="1"/>
  <c r="BG7" i="1"/>
  <c r="BH7" i="1"/>
  <c r="BI7" i="1"/>
  <c r="BJ7" i="1"/>
  <c r="BK7" i="1"/>
  <c r="BL7" i="1"/>
  <c r="BM7" i="1"/>
  <c r="BN7" i="1"/>
  <c r="BO7" i="1"/>
  <c r="BP7" i="1"/>
  <c r="BQ7" i="1"/>
  <c r="BR7" i="1"/>
  <c r="BS7" i="1"/>
  <c r="BA6" i="1"/>
  <c r="BB6" i="1"/>
  <c r="BC6" i="1"/>
  <c r="BD6" i="1"/>
  <c r="BE6" i="1"/>
  <c r="BF6" i="1"/>
  <c r="BG6" i="1"/>
  <c r="BH6" i="1"/>
  <c r="BI6" i="1"/>
  <c r="BJ6" i="1"/>
  <c r="BK6" i="1"/>
  <c r="BL6" i="1"/>
  <c r="BM6" i="1"/>
  <c r="BN6" i="1"/>
  <c r="BO6" i="1"/>
  <c r="BP6" i="1"/>
  <c r="BQ6" i="1"/>
  <c r="BR6" i="1"/>
  <c r="BS6" i="1"/>
  <c r="AZ10" i="1"/>
  <c r="AZ9" i="1"/>
  <c r="AZ8" i="1"/>
  <c r="AZ7" i="1"/>
  <c r="AZ6" i="1"/>
  <c r="AZ5" i="1"/>
  <c r="BA5" i="1"/>
  <c r="BB5" i="1"/>
  <c r="BC5" i="1"/>
  <c r="BD5" i="1"/>
  <c r="BE5" i="1"/>
  <c r="BF5" i="1"/>
  <c r="BG5" i="1"/>
  <c r="BH5" i="1"/>
  <c r="BI5" i="1"/>
  <c r="BJ5" i="1"/>
  <c r="BK5" i="1"/>
  <c r="BL5" i="1"/>
  <c r="BM5" i="1"/>
  <c r="BN5" i="1"/>
  <c r="BO5" i="1"/>
  <c r="BP5" i="1"/>
  <c r="BQ5" i="1"/>
  <c r="BR5" i="1"/>
  <c r="BS5" i="1"/>
  <c r="AZ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W132" i="1" l="1"/>
  <c r="BW134" i="1"/>
  <c r="BW135" i="1"/>
  <c r="BW131" i="1"/>
  <c r="BW133" i="1"/>
  <c r="BW136" i="1"/>
  <c r="BW130" i="1"/>
  <c r="BU116" i="1"/>
  <c r="BV116" i="1"/>
  <c r="BW102" i="1"/>
  <c r="BW104" i="1"/>
  <c r="BW108" i="1"/>
  <c r="BW103" i="1"/>
  <c r="BW105" i="1"/>
  <c r="BW106" i="1"/>
  <c r="BW107" i="1"/>
  <c r="BW89" i="1"/>
  <c r="BW91" i="1"/>
  <c r="BW93" i="1"/>
  <c r="BW94" i="1"/>
  <c r="BW90" i="1"/>
  <c r="BW92" i="1"/>
  <c r="BW88" i="1"/>
  <c r="BW76" i="1"/>
  <c r="BW77" i="1"/>
  <c r="BW78" i="1"/>
  <c r="BW79" i="1"/>
  <c r="BW74" i="1"/>
  <c r="BW75" i="1"/>
  <c r="BW80" i="1"/>
  <c r="BU60" i="1"/>
  <c r="BV60" i="1"/>
  <c r="BW50" i="1"/>
  <c r="BW51" i="1"/>
  <c r="BW48" i="1"/>
  <c r="BW49" i="1"/>
  <c r="BW52" i="1"/>
  <c r="BW46" i="1"/>
  <c r="BW47" i="1"/>
  <c r="BW33" i="1"/>
  <c r="BW34" i="1"/>
  <c r="BW35" i="1"/>
  <c r="BW36" i="1"/>
  <c r="BW32" i="1"/>
  <c r="BW37" i="1"/>
  <c r="BW38" i="1"/>
  <c r="BW24" i="1"/>
  <c r="BW18" i="1"/>
  <c r="BW19" i="1"/>
  <c r="BW20" i="1"/>
  <c r="BW21" i="1"/>
  <c r="BW22" i="1"/>
  <c r="BW23" i="1"/>
  <c r="BW6" i="1"/>
  <c r="BW7" i="1"/>
  <c r="BW8" i="1"/>
  <c r="BW9" i="1"/>
  <c r="BW10" i="1"/>
  <c r="BW5" i="1"/>
  <c r="BW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U131" i="1"/>
  <c r="C59" i="1"/>
  <c r="B73" i="1" s="1"/>
  <c r="D374" i="2"/>
  <c r="BU90" i="1"/>
  <c r="BU62" i="1"/>
  <c r="BU103" i="1"/>
  <c r="BU47" i="1"/>
  <c r="BU91" i="1"/>
  <c r="BU34" i="1"/>
  <c r="BU94" i="1"/>
  <c r="BU93" i="1"/>
  <c r="BU108" i="1"/>
  <c r="BU122" i="1"/>
  <c r="BU106" i="1"/>
  <c r="BU75" i="1"/>
  <c r="BU107" i="1"/>
  <c r="BU136" i="1"/>
  <c r="BU61" i="1"/>
  <c r="BU35" i="1"/>
  <c r="BU105" i="1"/>
  <c r="BU104" i="1"/>
  <c r="BU66" i="1"/>
  <c r="BU65" i="1"/>
  <c r="BU64" i="1"/>
  <c r="BU63" i="1"/>
  <c r="BU88" i="1"/>
  <c r="BU89" i="1"/>
  <c r="BU130" i="1"/>
  <c r="BU120" i="1"/>
  <c r="W137" i="1"/>
  <c r="BU38" i="1"/>
  <c r="BU92" i="1"/>
  <c r="BU119" i="1"/>
  <c r="BU118" i="1"/>
  <c r="BU33" i="1"/>
  <c r="BU121" i="1"/>
  <c r="BU117" i="1"/>
  <c r="BU133" i="1"/>
  <c r="BU77" i="1"/>
  <c r="BU135" i="1"/>
  <c r="BU52" i="1"/>
  <c r="BU79" i="1"/>
  <c r="BU49" i="1"/>
  <c r="BU76" i="1"/>
  <c r="BU74" i="1"/>
  <c r="K54" i="1"/>
  <c r="BU46" i="1"/>
  <c r="BU80" i="1"/>
  <c r="BU51" i="1"/>
  <c r="BU78" i="1"/>
  <c r="BU50" i="1"/>
  <c r="BU48" i="1"/>
  <c r="BU102" i="1"/>
  <c r="BU134" i="1"/>
  <c r="N82" i="1"/>
  <c r="BU37" i="1"/>
  <c r="BU36" i="1"/>
  <c r="BU132" i="1"/>
  <c r="BU5" i="1"/>
  <c r="BU6" i="1"/>
  <c r="BU7" i="1"/>
  <c r="BU8" i="1"/>
  <c r="BU9" i="1"/>
  <c r="BU10" i="1"/>
  <c r="BU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W117" i="1"/>
  <c r="BW119" i="1"/>
  <c r="BW122" i="1"/>
  <c r="BW118" i="1"/>
  <c r="BW120" i="1"/>
  <c r="BW121" i="1"/>
  <c r="BW116" i="1"/>
  <c r="BW62" i="1"/>
  <c r="BW66" i="1"/>
  <c r="BW61" i="1"/>
  <c r="BW63" i="1"/>
  <c r="BW64" i="1"/>
  <c r="BW65" i="1"/>
  <c r="BW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U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V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B4" authorId="0" shapeId="0" xr:uid="{014623DB-15A9-4B3F-997C-DF374D947A93}">
      <text>
        <r>
          <rPr>
            <b/>
            <sz val="9"/>
            <color indexed="81"/>
            <rFont val="Tahoma"/>
            <family val="2"/>
          </rPr>
          <t xml:space="preserve">insert number (score/pts)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<sst xmlns="http://schemas.openxmlformats.org/spreadsheetml/2006/main" count="774" uniqueCount="201">
  <si>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</si>
  <si>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</si>
  <si>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</si>
  <si>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</si>
  <si>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</si>
  <si>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</si>
  <si>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</si>
  <si>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</si>
  <si>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</si>
  <si>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</si>
  <si>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</si>
  <si>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</si>
  <si>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</si>
  <si>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</si>
  <si>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</si>
  <si>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</si>
  <si>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</si>
  <si>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</si>
  <si>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</si>
  <si>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</si>
  <si>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</si>
  <si>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</si>
  <si>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</si>
  <si>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</si>
  <si>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</si>
  <si>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</si>
  <si>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</si>
  <si>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</si>
  <si>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</si>
  <si>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</si>
  <si>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</si>
  <si>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</si>
  <si>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</si>
  <si>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</si>
  <si>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</si>
  <si>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</si>
  <si>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</si>
  <si>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</si>
  <si>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</si>
  <si>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</si>
  <si>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</si>
  <si>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</si>
  <si>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</si>
  <si>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</si>
  <si>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</si>
  <si>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</si>
  <si>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</si>
  <si>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</si>
  <si>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</si>
  <si>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</si>
  <si>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</si>
  <si>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</si>
  <si>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</si>
  <si>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</si>
  <si>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week10</t>
  </si>
  <si>
    <t>week11</t>
  </si>
  <si>
    <t>week12</t>
  </si>
  <si>
    <t>week 10:</t>
  </si>
  <si>
    <t>week 11</t>
  </si>
  <si>
    <t>week 12:</t>
  </si>
  <si>
    <t>week 9</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</si>
  <si>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</si>
  <si>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</si>
  <si>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</si>
  <si>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</si>
  <si>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</si>
  <si>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</si>
  <si>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</si>
  <si>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</si>
  <si>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</si>
  <si>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</si>
  <si>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</si>
  <si>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</si>
  <si>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</si>
  <si>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</si>
  <si>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</si>
  <si>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</si>
  <si>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</si>
  <si>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</si>
  <si>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</si>
  <si>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</si>
  <si>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</si>
  <si>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</si>
  <si>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</si>
  <si>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</si>
  <si>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</si>
  <si>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</si>
  <si>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</si>
  <si>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</si>
  <si>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</si>
  <si>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</si>
  <si>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</si>
  <si>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</si>
  <si>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</si>
  <si>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</si>
  <si>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</si>
  <si>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</si>
  <si>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</si>
  <si>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</si>
  <si>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</si>
  <si>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</si>
  <si>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</si>
  <si>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</si>
  <si>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</si>
  <si>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</si>
  <si>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</si>
  <si>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</si>
  <si>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</si>
  <si>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</si>
  <si>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</si>
  <si>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</si>
  <si>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</si>
  <si>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</si>
  <si>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</si>
  <si>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</si>
  <si>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</si>
  <si>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</si>
  <si>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</si>
  <si>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</si>
  <si>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</si>
  <si>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</si>
  <si>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</si>
  <si>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</si>
  <si>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</si>
  <si>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</si>
  <si>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</si>
  <si>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</si>
  <si>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</si>
  <si>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</si>
  <si>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</si>
  <si>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</si>
  <si>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</si>
  <si>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</si>
  <si>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</si>
  <si>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</si>
  <si>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</si>
  <si>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</si>
  <si>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</si>
  <si>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</si>
  <si>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</si>
  <si>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</si>
  <si>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</si>
  <si>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</si>
  <si>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</si>
  <si>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</si>
  <si>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</si>
  <si>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</si>
  <si>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</si>
  <si>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</si>
  <si>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</si>
  <si>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</si>
  <si>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</si>
  <si>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</si>
  <si>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</si>
  <si>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</si>
  <si>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</si>
  <si>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</si>
  <si>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</si>
  <si>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</si>
  <si>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</si>
  <si>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</si>
  <si>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</si>
  <si>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</si>
  <si>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</si>
  <si>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</si>
  <si>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</si>
  <si>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</si>
  <si>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</si>
  <si>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</si>
  <si>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e.g1:  art of doing nothin                                                          (erase and  write ur title of the day)</t>
  </si>
  <si>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</si>
  <si>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</si>
  <si>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</si>
  <si>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</si>
  <si>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</si>
  <si>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</si>
  <si>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</si>
  <si>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</si>
  <si>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</si>
  <si>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</si>
  <si>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</si>
  <si>
    <t>Mon (e.g-&gt;)</t>
  </si>
  <si>
    <t>Wakeup @     6am
(3pts)</t>
  </si>
  <si>
    <t>Bootup 
(3pts)</t>
  </si>
  <si>
    <t>Research &amp; Study
(4pts/3pts pr hr)</t>
  </si>
  <si>
    <t>Gym
(6pts)</t>
  </si>
  <si>
    <t>Work
(1pt/hr)</t>
  </si>
  <si>
    <t>Overtime
(1pt/hr)</t>
  </si>
  <si>
    <t>Cooking
(2pts)</t>
  </si>
  <si>
    <t>Chess
(2/1/.5pts)</t>
  </si>
  <si>
    <t>Binge
(1pt/hr)</t>
  </si>
  <si>
    <t>Resist
(2pts)</t>
  </si>
  <si>
    <t>Help others
(1pt/hr)</t>
  </si>
  <si>
    <t>Journal
(2pts)</t>
  </si>
  <si>
    <t>Sleep by 11pm
(3pts)</t>
  </si>
  <si>
    <t>Diet &amp; Hydration
(4pts)</t>
  </si>
  <si>
    <t>Pace &amp; Intensity
(3pts)</t>
  </si>
  <si>
    <t>Integrity
(3pts)</t>
  </si>
  <si>
    <t>Vibe Check
(5pts)</t>
  </si>
  <si>
    <t>(I thought adding streak bonus for vibe check is cheating so I didn’t apply streak logic here. U do if u want idk)</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</si>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</sst>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14">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xf numFmtId="2" fontId="0" fillId="0" borderId="0" xfId="0" applyNumberFormat="1" applyBorder="1"/>
    <xf numFmtId="0" fontId="0" fillId="0" borderId="0" xfId="0" applyFont="1" applyAlignment="1">
      <alignment horizontal="center" wrapText="1"/>
    </xf>
    <xf numFmtId="0" fontId="0" fillId="0" borderId="0" xfId="0" applyFont="1" applyAlignment="1">
      <alignment horizontal="right"/>
    </xf>
    <xf numFmtId="14" fontId="0" fillId="0" borderId="0" xfId="0" applyNumberFormat="1" applyFont="1" applyAlignment="1">
      <alignment horizontal="center" wrapText="1"/>
    </xf>
    <xf numFmtId="14" fontId="0" fillId="0" borderId="0" xfId="0" applyNumberFormat="1" applyFont="1" applyAlignment="1">
      <alignment wrapText="1"/>
    </xf>
    <xf numFmtId="0" fontId="0" fillId="0" borderId="0" xfId="0" applyFont="1" applyFill="1" applyBorder="1"/>
    <xf numFmtId="0" fontId="0" fillId="0" borderId="0" xfId="0" applyFont="1" applyAlignment="1">
      <alignment horizontal="center" wrapText="1"/>
    </xf>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30" fillId="20" borderId="0" xfId="0" applyFont="1" applyFill="1" applyAlignment="1">
      <alignment horizontal="center"/>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1"/>
      </font>
    </dxf>
    <dxf>
      <font>
        <color theme="0"/>
      </font>
    </dxf>
    <dxf>
      <font>
        <b/>
        <i/>
        <u val="double"/>
        <color rgb="FFC00000"/>
      </font>
    </dxf>
    <dxf>
      <font>
        <color rgb="FF9C0006"/>
      </font>
      <fill>
        <patternFill>
          <bgColor rgb="FFFFC7CE"/>
        </patternFill>
      </fill>
    </dxf>
    <dxf>
      <font>
        <b/>
        <i/>
        <u val="double"/>
        <color theme="9" tint="0.39994506668294322"/>
      </font>
    </dxf>
    <dxf>
      <font>
        <color rgb="FF006100"/>
      </font>
      <fill>
        <patternFill>
          <bgColor rgb="FFC6EFCE"/>
        </patternFill>
      </fill>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val="0"/>
        <i/>
        <color rgb="FFFF0000"/>
      </font>
      <fill>
        <patternFill>
          <bgColor theme="0"/>
        </patternFill>
      </fill>
      <border>
        <vertical/>
        <horizontal/>
      </border>
    </dxf>
    <dxf>
      <font>
        <b val="0"/>
        <i/>
        <color theme="9" tint="0.39994506668294322"/>
      </font>
      <fill>
        <patternFill>
          <bgColor theme="0"/>
        </patternFill>
      </fill>
      <border>
        <vertical/>
        <horizontal/>
      </border>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b/>
        <i/>
        <color theme="0"/>
      </font>
      <fill>
        <patternFill>
          <bgColor rgb="FF7030A0"/>
        </patternFill>
      </fill>
      <border>
        <vertical/>
        <horizontal/>
      </border>
    </dxf>
    <dxf>
      <font>
        <color theme="0"/>
      </font>
    </dxf>
    <dxf>
      <font>
        <color theme="1"/>
      </font>
    </dxf>
    <dxf>
      <font>
        <color theme="0"/>
      </font>
    </dxf>
    <dxf>
      <font>
        <color theme="1"/>
      </font>
    </dxf>
    <dxf>
      <font>
        <color rgb="FF006100"/>
      </font>
      <fill>
        <patternFill>
          <bgColor rgb="FFC6EFCE"/>
        </patternFill>
      </fill>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theme="0"/>
      </font>
    </dxf>
    <dxf>
      <font>
        <color theme="1"/>
      </font>
    </dxf>
    <dxf>
      <font>
        <color rgb="FF00B050"/>
      </font>
    </dxf>
    <dxf>
      <font>
        <color rgb="FF9C0006"/>
      </font>
    </dxf>
    <dxf>
      <font>
        <b/>
        <i/>
        <u/>
        <color rgb="FFFFFF00"/>
      </font>
      <fill>
        <patternFill>
          <bgColor rgb="FF0099FF"/>
        </patternFill>
      </fill>
    </dxf>
    <dxf>
      <font>
        <b/>
        <i/>
        <u val="double"/>
        <color theme="0"/>
      </font>
      <fill>
        <patternFill>
          <bgColor rgb="FF7030A0"/>
        </patternFill>
      </fill>
    </dxf>
    <dxf>
      <font>
        <b/>
        <i/>
        <u val="double"/>
        <color auto="1"/>
      </font>
      <fill>
        <patternFill>
          <bgColor rgb="FFFF0000"/>
        </patternFill>
      </fill>
    </dxf>
    <dxf>
      <font>
        <b/>
        <i val="0"/>
        <color theme="0"/>
      </font>
    </dxf>
    <dxf>
      <font>
        <b/>
        <i val="0"/>
        <color theme="1"/>
      </font>
    </dxf>
    <dxf>
      <font>
        <b val="0"/>
        <i/>
        <color rgb="FFFF0000"/>
      </font>
      <fill>
        <patternFill>
          <bgColor theme="0"/>
        </patternFill>
      </fill>
      <border>
        <vertical/>
        <horizontal/>
      </border>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color theme="0"/>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val="0"/>
        <color theme="1"/>
      </font>
    </dxf>
    <dxf>
      <font>
        <b/>
        <i val="0"/>
        <color theme="0"/>
      </font>
    </dxf>
    <dxf>
      <font>
        <b/>
        <i val="0"/>
        <color theme="1"/>
      </font>
    </dxf>
    <dxf>
      <font>
        <b/>
        <i val="0"/>
        <color theme="0"/>
      </font>
    </dxf>
    <dxf>
      <font>
        <b/>
        <i/>
        <u val="double"/>
        <color theme="0"/>
      </font>
      <fill>
        <patternFill>
          <bgColor rgb="FF7030A0"/>
        </patternFill>
      </fill>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W1 Day comparision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Game!$AZ$4:$BS$4</c:f>
              <c:numCache>
                <c:formatCode>General</c:formatCode>
                <c:ptCount val="20"/>
                <c:pt idx="0">
                  <c:v>2</c:v>
                </c:pt>
                <c:pt idx="1">
                  <c:v>2</c:v>
                </c:pt>
                <c:pt idx="2">
                  <c:v>7</c:v>
                </c:pt>
                <c:pt idx="3">
                  <c:v>16</c:v>
                </c:pt>
                <c:pt idx="4">
                  <c:v>20</c:v>
                </c:pt>
                <c:pt idx="5">
                  <c:v>20</c:v>
                </c:pt>
                <c:pt idx="6">
                  <c:v>20</c:v>
                </c:pt>
                <c:pt idx="7">
                  <c:v>23</c:v>
                </c:pt>
                <c:pt idx="8">
                  <c:v>23</c:v>
                </c:pt>
                <c:pt idx="9">
                  <c:v>23.75</c:v>
                </c:pt>
                <c:pt idx="10">
                  <c:v>25.75</c:v>
                </c:pt>
                <c:pt idx="11">
                  <c:v>26.75</c:v>
                </c:pt>
                <c:pt idx="12">
                  <c:v>29.25</c:v>
                </c:pt>
                <c:pt idx="13">
                  <c:v>31.25</c:v>
                </c:pt>
                <c:pt idx="14">
                  <c:v>31.25</c:v>
                </c:pt>
                <c:pt idx="15">
                  <c:v>31.25</c:v>
                </c:pt>
                <c:pt idx="16">
                  <c:v>32.25</c:v>
                </c:pt>
                <c:pt idx="17">
                  <c:v>35.25</c:v>
                </c:pt>
                <c:pt idx="18">
                  <c:v>35.25</c:v>
                </c:pt>
                <c:pt idx="19">
                  <c:v>34.25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Game!$AZ$5:$BS$5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Game!$AZ$6:$BS$6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Game!$AZ$7:$BS$7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Game!$AZ$8:$BS$8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Game!$AZ$9:$BS$9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Game!$AZ$2:$BS$3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Game!$AZ$10:$BS$10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W2 Day</a:t>
            </a:r>
            <a:r>
              <a:rPr lang="en-GB" baseline="0"/>
              <a:t> Comparision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Game!$AZ$18:$BS$18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Game!$AZ$19:$BS$19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Game!$AZ$20:$BS$20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Game!$AZ$21:$BS$21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Game!$AZ$22:$BS$22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Game!$AZ$23:$BS$23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Game!$AZ$24:$BS$24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8CE-4A6B-868B-365DB2F78E21}"/>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8CE-4A6B-868B-365DB2F78E21}"/>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Game!$B$25:$V$25</c15:sqref>
                  </c15:fullRef>
                </c:ext>
              </c:extLst>
              <c:f>Game!$B$25:$U$25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Game!$V$25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CE1C-4D7C-9B14-A4DEACB90960}"/>
                      </c:ext>
                    </c:extLst>
                  </c15:dLbl>
                </c15:categoryFilterException>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Game!$AZ$32:$BS$32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Game!$AZ$33:$BS$33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Game!$AZ$34:$BS$34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Game!$AZ$35:$BS$35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Game!$AZ$36:$BS$36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Game!$AZ$37:$BS$37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Game!$AZ$38:$BS$38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082-4DC2-8A48-B6DCC7D8A3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082-4DC2-8A48-B6DCC7D8A3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Game!$B$39:$V$39</c15:sqref>
                  </c15:fullRef>
                </c:ext>
              </c:extLst>
              <c:f>Game!$B$39:$U$39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Game!$V$39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825E-4F4C-A136-EB666DFDAB33}"/>
                      </c:ext>
                    </c:extLst>
                  </c15:dLbl>
                </c15:categoryFilterException>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Game!$AZ$46:$BS$46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Game!$AZ$47:$BS$47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Game!$AZ$48:$BS$48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Game!$AZ$49:$BS$49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Game!$AZ$50:$BS$50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Game!$AZ$51:$BS$51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Game!$AZ$52:$BS$52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DC5-4654-87B5-438F6BB7FCB9}"/>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DC5-4654-87B5-438F6BB7FCB9}"/>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Game!$B$53:$V$53</c15:sqref>
                  </c15:fullRef>
                </c:ext>
              </c:extLst>
              <c:f>Game!$B$53:$U$53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Game!$V$53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D03E-4FAB-A581-E311BF34E384}"/>
                      </c:ext>
                    </c:extLst>
                  </c15:dLbl>
                </c15:categoryFilterException>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Game!$AZ$60:$BS$60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Game!$AZ$61:$BS$61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Game!$AZ$62:$BS$62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Game!$AZ$63:$BS$63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Game!$AZ$64:$BS$64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Game!$AZ$65:$BS$65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Game!$AZ$66:$BS$66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50D-45AF-92C3-A871D63B919E}"/>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450D-45AF-92C3-A871D63B919E}"/>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Game!$B$67:$V$67</c15:sqref>
                  </c15:fullRef>
                </c:ext>
              </c:extLst>
              <c:f>Game!$B$67:$U$67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Game!$V$67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676-4197-A4A5-6678F259E304}"/>
                      </c:ext>
                    </c:extLst>
                  </c15:dLbl>
                </c15:categoryFilterException>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Game!$AZ$74:$BS$74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Game!$AZ$75:$BS$75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Game!$AZ$76:$BS$76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Game!$AZ$77:$BS$77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Game!$AZ$78:$BS$78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Game!$AZ$79:$BS$79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Game!$AZ$80:$BS$80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C5-44E6-9D0C-0F462232E1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FAC5-44E6-9D0C-0F462232E1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Game!$B$81:$V$81</c15:sqref>
                  </c15:fullRef>
                </c:ext>
              </c:extLst>
              <c:f>Game!$B$81:$U$81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Game!$V$81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780-44F9-984E-52CEC0BB6828}"/>
                      </c:ext>
                    </c:extLst>
                  </c15:dLbl>
                </c15:categoryFilterException>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Game!$AZ$88:$BS$88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Game!$AZ$89:$BS$89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Game!$AZ$90:$BS$90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Game!$AZ$91:$BS$91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Game!$AZ$92:$BS$92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Game!$AZ$93:$BS$93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Game!$AZ$94:$BS$94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2C8-4CCE-B1C5-17906E2DF7F7}"/>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2C8-4CCE-B1C5-17906E2DF7F7}"/>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Game!$B$95:$V$95</c15:sqref>
                  </c15:fullRef>
                </c:ext>
              </c:extLst>
              <c:f>Game!$B$95:$U$95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Game!$V$95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2205-41A3-8CED-EB0111FB74AC}"/>
                      </c:ext>
                    </c:extLst>
                  </c15:dLbl>
                </c15:categoryFilterException>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Game!$AZ$102:$BS$102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Game!$AZ$103:$BS$103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Game!$AZ$104:$BS$104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Game!$AZ$105:$BS$105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Game!$AZ$106:$BS$106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Game!$AZ$107:$BS$107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Game!$AZ$108:$BS$108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EE7C-40DD-9FA3-EB214027904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EE7C-40DD-9FA3-EB214027904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Game!$B$109:$V$109</c15:sqref>
                  </c15:fullRef>
                </c:ext>
              </c:extLst>
              <c:f>Game!$B$109:$U$109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Game!$V$109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2277-4052-A6E5-8E261BA851AA}"/>
                      </c:ext>
                    </c:extLst>
                  </c15:dLbl>
                </c15:categoryFilterException>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Game!$AZ$116:$BS$116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Game!$AZ$117:$BS$117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Game!$AZ$118:$BS$118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Game!$AZ$119:$BS$119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Game!$AZ$120:$BS$120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Game!$AZ$121:$BS$121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Game!$AZ$122:$BS$122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F47-4CA8-9754-DD158E97C4BA}"/>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9F47-4CA8-9754-DD158E97C4BA}"/>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Game!$B$123:$V$123</c15:sqref>
                  </c15:fullRef>
                </c:ext>
              </c:extLst>
              <c:f>Game!$B$123:$U$123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Game!$V$123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E437-455A-B38C-DD97432D08DF}"/>
                      </c:ext>
                    </c:extLst>
                  </c15:dLbl>
                </c15:categoryFilterException>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GB"/>
              <a:t>Hobbies</a:t>
            </a:r>
            <a:r>
              <a:rPr lang="en-GB" baseline="0"/>
              <a:t> &amp; qualities</a:t>
            </a:r>
            <a:endParaRPr lang="en-GB"/>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442-4E55-AC2C-CBE139CEBE4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9442-4E55-AC2C-CBE139CEBE4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Game!$B$11:$V$11</c15:sqref>
                  </c15:fullRef>
                </c:ext>
              </c:extLst>
              <c:f>Game!$B$11:$U$11</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uri="{CE6537A1-D6FC-4f65-9D91-7224C49458BB}"/>
                      <c:ext xmlns:c16="http://schemas.microsoft.com/office/drawing/2014/chart" uri="{C3380CC4-5D6E-409C-BE32-E72D297353CC}">
                        <c16:uniqueId val="{00000029-53D8-48CD-BD70-749EECA59613}"/>
                      </c:ext>
                    </c:extLst>
                  </c15:dLbl>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Game!$AZ$130:$BS$130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Game!$AZ$131:$BS$131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Game!$AZ$132:$BS$132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Game!$AZ$133:$BS$133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Game!$AZ$134:$BS$134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Game!$AZ$135:$BS$135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Game!$AZ$136:$BS$136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84C5-4FA0-99F3-EC76FA8A235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84C5-4FA0-99F3-EC76FA8A235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Game!$B$137:$V$137</c15:sqref>
                  </c15:fullRef>
                </c:ext>
              </c:extLst>
              <c:f>Game!$B$137:$U$137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Game!$V$137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85AE-49A3-A832-B9ADDD4CBD66}"/>
                      </c:ext>
                    </c:extLst>
                  </c15:dLbl>
                </c15:categoryFilterException>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Game!$AZ$144:$BS$144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Game!$AZ$145:$BS$145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Game!$AZ$146:$BS$146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Game!$AZ$147:$BS$147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Game!$AZ$148:$BS$148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Game!$AZ$149:$BS$149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Game!$AZ$150:$BS$150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63C-4027-B08E-70BDF92B762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63C-4027-B08E-70BDF92B762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Game!$B$151:$V$151</c15:sqref>
                  </c15:fullRef>
                </c:ext>
              </c:extLst>
              <c:f>Game!$B$151:$U$151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Game!$V$151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7652-427E-A0B3-956E214BBF9D}"/>
                      </c:ext>
                    </c:extLst>
                  </c15:dLbl>
                </c15:categoryFilterException>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Game!$AZ$158:$BS$158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Game!$AZ$159:$BS$159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Game!$AZ$160:$BS$160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Game!$AZ$161:$BS$161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Game!$AZ$162:$BS$162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Game!$AZ$163:$BS$163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Game!$AZ$164:$BS$164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Game!$AZ$165:$BS$165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6EA-4C3B-A6AC-1552E1E35E4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6EA-4C3B-A6AC-1552E1E35E4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Game!$AZ$2:$BS$2</c15:sqref>
                  </c15:fullRef>
                </c:ext>
              </c:extLst>
              <c:f>Game!$AZ$2:$BS$2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Game!$B$165:$V$165</c15:sqref>
                  </c15:fullRef>
                </c:ext>
              </c:extLst>
              <c:f>Game!$B$165:$U$165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Game!$V$165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708B-4A49-80EB-6B45BCDBEFF2}"/>
                      </c:ext>
                    </c:extLst>
                  </c15:dLbl>
                </c15:categoryFilterException>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Streak Progress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36.369999999999997</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36.25</c:v>
                </c:pt>
                <c:pt idx="2">
                  <c:v>36.25</c:v>
                </c:pt>
                <c:pt idx="3">
                  <c:v>36.25</c:v>
                </c:pt>
                <c:pt idx="4">
                  <c:v>36.25</c:v>
                </c:pt>
                <c:pt idx="5">
                  <c:v>36.25</c:v>
                </c:pt>
                <c:pt idx="6">
                  <c:v>36.25</c:v>
                </c:pt>
                <c:pt idx="7">
                  <c:v>36.25</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Game!$BU$45:$BU$52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Game!$BU$73:$BU$80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                                                                                                      </a:t>
            </a:r>
          </a:p>
          <a:p>
            <a:pPr>
              <a:defRPr/>
            </a:pPr>
            <a:r>
              <a:rPr lang="en-US" b="0" baseline="0">
                <a:solidFill>
                  <a:schemeClr val="tx1"/>
                </a:solidFill>
                <a:latin typeface="Bernard MT Condensed" panose="02050806060905020404" pitchFamily="18" charset="0"/>
              </a:rPr>
              <a:t> </a:t>
            </a:r>
            <a:r>
              <a:rPr lang="en-US" sz="1400" b="0" baseline="0">
                <a:solidFill>
                  <a:schemeClr val="tx1"/>
                </a:solidFill>
                <a:latin typeface="+mn-lt"/>
              </a:rPr>
              <a:t>Draw a Lanscape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layout>
        <c:manualLayout>
          <c:xMode val="edge"/>
          <c:yMode val="edge"/>
          <c:x val="0.35303552631578949"/>
          <c:y val="9.8335269066976393E-3"/>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36.25</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comparison(bonus</a:t>
            </a:r>
            <a:r>
              <a:rPr lang="en-US"/>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Game!$BW$3:$BW$10</c:f>
              <c:numCache>
                <c:formatCode>General</c:formatCode>
                <c:ptCount val="8"/>
                <c:pt idx="0">
                  <c:v>0</c:v>
                </c:pt>
                <c:pt idx="1">
                  <c:v>36.369999999999997</c:v>
                </c:pt>
                <c:pt idx="2">
                  <c:v>36.369999999999997</c:v>
                </c:pt>
                <c:pt idx="3">
                  <c:v>36.369999999999997</c:v>
                </c:pt>
                <c:pt idx="4">
                  <c:v>36.369999999999997</c:v>
                </c:pt>
                <c:pt idx="5">
                  <c:v>36.369999999999997</c:v>
                </c:pt>
                <c:pt idx="6">
                  <c:v>36.369999999999997</c:v>
                </c:pt>
                <c:pt idx="7">
                  <c:v>36.369999999999997</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Game!$BW$17:$BW$24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Game!$BW$31:$BW$38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Game!$BW$59:$BW$66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Game!$BW$59:$BW$66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Game!$BW$87:$BW$94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Game!$BW$87:$BW$94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Game!$BW$101:$BW$108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Game!$BW$115:$BW$122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Game!$BW$129:$BW$136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Game!$BW$143:$BW$150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Game!$BW$157:$BW$164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weeks(bonus)</a:t>
            </a:r>
          </a:p>
          <a:p>
            <a:pPr>
              <a:defRPr b="0">
                <a:solidFill>
                  <a:schemeClr val="tx1"/>
                </a:solidFill>
                <a:latin typeface="Bernard MT Condensed" panose="02050806060905020404" pitchFamily="18" charset="0"/>
              </a:defRPr>
            </a:pPr>
            <a:r>
              <a:rPr lang="en-US" sz="1400" b="0" baseline="0">
                <a:solidFill>
                  <a:schemeClr val="tx1"/>
                </a:solidFill>
                <a:latin typeface="+mn-lt"/>
              </a:rPr>
              <a:t>(Draw a landscape)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overlay val="0"/>
      <c:spPr>
        <a:noFill/>
        <a:ln>
          <a:noFill/>
        </a:ln>
        <a:effectLst/>
      </c:spPr>
      <c:txPr>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36.369999999999997</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2.7082245643535795E-3"/>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1DC2-4588-B556-8F1F75674A6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807B-4C73-9778-C93EA18FA2AD}"/>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1DC2-4588-B556-8F1F75674A6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807B-4C73-9778-C93EA18FA2AD}"/>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4401-4D50-90D5-F6166B5E135A}"/>
                      </c:ext>
                    </c:extLst>
                  </c15:dLbl>
                </c15:categoryFilterException>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1.6597116491057849E-2"/>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BEBD-4E23-B9B4-37194AFC9CD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C18E-4DCE-8A18-9304C374B66A}"/>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BEBD-4E23-B9B4-37194AFC9CD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C18E-4DCE-8A18-9304C374B66A}"/>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0305-4949-8129-CBC80B62C89A}"/>
                      </c:ext>
                    </c:extLst>
                  </c15:dLbl>
                </c15:categoryFilterException>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r>
              <a:rPr lang="en-GB" sz="1600" b="0" i="0" u="none" strike="noStrike" kern="1200" cap="all" baseline="0">
                <a:solidFill>
                  <a:schemeClr val="tx1"/>
                </a:solidFill>
              </a:rPr>
              <a:t>Hobby Contribution distribution</a:t>
            </a:r>
          </a:p>
          <a:p>
            <a:pPr marL="0" marR="0" lvl="0" indent="0" algn="ctr" defTabSz="914400" rtl="0" eaLnBrk="1" fontAlgn="auto" latinLnBrk="0" hangingPunct="1">
              <a:lnSpc>
                <a:spcPct val="100000"/>
              </a:lnSpc>
              <a:spcBef>
                <a:spcPts val="0"/>
              </a:spcBef>
              <a:spcAft>
                <a:spcPts val="0"/>
              </a:spcAft>
              <a:buClrTx/>
              <a:buSzTx/>
              <a:buFontTx/>
              <a:buNone/>
              <a:tabLst/>
              <a:defRPr b="0">
                <a:solidFill>
                  <a:sysClr val="windowText" lastClr="000000">
                    <a:lumMod val="65000"/>
                    <a:lumOff val="35000"/>
                  </a:sysClr>
                </a:solidFill>
              </a:defRPr>
            </a:pPr>
            <a:endParaRPr lang="en-GB" b="0"/>
          </a:p>
        </c:rich>
      </c:tx>
      <c:layout>
        <c:manualLayout>
          <c:xMode val="edge"/>
          <c:yMode val="edge"/>
          <c:x val="1.9784562507559597E-2"/>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2AD-43D6-9CC4-23C2807A4CF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02-4BC2-9E1B-0457B26A9A0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42AD-43D6-9CC4-23C2807A4CF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3A02-4BC2-9E1B-0457B26A9A0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6D48-45BB-B71E-F965DE0D5799}"/>
                      </c:ext>
                    </c:extLst>
                  </c15:dLbl>
                </c15:categoryFilterException>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b="0">
                <a:solidFill>
                  <a:schemeClr val="tx1"/>
                </a:solidFill>
                <a:latin typeface="+mj-lt"/>
              </a:rPr>
              <a:t>Hobby</a:t>
            </a:r>
            <a:r>
              <a:rPr lang="en-GB" b="0" baseline="0">
                <a:solidFill>
                  <a:schemeClr val="tx1"/>
                </a:solidFill>
                <a:latin typeface="+mj-lt"/>
              </a:rPr>
              <a:t> Contribution distribution</a:t>
            </a:r>
            <a:endParaRPr lang="en-GB" b="0">
              <a:solidFill>
                <a:schemeClr val="tx1"/>
              </a:solidFill>
              <a:latin typeface="+mj-lt"/>
            </a:endParaRPr>
          </a:p>
        </c:rich>
      </c:tx>
      <c:layout>
        <c:manualLayout>
          <c:xMode val="edge"/>
          <c:yMode val="edge"/>
          <c:x val="7.5678056797476192E-4"/>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F0-4CBA-B062-EE75B524AC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DD7F-47E7-8209-F387F23A4A0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FAF0-4CBA-B062-EE75B524AC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DD7F-47E7-8209-F387F23A4A0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8381-4320-A27E-E67BBD109130}"/>
                      </c:ext>
                    </c:extLst>
                  </c15:dLbl>
                </c15:categoryFilterException>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Streak Progress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Game!$AD$2:$AQ$2</c:f>
              <c:strCache>
                <c:ptCount val="14"/>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strCache>
            </c:strRef>
          </c:cat>
          <c:val>
            <c:numRef>
              <c:f>Game!$B$13:$O$13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BF9F-4CE7-903B-C0177E8CA60B}"/>
            </c:ext>
          </c:extLst>
        </c:ser>
        <c:dLbls>
          <c:showLegendKey val="0"/>
          <c:showVal val="0"/>
          <c:showCatName val="0"/>
          <c:showSerName val="0"/>
          <c:showPercent val="0"/>
          <c:showBubbleSize val="0"/>
        </c:dLbls>
        <c:gapWidth val="0"/>
        <c:axId val="236696031"/>
        <c:axId val="236702271"/>
      </c:barChart>
      <c:catAx>
        <c:axId val="2366960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702271"/>
        <c:crosses val="autoZero"/>
        <c:auto val="1"/>
        <c:lblAlgn val="ctr"/>
        <c:lblOffset val="100"/>
        <c:noMultiLvlLbl val="0"/>
      </c:catAx>
      <c:valAx>
        <c:axId val="236702271"/>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69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1.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226785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281214</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290285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0</xdr:col>
      <xdr:colOff>0</xdr:colOff>
      <xdr:row>64</xdr:row>
      <xdr:rowOff>1</xdr:rowOff>
    </xdr:from>
    <xdr:to>
      <xdr:col>18</xdr:col>
      <xdr:colOff>190786</xdr:colOff>
      <xdr:row>120</xdr:row>
      <xdr:rowOff>171999</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editAs="absolute">
    <xdr:from>
      <xdr:col>30</xdr:col>
      <xdr:colOff>457197</xdr:colOff>
      <xdr:row>21</xdr:row>
      <xdr:rowOff>104319</xdr:rowOff>
    </xdr:from>
    <xdr:to>
      <xdr:col>33</xdr:col>
      <xdr:colOff>317499</xdr:colOff>
      <xdr:row>29</xdr:row>
      <xdr:rowOff>36285</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17</xdr:col>
      <xdr:colOff>13605</xdr:colOff>
      <xdr:row>255</xdr:row>
      <xdr:rowOff>156934</xdr:rowOff>
    </xdr:from>
    <xdr:to>
      <xdr:col>24</xdr:col>
      <xdr:colOff>331105</xdr:colOff>
      <xdr:row>270</xdr:row>
      <xdr:rowOff>178705</xdr:rowOff>
    </xdr:to>
    <xdr:graphicFrame macro="">
      <xdr:nvGraphicFramePr>
        <xdr:cNvPr id="2" name="Chart 1">
          <a:extLst>
            <a:ext uri="{FF2B5EF4-FFF2-40B4-BE49-F238E27FC236}">
              <a16:creationId xmlns:a16="http://schemas.microsoft.com/office/drawing/2014/main" id="{474310F6-69C6-B18E-45D2-96068718E6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Comparison Weekly"/>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W222"/>
  <sheetViews>
    <sheetView showGridLines="0" tabSelected="1" zoomScale="70" zoomScaleNormal="70" workbookViewId="0">
      <pane ySplit="2" topLeftCell="A3" activePane="bottomLeft" state="frozen"/>
      <selection pane="bottomLeft" activeCell="D33" sqref="D33"/>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4" max="64" width="7.6328125" bestFit="1" customWidth="1"/>
    <col min="66" max="66" width="5.81640625" bestFit="1" customWidth="1"/>
  </cols>
  <sheetData>
    <row r="1" spans="1:75" s="163" customFormat="1" x14ac:dyDescent="0.35">
      <c r="A1" s="170" t="s">
        <v>108</v>
      </c>
      <c r="B1" s="204" t="s">
        <v>103</v>
      </c>
      <c r="C1" s="204"/>
      <c r="D1" s="204"/>
      <c r="E1" s="204"/>
      <c r="F1" s="204"/>
      <c r="G1" s="204"/>
      <c r="H1" s="204"/>
      <c r="I1" s="204"/>
      <c r="J1" s="204"/>
      <c r="K1" s="204"/>
      <c r="L1" s="204"/>
      <c r="M1" s="204"/>
      <c r="N1" s="204"/>
      <c r="O1" s="204"/>
      <c r="P1" s="175" t="s">
        <v>104</v>
      </c>
      <c r="Q1" s="175"/>
      <c r="R1" s="175"/>
      <c r="S1" s="175"/>
      <c r="T1" s="175"/>
      <c r="U1" s="175"/>
      <c r="V1" s="175"/>
      <c r="Z1" s="168"/>
      <c r="AA1" s="168"/>
    </row>
    <row r="2" spans="1:75" s="164" customFormat="1" ht="69" customHeight="1" x14ac:dyDescent="0.35">
      <c r="B2" s="165" t="s">
        <v>182</v>
      </c>
      <c r="C2" s="165" t="s">
        <v>183</v>
      </c>
      <c r="D2" s="165" t="s">
        <v>184</v>
      </c>
      <c r="E2" s="165" t="s">
        <v>185</v>
      </c>
      <c r="F2" s="165" t="s">
        <v>186</v>
      </c>
      <c r="G2" s="165" t="s">
        <v>187</v>
      </c>
      <c r="H2" s="165" t="s">
        <v>188</v>
      </c>
      <c r="I2" s="165" t="s">
        <v>102</v>
      </c>
      <c r="J2" s="165" t="s">
        <v>189</v>
      </c>
      <c r="K2" s="165" t="s">
        <v>190</v>
      </c>
      <c r="L2" s="165" t="s">
        <v>191</v>
      </c>
      <c r="M2" s="165" t="s">
        <v>192</v>
      </c>
      <c r="N2" s="165" t="s">
        <v>193</v>
      </c>
      <c r="O2" s="165" t="s">
        <v>194</v>
      </c>
      <c r="P2" s="165" t="s">
        <v>195</v>
      </c>
      <c r="Q2" s="165" t="s">
        <v>196</v>
      </c>
      <c r="R2" s="165" t="s">
        <v>105</v>
      </c>
      <c r="S2" s="165" t="s">
        <v>197</v>
      </c>
      <c r="T2" s="165" t="s">
        <v>100</v>
      </c>
      <c r="U2" s="165" t="s">
        <v>101</v>
      </c>
      <c r="V2" s="165" t="s">
        <v>198</v>
      </c>
      <c r="W2" s="165" t="s">
        <v>0</v>
      </c>
      <c r="X2" s="165" t="s">
        <v>111</v>
      </c>
      <c r="Y2" s="165" t="s">
        <v>113</v>
      </c>
      <c r="Z2" s="165" t="s">
        <v>170</v>
      </c>
      <c r="AA2" s="165" t="s">
        <v>53</v>
      </c>
      <c r="AB2" s="166" t="s">
        <v>98</v>
      </c>
      <c r="AC2" s="167"/>
      <c r="AD2" s="165" t="str" cm="1">
        <f t="array" ref="AD2">_xlfn.LET(
_xlpm.clean,TRIM(LEFT(B2,FIND("(",B2&amp;"(")-1)),
_xlpm.tokens,_xlfn.TEXTSPLIT(_xlpm.clean," "),
_xlpm.n,COUNTA(_xlpm.tokens),
IF(
_xlpm.n&lt;=2,
_xlpm.clean,
_xlfn.TEXTJOIN(
" ",
,
_xlfn.MAP(
_xlpm.tokens,
_xlfn.LAMBDA(_xlpm.t,
IF(
OR(
_xlpm.t="&amp;",
SUM(--ISNUMBER(SEARCH({0,1,2,3,4,5,6,7,8,9},_xlpm.t)))&gt;0
),
_xlpm.t,
LEFT(_xlpm.t,1)
)
)
)
)
))</f>
        <v xml:space="preserve">W @ 6am
</v>
      </c>
      <c r="AE2" s="165" t="str" cm="1">
        <f t="array" ref="AE2">_xlfn.LET(
_xlpm.clean,TRIM(LEFT(C2,FIND("(",C2&amp;"(")-1)),
_xlpm.tokens,_xlfn.TEXTSPLIT(_xlpm.clean," "),
_xlpm.n,COUNTA(_xlpm.tokens),
IF(
_xlpm.n&lt;=2,
_xlpm.clean,
_xlfn.TEXTJOIN(
" ",
,
_xlfn.MAP(
_xlpm.tokens,
_xlfn.LAMBDA(_xlpm.t,
IF(
OR(
_xlpm.t="&amp;",
SUM(--ISNUMBER(SEARCH({0,1,2,3,4,5,6,7,8,9},_xlpm.t)))&gt;0
),
_xlpm.t,
LEFT(_xlpm.t,1)
)
)
)
)
))</f>
        <v xml:space="preserve">Bootup 
</v>
      </c>
      <c r="AF2" s="165" t="str" cm="1">
        <f t="array" ref="AF2">_xlfn.LET(
_xlpm.clean,TRIM(LEFT(D2,FIND("(",D2&amp;"(")-1)),
_xlpm.tokens,_xlfn.TEXTSPLIT(_xlpm.clean," "),
_xlpm.n,COUNTA(_xlpm.tokens),
IF(
_xlpm.n&lt;=2,
_xlpm.clean,
_xlfn.TEXTJOIN(
" ",
,
_xlfn.MAP(
_xlpm.tokens,
_xlfn.LAMBDA(_xlpm.t,
IF(
OR(
_xlpm.t="&amp;",
SUM(--ISNUMBER(SEARCH({0,1,2,3,4,5,6,7,8,9},_xlpm.t)))&gt;0
),
_xlpm.t,
LEFT(_xlpm.t,1)
)
)
)
)
))</f>
        <v>R &amp; S</v>
      </c>
      <c r="AG2" s="165" t="str" cm="1">
        <f t="array" ref="AG2">_xlfn.LET(
_xlpm.clean,TRIM(LEFT(E2,FIND("(",E2&amp;"(")-1)),
_xlpm.tokens,_xlfn.TEXTSPLIT(_xlpm.clean," "),
_xlpm.n,COUNTA(_xlpm.tokens),
IF(
_xlpm.n&lt;=2,
_xlpm.clean,
_xlfn.TEXTJOIN(
" ",
,
_xlfn.MAP(
_xlpm.tokens,
_xlfn.LAMBDA(_xlpm.t,
IF(
OR(
_xlpm.t="&amp;",
SUM(--ISNUMBER(SEARCH({0,1,2,3,4,5,6,7,8,9},_xlpm.t)))&gt;0
),
_xlpm.t,
LEFT(_xlpm.t,1)
)
)
)
)
))</f>
        <v xml:space="preserve">Gym
</v>
      </c>
      <c r="AH2" s="165" t="str" cm="1">
        <f t="array" ref="AH2">_xlfn.LET(
_xlpm.clean,TRIM(LEFT(F2,FIND("(",F2&amp;"(")-1)),
_xlpm.tokens,_xlfn.TEXTSPLIT(_xlpm.clean," "),
_xlpm.n,COUNTA(_xlpm.tokens),
IF(
_xlpm.n&lt;=2,
_xlpm.clean,
_xlfn.TEXTJOIN(
" ",
,
_xlfn.MAP(
_xlpm.tokens,
_xlfn.LAMBDA(_xlpm.t,
IF(
OR(
_xlpm.t="&amp;",
SUM(--ISNUMBER(SEARCH({0,1,2,3,4,5,6,7,8,9},_xlpm.t)))&gt;0
),
_xlpm.t,
LEFT(_xlpm.t,1)
)
)
)
)
))</f>
        <v xml:space="preserve">Work
</v>
      </c>
      <c r="AI2" s="165" t="str" cm="1">
        <f t="array" ref="AI2">_xlfn.LET(
_xlpm.clean,TRIM(LEFT(G2,FIND("(",G2&amp;"(")-1)),
_xlpm.tokens,_xlfn.TEXTSPLIT(_xlpm.clean," "),
_xlpm.n,COUNTA(_xlpm.tokens),
IF(
_xlpm.n&lt;=2,
_xlpm.clean,
_xlfn.TEXTJOIN(
" ",
,
_xlfn.MAP(
_xlpm.tokens,
_xlfn.LAMBDA(_xlpm.t,
IF(
OR(
_xlpm.t="&amp;",
SUM(--ISNUMBER(SEARCH({0,1,2,3,4,5,6,7,8,9},_xlpm.t)))&gt;0
),
_xlpm.t,
LEFT(_xlpm.t,1)
)
)
)
)
))</f>
        <v xml:space="preserve">Overtime
</v>
      </c>
      <c r="AJ2" s="165" t="str" cm="1">
        <f t="array" ref="AJ2">_xlfn.LET(
_xlpm.clean,TRIM(LEFT(H2,FIND("(",H2&amp;"(")-1)),
_xlpm.tokens,_xlfn.TEXTSPLIT(_xlpm.clean," "),
_xlpm.n,COUNTA(_xlpm.tokens),
IF(
_xlpm.n&lt;=2,
_xlpm.clean,
_xlfn.TEXTJOIN(
" ",
,
_xlfn.MAP(
_xlpm.tokens,
_xlfn.LAMBDA(_xlpm.t,
IF(
OR(
_xlpm.t="&amp;",
SUM(--ISNUMBER(SEARCH({0,1,2,3,4,5,6,7,8,9},_xlpm.t)))&gt;0
),
_xlpm.t,
LEFT(_xlpm.t,1)
)
)
)
)
))</f>
        <v xml:space="preserve">Cooking
</v>
      </c>
      <c r="AK2" s="165" t="str" cm="1">
        <f t="array" ref="AK2">_xlfn.LET(
_xlpm.clean,TRIM(LEFT(I2,FIND("(",I2&amp;"(")-1)),
_xlpm.tokens,_xlfn.TEXTSPLIT(_xlpm.clean," "),
_xlpm.n,COUNTA(_xlpm.tokens),
IF(
_xlpm.n&lt;=2,
_xlpm.clean,
_xlfn.TEXTJOIN(
" ",
,
_xlfn.MAP(
_xlpm.tokens,
_xlfn.LAMBDA(_xlpm.t,
IF(
OR(
_xlpm.t="&amp;",
SUM(--ISNUMBER(SEARCH({0,1,2,3,4,5,6,7,8,9},_xlpm.t)))&gt;0
),
_xlpm.t,
LEFT(_xlpm.t,1)
)
)
)
)
))</f>
        <v xml:space="preserve">Art
</v>
      </c>
      <c r="AL2" s="165" t="str" cm="1">
        <f t="array" ref="AL2">_xlfn.LET(
_xlpm.clean,TRIM(LEFT(J2,FIND("(",J2&amp;"(")-1)),
_xlpm.tokens,_xlfn.TEXTSPLIT(_xlpm.clean," "),
_xlpm.n,COUNTA(_xlpm.tokens),
IF(
_xlpm.n&lt;=2,
_xlpm.clean,
_xlfn.TEXTJOIN(
" ",
,
_xlfn.MAP(
_xlpm.tokens,
_xlfn.LAMBDA(_xlpm.t,
IF(
OR(
_xlpm.t="&amp;",
SUM(--ISNUMBER(SEARCH({0,1,2,3,4,5,6,7,8,9},_xlpm.t)))&gt;0
),
_xlpm.t,
LEFT(_xlpm.t,1)
)
)
)
)
))</f>
        <v xml:space="preserve">Chess
</v>
      </c>
      <c r="AM2" s="165" t="str" cm="1">
        <f t="array" ref="AM2">_xlfn.LET(
_xlpm.clean,TRIM(LEFT(K2,FIND("(",K2&amp;"(")-1)),
_xlpm.tokens,_xlfn.TEXTSPLIT(_xlpm.clean," "),
_xlpm.n,COUNTA(_xlpm.tokens),
IF(
_xlpm.n&lt;=2,
_xlpm.clean,
_xlfn.TEXTJOIN(
" ",
,
_xlfn.MAP(
_xlpm.tokens,
_xlfn.LAMBDA(_xlpm.t,
IF(
OR(
_xlpm.t="&amp;",
SUM(--ISNUMBER(SEARCH({0,1,2,3,4,5,6,7,8,9},_xlpm.t)))&gt;0
),
_xlpm.t,
LEFT(_xlpm.t,1)
)
)
)
)
))</f>
        <v xml:space="preserve">Binge
</v>
      </c>
      <c r="AN2" s="165" t="str" cm="1">
        <f t="array" ref="AN2">_xlfn.LET(
_xlpm.clean,TRIM(LEFT(L2,FIND("(",L2&amp;"(")-1)),
_xlpm.tokens,_xlfn.TEXTSPLIT(_xlpm.clean," "),
_xlpm.n,COUNTA(_xlpm.tokens),
IF(
_xlpm.n&lt;=2,
_xlpm.clean,
_xlfn.TEXTJOIN(
" ",
,
_xlfn.MAP(
_xlpm.tokens,
_xlfn.LAMBDA(_xlpm.t,
IF(
OR(
_xlpm.t="&amp;",
SUM(--ISNUMBER(SEARCH({0,1,2,3,4,5,6,7,8,9},_xlpm.t)))&gt;0
),
_xlpm.t,
LEFT(_xlpm.t,1)
)
)
)
)
))</f>
        <v xml:space="preserve">Resist
</v>
      </c>
      <c r="AO2" s="165" t="str" cm="1">
        <f t="array" ref="AO2">_xlfn.LET(
_xlpm.clean,TRIM(LEFT(M2,FIND("(",M2&amp;"(")-1)),
_xlpm.tokens,_xlfn.TEXTSPLIT(_xlpm.clean," "),
_xlpm.n,COUNTA(_xlpm.tokens),
IF(
_xlpm.n&lt;=2,
_xlpm.clean,
_xlfn.TEXTJOIN(
" ",
,
_xlfn.MAP(
_xlpm.tokens,
_xlfn.LAMBDA(_xlpm.t,
IF(
OR(
_xlpm.t="&amp;",
SUM(--ISNUMBER(SEARCH({0,1,2,3,4,5,6,7,8,9},_xlpm.t)))&gt;0
),
_xlpm.t,
LEFT(_xlpm.t,1)
)
)
)
)
))</f>
        <v xml:space="preserve">Help others
</v>
      </c>
      <c r="AP2" s="165" t="str" cm="1">
        <f t="array" ref="AP2">_xlfn.LET(
_xlpm.clean,TRIM(LEFT(N2,FIND("(",N2&amp;"(")-1)),
_xlpm.tokens,_xlfn.TEXTSPLIT(_xlpm.clean," "),
_xlpm.n,COUNTA(_xlpm.tokens),
IF(
_xlpm.n&lt;=2,
_xlpm.clean,
_xlfn.TEXTJOIN(
" ",
,
_xlfn.MAP(
_xlpm.tokens,
_xlfn.LAMBDA(_xlpm.t,
IF(
OR(
_xlpm.t="&amp;",
SUM(--ISNUMBER(SEARCH({0,1,2,3,4,5,6,7,8,9},_xlpm.t)))&gt;0
),
_xlpm.t,
LEFT(_xlpm.t,1)
)
)
)
)
))</f>
        <v xml:space="preserve">Journal
</v>
      </c>
      <c r="AQ2" s="165" t="str" cm="1">
        <f t="array" ref="AQ2">_xlfn.LET(
_xlpm.clean,TRIM(LEFT(O2,FIND("(",O2&amp;"(")-1)),
_xlpm.tokens,_xlfn.TEXTSPLIT(_xlpm.clean," "),
_xlpm.n,COUNTA(_xlpm.tokens),
IF(
_xlpm.n&lt;=2,
_xlpm.clean,
_xlfn.TEXTJOIN(
" ",
,
_xlfn.MAP(
_xlpm.tokens,
_xlfn.LAMBDA(_xlpm.t,
IF(
OR(
_xlpm.t="&amp;",
SUM(--ISNUMBER(SEARCH({0,1,2,3,4,5,6,7,8,9},_xlpm.t)))&gt;0
),
_xlpm.t,
LEFT(_xlpm.t,1)
)
)
)
)
))</f>
        <v xml:space="preserve">S b 11pm
</v>
      </c>
      <c r="AR2" s="165" t="str" cm="1">
        <f t="array" ref="AR2">_xlfn.LET(
_xlpm.clean,TRIM(LEFT(P2,FIND("(",P2&amp;"(")-1)),
_xlpm.tokens,_xlfn.TEXTSPLIT(_xlpm.clean," "),
_xlpm.n,COUNTA(_xlpm.tokens),
IF(
_xlpm.n&lt;=2,
_xlpm.clean,
_xlfn.TEXTJOIN(
" ",
,
_xlfn.MAP(
_xlpm.tokens,
_xlfn.LAMBDA(_xlpm.t,
IF(
OR(
_xlpm.t="&amp;",
SUM(--ISNUMBER(SEARCH({0,1,2,3,4,5,6,7,8,9},_xlpm.t)))&gt;0
),
_xlpm.t,
LEFT(_xlpm.t,1)
)
)
)
)
))</f>
        <v>D &amp; H</v>
      </c>
      <c r="AS2" s="165" t="str" cm="1">
        <f t="array" ref="AS2">_xlfn.LET(
_xlpm.clean,TRIM(LEFT(Q2,FIND("(",Q2&amp;"(")-1)),
_xlpm.tokens,_xlfn.TEXTSPLIT(_xlpm.clean," "),
_xlpm.n,COUNTA(_xlpm.tokens),
IF(
_xlpm.n&lt;=2,
_xlpm.clean,
_xlfn.TEXTJOIN(
" ",
,
_xlfn.MAP(
_xlpm.tokens,
_xlfn.LAMBDA(_xlpm.t,
IF(
OR(
_xlpm.t="&amp;",
SUM(--ISNUMBER(SEARCH({0,1,2,3,4,5,6,7,8,9},_xlpm.t)))&gt;0
),
_xlpm.t,
LEFT(_xlpm.t,1)
)
)
)
)
))</f>
        <v>P &amp; I</v>
      </c>
      <c r="AT2" s="165" t="str" cm="1">
        <f t="array" ref="AT2">_xlfn.LET(
_xlpm.clean,TRIM(LEFT(R2,FIND("(",R2&amp;"(")-1)),
_xlpm.tokens,_xlfn.TEXTSPLIT(_xlpm.clean," "),
_xlpm.n,COUNTA(_xlpm.tokens),
IF(
_xlpm.n&lt;=2,
_xlpm.clean,
_xlfn.TEXTJOIN(
" ",
,
_xlfn.MAP(
_xlpm.tokens,
_xlfn.LAMBDA(_xlpm.t,
IF(
OR(
_xlpm.t="&amp;",
SUM(--ISNUMBER(SEARCH({0,1,2,3,4,5,6,7,8,9},_xlpm.t)))&gt;0
),
_xlpm.t,
LEFT(_xlpm.t,1)
)
)
)
)
))</f>
        <v>Cleanliness</v>
      </c>
      <c r="AU2" s="165" t="str" cm="1">
        <f t="array" ref="AU2">_xlfn.LET(
_xlpm.clean,TRIM(LEFT(S2,FIND("(",S2&amp;"(")-1)),
_xlpm.tokens,_xlfn.TEXTSPLIT(_xlpm.clean," "),
_xlpm.n,COUNTA(_xlpm.tokens),
IF(
_xlpm.n&lt;=2,
_xlpm.clean,
_xlfn.TEXTJOIN(
" ",
,
_xlfn.MAP(
_xlpm.tokens,
_xlfn.LAMBDA(_xlpm.t,
IF(
OR(
_xlpm.t="&amp;",
SUM(--ISNUMBER(SEARCH({0,1,2,3,4,5,6,7,8,9},_xlpm.t)))&gt;0
),
_xlpm.t,
LEFT(_xlpm.t,1)
)
)
)
)
))</f>
        <v xml:space="preserve">Integrity
</v>
      </c>
      <c r="AV2" s="165" t="str" cm="1">
        <f t="array" ref="AV2">_xlfn.LET(
_xlpm.clean,TRIM(LEFT(T2,FIND("(",T2&amp;"(")-1)),
_xlpm.tokens,_xlfn.TEXTSPLIT(_xlpm.clean," "),
_xlpm.n,COUNTA(_xlpm.tokens),
IF(
_xlpm.n&lt;=2,
_xlpm.clean,
_xlfn.TEXTJOIN(
" ",
,
_xlfn.MAP(
_xlpm.tokens,
_xlfn.LAMBDA(_xlpm.t,
IF(
OR(
_xlpm.t="&amp;",
SUM(--ISNUMBER(SEARCH({0,1,2,3,4,5,6,7,8,9},_xlpm.t)))&gt;0
),
_xlpm.t,
LEFT(_xlpm.t,1)
)
)
)
)
))</f>
        <v xml:space="preserve">Bonus
</v>
      </c>
      <c r="AW2" s="165" t="str" cm="1">
        <f t="array" ref="AW2">_xlfn.LET(
_xlpm.clean,TRIM(LEFT(U2,FIND("(",U2&amp;"(")-1)),
_xlpm.tokens,_xlfn.TEXTSPLIT(_xlpm.clean," "),
_xlpm.n,COUNTA(_xlpm.tokens),
IF(
_xlpm.n&lt;=2,
_xlpm.clean,
_xlfn.TEXTJOIN(
" ",
,
_xlfn.MAP(
_xlpm.tokens,
_xlfn.LAMBDA(_xlpm.t,
IF(
OR(
_xlpm.t="&amp;",
SUM(--ISNUMBER(SEARCH({0,1,2,3,4,5,6,7,8,9},_xlpm.t)))&gt;0
),
_xlpm.t,
LEFT(_xlpm.t,1)
)
)
)
)
))</f>
        <v xml:space="preserve">Penalties
</v>
      </c>
      <c r="AX2" s="165" t="str" cm="1">
        <f t="array" ref="AX2">_xlfn.LET(
_xlpm.clean,TRIM(LEFT(V2,FIND("(",V2&amp;"(")-1)),
_xlpm.tokens,_xlfn.TEXTSPLIT(_xlpm.clean," "),
_xlpm.n,COUNTA(_xlpm.tokens),
IF(
_xlpm.n&lt;=2,
_xlpm.clean,
_xlfn.TEXTJOIN(
" ",
,
_xlfn.MAP(
_xlpm.tokens,
_xlfn.LAMBDA(_xlpm.t,
IF(
OR(
_xlpm.t="&amp;",
SUM(--ISNUMBER(SEARCH({0,1,2,3,4,5,6,7,8,9},_xlpm.t)))&gt;0
),
_xlpm.t,
LEFT(_xlpm.t,1)
)
)
)
)
))</f>
        <v xml:space="preserve">Vibe Check
</v>
      </c>
      <c r="AY2" s="165"/>
      <c r="AZ2" s="165" t="str">
        <f>AD2</f>
        <v xml:space="preserve">W @ 6am
</v>
      </c>
      <c r="BA2" s="165" t="str">
        <f t="shared" ref="BA2:BD2" si="0">AE2</f>
        <v xml:space="preserve">Bootup 
</v>
      </c>
      <c r="BB2" s="165" t="str">
        <f t="shared" si="0"/>
        <v>R &amp; S</v>
      </c>
      <c r="BC2" s="165" t="str">
        <f t="shared" si="0"/>
        <v xml:space="preserve">Gym
</v>
      </c>
      <c r="BD2" s="165" t="str">
        <f t="shared" si="0"/>
        <v xml:space="preserve">Work
</v>
      </c>
      <c r="BE2" s="165" t="str">
        <f>AI2</f>
        <v xml:space="preserve">Overtime
</v>
      </c>
      <c r="BF2" s="165" t="str">
        <f>AJ2</f>
        <v xml:space="preserve">Cooking
</v>
      </c>
      <c r="BG2" s="165" t="str">
        <f>AK2</f>
        <v xml:space="preserve">Art
</v>
      </c>
      <c r="BH2" s="165" t="str">
        <f>AL2</f>
        <v xml:space="preserve">Chess
</v>
      </c>
      <c r="BI2" s="165" t="str">
        <f>AM2</f>
        <v xml:space="preserve">Binge
</v>
      </c>
      <c r="BJ2" s="165" t="str">
        <f>AN2</f>
        <v xml:space="preserve">Resist
</v>
      </c>
      <c r="BK2" s="165" t="str">
        <f>AO2</f>
        <v xml:space="preserve">Help others
</v>
      </c>
      <c r="BL2" s="165" t="str">
        <f>AP2</f>
        <v xml:space="preserve">Journal
</v>
      </c>
      <c r="BM2" s="165" t="str">
        <f>AQ2</f>
        <v xml:space="preserve">S b 11pm
</v>
      </c>
      <c r="BN2" s="165" t="str">
        <f>AR2</f>
        <v>D &amp; H</v>
      </c>
      <c r="BO2" s="165" t="str">
        <f>AS2</f>
        <v>P &amp; I</v>
      </c>
      <c r="BP2" s="165" t="str">
        <f>AT2</f>
        <v>Cleanliness</v>
      </c>
      <c r="BQ2" s="165" t="str">
        <f>AU2</f>
        <v xml:space="preserve">Integrity
</v>
      </c>
      <c r="BR2" s="165" t="str">
        <f>AV2</f>
        <v xml:space="preserve">Bonus
</v>
      </c>
      <c r="BS2" s="165" t="str">
        <f>AW2</f>
        <v xml:space="preserve">Penalties
</v>
      </c>
      <c r="BT2" s="165" t="str">
        <f>AX2</f>
        <v xml:space="preserve">Vibe Check
</v>
      </c>
      <c r="BU2" s="165" t="s">
        <v>0</v>
      </c>
      <c r="BV2" s="167" t="s">
        <v>114</v>
      </c>
      <c r="BW2" s="167" t="s">
        <v>115</v>
      </c>
    </row>
    <row r="3" spans="1:75" x14ac:dyDescent="0.35">
      <c r="A3" s="53" t="s">
        <v>107</v>
      </c>
      <c r="B3" s="205" t="s">
        <v>149</v>
      </c>
      <c r="C3" s="205"/>
      <c r="D3" s="28">
        <v>46027</v>
      </c>
      <c r="E3" s="28">
        <f>D3+6</f>
        <v>46033</v>
      </c>
      <c r="F3" s="206" t="s">
        <v>150</v>
      </c>
      <c r="G3" s="206"/>
      <c r="H3" s="184" t="s">
        <v>106</v>
      </c>
      <c r="I3" s="19"/>
      <c r="J3" s="19"/>
      <c r="K3" s="19"/>
      <c r="L3" s="19"/>
      <c r="M3" s="19"/>
      <c r="N3" s="19"/>
      <c r="O3" s="19"/>
      <c r="P3" s="19"/>
      <c r="Q3" s="19"/>
      <c r="R3" s="19"/>
      <c r="S3" s="19"/>
      <c r="T3" s="19"/>
      <c r="U3" s="19"/>
      <c r="V3" s="19"/>
      <c r="W3" s="19"/>
      <c r="X3" s="19"/>
      <c r="Y3" s="7"/>
      <c r="Z3" s="20"/>
      <c r="AA3" s="20"/>
      <c r="AB3" s="7"/>
      <c r="AC3" s="7" t="s">
        <v>62</v>
      </c>
      <c r="AD3" s="7"/>
      <c r="AE3" s="7"/>
      <c r="AF3" s="7"/>
      <c r="AG3" s="7"/>
      <c r="AH3" s="7"/>
      <c r="AI3" s="7"/>
      <c r="AJ3" s="7"/>
      <c r="AK3" s="7"/>
      <c r="AL3" s="7"/>
      <c r="AM3" s="7"/>
      <c r="AN3" s="7"/>
      <c r="AO3" s="7"/>
      <c r="AP3" s="7"/>
      <c r="AQ3" s="7"/>
      <c r="AR3" s="7"/>
      <c r="AS3" s="7"/>
      <c r="AT3" s="7"/>
      <c r="AU3" s="7"/>
      <c r="AV3" s="7"/>
      <c r="AW3" s="7"/>
      <c r="AX3" s="7" t="s">
        <v>199</v>
      </c>
      <c r="AY3" s="7" t="s">
        <v>200</v>
      </c>
      <c r="AZ3" s="10"/>
      <c r="BA3" s="10"/>
      <c r="BB3" s="10"/>
      <c r="BC3" s="10"/>
      <c r="BD3" s="10"/>
      <c r="BE3" s="10"/>
      <c r="BF3" s="10"/>
      <c r="BG3" s="10"/>
      <c r="BH3" s="10"/>
      <c r="BI3" s="10"/>
      <c r="BJ3" s="10"/>
      <c r="BK3" s="10"/>
      <c r="BL3" s="10"/>
      <c r="BM3" s="10"/>
      <c r="BN3" s="10"/>
      <c r="BO3" s="10"/>
      <c r="BP3" s="10"/>
      <c r="BQ3" s="10"/>
      <c r="BR3" s="10"/>
      <c r="BS3" s="10"/>
      <c r="BT3" s="10"/>
      <c r="BU3" s="10">
        <v>0</v>
      </c>
      <c r="BW3">
        <v>0</v>
      </c>
    </row>
    <row r="4" spans="1:75" x14ac:dyDescent="0.35">
      <c r="A4" s="69" t="s">
        <v>181</v>
      </c>
      <c r="B4" s="16">
        <v>2</v>
      </c>
      <c r="C4" s="16"/>
      <c r="D4" s="16">
        <v>5</v>
      </c>
      <c r="E4" s="16">
        <v>9</v>
      </c>
      <c r="F4" s="176">
        <v>4</v>
      </c>
      <c r="G4" s="16"/>
      <c r="H4" s="16"/>
      <c r="I4" s="16">
        <v>3</v>
      </c>
      <c r="J4" s="16"/>
      <c r="K4" s="16">
        <v>0.75</v>
      </c>
      <c r="L4" s="16">
        <v>2</v>
      </c>
      <c r="M4" s="176">
        <v>1</v>
      </c>
      <c r="N4" s="197">
        <v>2.5</v>
      </c>
      <c r="O4" s="176">
        <v>2</v>
      </c>
      <c r="P4" s="176"/>
      <c r="Q4" s="16"/>
      <c r="R4" s="176">
        <v>1</v>
      </c>
      <c r="S4" s="176">
        <v>3</v>
      </c>
      <c r="T4" s="16"/>
      <c r="U4" s="176">
        <v>-1</v>
      </c>
      <c r="V4" s="202">
        <v>2</v>
      </c>
      <c r="W4" s="24">
        <f>SUM(B4:V4)</f>
        <v>36.25</v>
      </c>
      <c r="X4" s="17">
        <f t="shared" ref="X4:X10" si="1">SUM(AD4:AW4)*0.1</f>
        <v>0.12</v>
      </c>
      <c r="Y4" s="7">
        <f t="shared" ref="Y4:Y10" si="2">W4+X4</f>
        <v>36.369999999999997</v>
      </c>
      <c r="Z4" s="18" t="s">
        <v>169</v>
      </c>
      <c r="AA4" s="23"/>
      <c r="AB4" s="7">
        <f t="shared" ref="AB4:AB10" si="3">W4</f>
        <v>36.25</v>
      </c>
      <c r="AC4" s="7" t="s">
        <v>22</v>
      </c>
      <c r="AD4" s="7">
        <f t="shared" ref="AD4:AM10" si="4">IF(B4 &gt; 0, IF(AD3 &gt; 0, AD3 + 1, 0.1), 0)</f>
        <v>0.1</v>
      </c>
      <c r="AE4" s="7">
        <f t="shared" si="4"/>
        <v>0</v>
      </c>
      <c r="AF4" s="7">
        <f t="shared" si="4"/>
        <v>0.1</v>
      </c>
      <c r="AG4" s="7">
        <f t="shared" si="4"/>
        <v>0.1</v>
      </c>
      <c r="AH4" s="7">
        <f t="shared" si="4"/>
        <v>0.1</v>
      </c>
      <c r="AI4" s="7">
        <f t="shared" si="4"/>
        <v>0</v>
      </c>
      <c r="AJ4" s="7">
        <f t="shared" si="4"/>
        <v>0</v>
      </c>
      <c r="AK4" s="7">
        <f t="shared" si="4"/>
        <v>0.1</v>
      </c>
      <c r="AL4" s="7">
        <f t="shared" si="4"/>
        <v>0</v>
      </c>
      <c r="AM4" s="7">
        <f t="shared" si="4"/>
        <v>0.1</v>
      </c>
      <c r="AN4" s="7">
        <f t="shared" ref="AN4:AW10" si="5">IF(L4 &gt; 0, IF(AN3 &gt; 0, AN3 + 1, 0.1), 0)</f>
        <v>0.1</v>
      </c>
      <c r="AO4" s="7">
        <f t="shared" si="5"/>
        <v>0.1</v>
      </c>
      <c r="AP4" s="7">
        <f t="shared" si="5"/>
        <v>0.1</v>
      </c>
      <c r="AQ4" s="7">
        <f t="shared" si="5"/>
        <v>0.1</v>
      </c>
      <c r="AR4" s="7">
        <f t="shared" si="5"/>
        <v>0</v>
      </c>
      <c r="AS4" s="7">
        <f t="shared" si="5"/>
        <v>0</v>
      </c>
      <c r="AT4" s="7">
        <f t="shared" si="5"/>
        <v>0.1</v>
      </c>
      <c r="AU4" s="7">
        <f t="shared" si="5"/>
        <v>0.1</v>
      </c>
      <c r="AV4" s="7">
        <f t="shared" si="5"/>
        <v>0</v>
      </c>
      <c r="AW4" s="7">
        <f t="shared" si="5"/>
        <v>0</v>
      </c>
      <c r="AX4" s="7"/>
      <c r="AY4" s="7"/>
      <c r="AZ4" s="7">
        <f>SUM($B$4:B4)</f>
        <v>2</v>
      </c>
      <c r="BA4" s="7">
        <f>SUM($B$4:C4)</f>
        <v>2</v>
      </c>
      <c r="BB4" s="7">
        <f>SUM($B$4:D4)</f>
        <v>7</v>
      </c>
      <c r="BC4" s="7">
        <f>SUM($B$4:E4)</f>
        <v>16</v>
      </c>
      <c r="BD4" s="7">
        <f>SUM($B$4:F4)</f>
        <v>20</v>
      </c>
      <c r="BE4" s="7">
        <f>SUM($B$4:G4)</f>
        <v>20</v>
      </c>
      <c r="BF4" s="7">
        <f>SUM($B$4:H4)</f>
        <v>20</v>
      </c>
      <c r="BG4" s="7">
        <f>SUM($B$4:I4)</f>
        <v>23</v>
      </c>
      <c r="BH4" s="7">
        <f>SUM($B$4:J4)</f>
        <v>23</v>
      </c>
      <c r="BI4" s="7">
        <f>SUM($B$4:K4)</f>
        <v>23.75</v>
      </c>
      <c r="BJ4" s="7">
        <f>SUM($B$4:L4)</f>
        <v>25.75</v>
      </c>
      <c r="BK4" s="7">
        <f>SUM($B$4:M4)</f>
        <v>26.75</v>
      </c>
      <c r="BL4" s="7">
        <f>SUM($B$4:N4)</f>
        <v>29.25</v>
      </c>
      <c r="BM4" s="7">
        <f>SUM($B$4:O4)</f>
        <v>31.25</v>
      </c>
      <c r="BN4" s="7">
        <f>SUM($B$4:P4)</f>
        <v>31.25</v>
      </c>
      <c r="BO4" s="7">
        <f>SUM($B$4:Q4)</f>
        <v>31.25</v>
      </c>
      <c r="BP4" s="7">
        <f>SUM($B$4:R4)</f>
        <v>32.25</v>
      </c>
      <c r="BQ4" s="7">
        <f>SUM($B$4:S4)</f>
        <v>35.25</v>
      </c>
      <c r="BR4" s="7">
        <f>SUM($B$4:T4)</f>
        <v>35.25</v>
      </c>
      <c r="BS4" s="7">
        <f>SUM($B$4:U4)</f>
        <v>34.25</v>
      </c>
      <c r="BT4" s="7">
        <f>SUM($B$4:V4)</f>
        <v>36.25</v>
      </c>
      <c r="BU4" s="7">
        <f>SUM($W$4:W4)</f>
        <v>36.25</v>
      </c>
      <c r="BV4">
        <f>BT4+X4</f>
        <v>36.369999999999997</v>
      </c>
      <c r="BW4">
        <f>SUM($BV$4:BV4)</f>
        <v>36.369999999999997</v>
      </c>
    </row>
    <row r="5" spans="1:75" x14ac:dyDescent="0.35">
      <c r="A5" s="70" t="s">
        <v>23</v>
      </c>
      <c r="B5" s="16"/>
      <c r="C5" s="16"/>
      <c r="D5" s="16"/>
      <c r="E5" s="16"/>
      <c r="F5" s="16"/>
      <c r="G5" s="16"/>
      <c r="H5" s="176"/>
      <c r="I5" s="16"/>
      <c r="J5" s="176"/>
      <c r="K5" s="16"/>
      <c r="L5" s="16"/>
      <c r="M5" s="16"/>
      <c r="N5" s="176"/>
      <c r="O5" s="16"/>
      <c r="P5" s="16"/>
      <c r="Q5" s="16"/>
      <c r="R5" s="16"/>
      <c r="S5" s="16"/>
      <c r="T5" s="16"/>
      <c r="U5" s="16"/>
      <c r="V5" s="17"/>
      <c r="W5" s="24">
        <f>SUM(B5:V5)</f>
        <v>0</v>
      </c>
      <c r="X5" s="17">
        <f t="shared" si="1"/>
        <v>0</v>
      </c>
      <c r="Y5" s="7">
        <f t="shared" si="2"/>
        <v>0</v>
      </c>
      <c r="Z5" s="18"/>
      <c r="AA5" s="23"/>
      <c r="AB5" s="7">
        <f t="shared" si="3"/>
        <v>0</v>
      </c>
      <c r="AC5" s="7" t="s">
        <v>23</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f t="shared" si="5"/>
        <v>0</v>
      </c>
      <c r="AV5" s="7">
        <f t="shared" si="5"/>
        <v>0</v>
      </c>
      <c r="AW5" s="7">
        <f t="shared" si="5"/>
        <v>0</v>
      </c>
      <c r="AX5" s="7"/>
      <c r="AY5" s="7"/>
      <c r="AZ5" s="7">
        <f>SUM($B$5:B5)</f>
        <v>0</v>
      </c>
      <c r="BA5" s="7">
        <f>SUM($B$5:C5)</f>
        <v>0</v>
      </c>
      <c r="BB5" s="7">
        <f>SUM($B$5:D5)</f>
        <v>0</v>
      </c>
      <c r="BC5" s="7">
        <f>SUM($B$5:E5)</f>
        <v>0</v>
      </c>
      <c r="BD5" s="7">
        <f>SUM($B$5:F5)</f>
        <v>0</v>
      </c>
      <c r="BE5" s="7">
        <f>SUM($B$5:G5)</f>
        <v>0</v>
      </c>
      <c r="BF5" s="7">
        <f>SUM($B$5:H5)</f>
        <v>0</v>
      </c>
      <c r="BG5" s="7">
        <f>SUM($B$5:I5)</f>
        <v>0</v>
      </c>
      <c r="BH5" s="7">
        <f>SUM($B$5:J5)</f>
        <v>0</v>
      </c>
      <c r="BI5" s="7">
        <f>SUM($B$5:K5)</f>
        <v>0</v>
      </c>
      <c r="BJ5" s="7">
        <f>SUM($B$5:L5)</f>
        <v>0</v>
      </c>
      <c r="BK5" s="7">
        <f>SUM($B$5:M5)</f>
        <v>0</v>
      </c>
      <c r="BL5" s="7">
        <f>SUM($B$5:Q5)</f>
        <v>0</v>
      </c>
      <c r="BM5" s="7">
        <f>SUM($B$5:N5)</f>
        <v>0</v>
      </c>
      <c r="BN5" s="7">
        <f>SUM($B$5:O5)</f>
        <v>0</v>
      </c>
      <c r="BO5" s="7">
        <f>SUM($B$5:P5)</f>
        <v>0</v>
      </c>
      <c r="BP5" s="7">
        <f>SUM($B$5:R5)</f>
        <v>0</v>
      </c>
      <c r="BQ5" s="7">
        <f>SUM($B$5:S5)</f>
        <v>0</v>
      </c>
      <c r="BR5" s="7">
        <f>SUM($B$5:T5)</f>
        <v>0</v>
      </c>
      <c r="BS5" s="7">
        <f>SUM($B$5:V5)</f>
        <v>0</v>
      </c>
      <c r="BT5" s="7">
        <f>SUM($B$5:W5)</f>
        <v>0</v>
      </c>
      <c r="BU5" s="7">
        <f>SUM($W$4:W5)</f>
        <v>36.25</v>
      </c>
      <c r="BV5">
        <f t="shared" ref="BV5:BV10" si="6">BT5+X5</f>
        <v>0</v>
      </c>
      <c r="BW5">
        <f>SUM($BV$4:BV5)</f>
        <v>36.369999999999997</v>
      </c>
    </row>
    <row r="6" spans="1:75" x14ac:dyDescent="0.35">
      <c r="A6" s="71" t="s">
        <v>24</v>
      </c>
      <c r="B6" s="16"/>
      <c r="C6" s="16"/>
      <c r="D6" s="16"/>
      <c r="E6" s="16"/>
      <c r="F6" s="176"/>
      <c r="G6" s="16"/>
      <c r="H6" s="16"/>
      <c r="I6" s="16"/>
      <c r="J6" s="16"/>
      <c r="K6" s="16"/>
      <c r="L6" s="16"/>
      <c r="M6" s="16"/>
      <c r="N6" s="16"/>
      <c r="O6" s="176"/>
      <c r="P6" s="16"/>
      <c r="Q6" s="16"/>
      <c r="R6" s="16"/>
      <c r="S6" s="16"/>
      <c r="T6" s="16"/>
      <c r="U6" s="16"/>
      <c r="V6" s="17"/>
      <c r="W6" s="24">
        <f t="shared" ref="W6:W10" si="7">SUM(B6:U6)</f>
        <v>0</v>
      </c>
      <c r="X6" s="17">
        <f t="shared" si="1"/>
        <v>0</v>
      </c>
      <c r="Y6" s="7">
        <f t="shared" si="2"/>
        <v>0</v>
      </c>
      <c r="Z6" s="18"/>
      <c r="AA6" s="23"/>
      <c r="AB6" s="7">
        <f t="shared" si="3"/>
        <v>0</v>
      </c>
      <c r="AC6" s="7" t="s">
        <v>24</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f t="shared" si="5"/>
        <v>0</v>
      </c>
      <c r="AV6" s="7">
        <f t="shared" si="5"/>
        <v>0</v>
      </c>
      <c r="AW6" s="7">
        <f t="shared" si="5"/>
        <v>0</v>
      </c>
      <c r="AX6" s="7"/>
      <c r="AY6" s="7"/>
      <c r="AZ6" s="7">
        <f>SUM($B$6:B6)</f>
        <v>0</v>
      </c>
      <c r="BA6" s="7">
        <f>SUM($B$6:C6)</f>
        <v>0</v>
      </c>
      <c r="BB6" s="7">
        <f>SUM($B$6:D6)</f>
        <v>0</v>
      </c>
      <c r="BC6" s="7">
        <f>SUM($B$6:E6)</f>
        <v>0</v>
      </c>
      <c r="BD6" s="7">
        <f>SUM($B$6:F6)</f>
        <v>0</v>
      </c>
      <c r="BE6" s="7">
        <f>SUM($B$6:G6)</f>
        <v>0</v>
      </c>
      <c r="BF6" s="7">
        <f>SUM($B$6:H6)</f>
        <v>0</v>
      </c>
      <c r="BG6" s="7">
        <f>SUM($B$6:I6)</f>
        <v>0</v>
      </c>
      <c r="BH6" s="7">
        <f>SUM($B$6:J6)</f>
        <v>0</v>
      </c>
      <c r="BI6" s="7">
        <f>SUM($B$6:K6)</f>
        <v>0</v>
      </c>
      <c r="BJ6" s="7">
        <f>SUM($B$6:L6)</f>
        <v>0</v>
      </c>
      <c r="BK6" s="7">
        <f>SUM($B$6:M6)</f>
        <v>0</v>
      </c>
      <c r="BL6" s="7">
        <f>SUM($B$6:Q6)</f>
        <v>0</v>
      </c>
      <c r="BM6" s="7">
        <f>SUM($B$6:N6)</f>
        <v>0</v>
      </c>
      <c r="BN6" s="7">
        <f>SUM($B$6:O6)</f>
        <v>0</v>
      </c>
      <c r="BO6" s="7">
        <f>SUM($B$6:P6)</f>
        <v>0</v>
      </c>
      <c r="BP6" s="7">
        <f>SUM($B$6:R6)</f>
        <v>0</v>
      </c>
      <c r="BQ6" s="7">
        <f>SUM($B$6:S6)</f>
        <v>0</v>
      </c>
      <c r="BR6" s="7">
        <f>SUM($B$6:T6)</f>
        <v>0</v>
      </c>
      <c r="BS6" s="7">
        <f>SUM($B$6:V6)</f>
        <v>0</v>
      </c>
      <c r="BT6" s="7">
        <f>SUM($B$6:W6)</f>
        <v>0</v>
      </c>
      <c r="BU6" s="7">
        <f>SUM($W$4:W6)</f>
        <v>36.25</v>
      </c>
      <c r="BV6">
        <f t="shared" si="6"/>
        <v>0</v>
      </c>
      <c r="BW6">
        <f>SUM($BV$4:BV6)</f>
        <v>36.369999999999997</v>
      </c>
    </row>
    <row r="7" spans="1:75" x14ac:dyDescent="0.35">
      <c r="A7" s="68" t="s">
        <v>25</v>
      </c>
      <c r="B7" s="16"/>
      <c r="C7" s="16"/>
      <c r="D7" s="176"/>
      <c r="E7" s="16"/>
      <c r="F7" s="16"/>
      <c r="G7" s="16"/>
      <c r="H7" s="16"/>
      <c r="I7" s="16"/>
      <c r="J7" s="176"/>
      <c r="K7" s="16"/>
      <c r="L7" s="176"/>
      <c r="M7" s="16"/>
      <c r="N7" s="176"/>
      <c r="O7" s="16"/>
      <c r="P7" s="16"/>
      <c r="Q7" s="16"/>
      <c r="R7" s="16"/>
      <c r="S7" s="16"/>
      <c r="T7" s="16"/>
      <c r="U7" s="176"/>
      <c r="V7" s="17"/>
      <c r="W7" s="24">
        <f t="shared" si="7"/>
        <v>0</v>
      </c>
      <c r="X7" s="17">
        <f t="shared" si="1"/>
        <v>0</v>
      </c>
      <c r="Y7" s="7">
        <f t="shared" si="2"/>
        <v>0</v>
      </c>
      <c r="Z7" s="18"/>
      <c r="AA7" s="23"/>
      <c r="AB7" s="7">
        <f t="shared" si="3"/>
        <v>0</v>
      </c>
      <c r="AC7" s="7" t="s">
        <v>25</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f t="shared" si="5"/>
        <v>0</v>
      </c>
      <c r="AV7" s="7">
        <f t="shared" si="5"/>
        <v>0</v>
      </c>
      <c r="AW7" s="7">
        <f t="shared" si="5"/>
        <v>0</v>
      </c>
      <c r="AX7" s="7"/>
      <c r="AY7" s="7"/>
      <c r="AZ7" s="7">
        <f>SUM($B$7:B7)</f>
        <v>0</v>
      </c>
      <c r="BA7" s="7">
        <f>SUM($B$7:C7)</f>
        <v>0</v>
      </c>
      <c r="BB7" s="7">
        <f>SUM($B$7:D7)</f>
        <v>0</v>
      </c>
      <c r="BC7" s="7">
        <f>SUM($B$7:E7)</f>
        <v>0</v>
      </c>
      <c r="BD7" s="7">
        <f>SUM($B$7:F7)</f>
        <v>0</v>
      </c>
      <c r="BE7" s="7">
        <f>SUM($B$7:G7)</f>
        <v>0</v>
      </c>
      <c r="BF7" s="7">
        <f>SUM($B$7:H7)</f>
        <v>0</v>
      </c>
      <c r="BG7" s="7">
        <f>SUM($B$7:I7)</f>
        <v>0</v>
      </c>
      <c r="BH7" s="7">
        <f>SUM($B$7:J7)</f>
        <v>0</v>
      </c>
      <c r="BI7" s="7">
        <f>SUM($B$7:K7)</f>
        <v>0</v>
      </c>
      <c r="BJ7" s="7">
        <f>SUM($B$7:L7)</f>
        <v>0</v>
      </c>
      <c r="BK7" s="7">
        <f>SUM($B$7:M7)</f>
        <v>0</v>
      </c>
      <c r="BL7" s="7">
        <f>SUM($B$7:Q7)</f>
        <v>0</v>
      </c>
      <c r="BM7" s="7">
        <f>SUM($B$7:N7)</f>
        <v>0</v>
      </c>
      <c r="BN7" s="7">
        <f>SUM($B$7:O7)</f>
        <v>0</v>
      </c>
      <c r="BO7" s="7">
        <f>SUM($B$7:P7)</f>
        <v>0</v>
      </c>
      <c r="BP7" s="7">
        <f>SUM($B$7:R7)</f>
        <v>0</v>
      </c>
      <c r="BQ7" s="7">
        <f>SUM($B$7:S7)</f>
        <v>0</v>
      </c>
      <c r="BR7" s="7">
        <f>SUM($B$7:T7)</f>
        <v>0</v>
      </c>
      <c r="BS7" s="7">
        <f>SUM($B$7:V7)</f>
        <v>0</v>
      </c>
      <c r="BT7" s="7">
        <f>SUM($B$7:W7)</f>
        <v>0</v>
      </c>
      <c r="BU7" s="7">
        <f>SUM($W$4:W7)</f>
        <v>36.25</v>
      </c>
      <c r="BV7">
        <f t="shared" si="6"/>
        <v>0</v>
      </c>
      <c r="BW7">
        <f>SUM($BV$4:BV7)</f>
        <v>36.369999999999997</v>
      </c>
    </row>
    <row r="8" spans="1:75" x14ac:dyDescent="0.35">
      <c r="A8" s="72" t="s">
        <v>26</v>
      </c>
      <c r="B8" s="16"/>
      <c r="C8" s="16"/>
      <c r="D8" s="176"/>
      <c r="E8" s="16"/>
      <c r="F8" s="16"/>
      <c r="G8" s="16"/>
      <c r="H8" s="16"/>
      <c r="I8" s="16"/>
      <c r="J8" s="16"/>
      <c r="K8" s="16"/>
      <c r="L8" s="176"/>
      <c r="M8" s="16"/>
      <c r="N8" s="16"/>
      <c r="O8" s="16"/>
      <c r="P8" s="16"/>
      <c r="Q8" s="16"/>
      <c r="R8" s="16"/>
      <c r="S8" s="16"/>
      <c r="T8" s="16"/>
      <c r="U8" s="16"/>
      <c r="V8" s="17"/>
      <c r="W8" s="24">
        <f t="shared" si="7"/>
        <v>0</v>
      </c>
      <c r="X8" s="17">
        <f t="shared" si="1"/>
        <v>0</v>
      </c>
      <c r="Y8" s="7">
        <f t="shared" si="2"/>
        <v>0</v>
      </c>
      <c r="Z8" s="18"/>
      <c r="AA8" s="23"/>
      <c r="AB8" s="7">
        <f t="shared" si="3"/>
        <v>0</v>
      </c>
      <c r="AC8" s="7" t="s">
        <v>26</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f t="shared" si="5"/>
        <v>0</v>
      </c>
      <c r="AV8" s="7">
        <f t="shared" si="5"/>
        <v>0</v>
      </c>
      <c r="AW8" s="7">
        <f t="shared" si="5"/>
        <v>0</v>
      </c>
      <c r="AX8" s="7"/>
      <c r="AY8" s="7"/>
      <c r="AZ8" s="7">
        <f>SUM($B$8:B8)</f>
        <v>0</v>
      </c>
      <c r="BA8" s="7">
        <f>SUM($B$8:C8)</f>
        <v>0</v>
      </c>
      <c r="BB8" s="7">
        <f>SUM($B$8:D8)</f>
        <v>0</v>
      </c>
      <c r="BC8" s="7">
        <f>SUM($B$8:E8)</f>
        <v>0</v>
      </c>
      <c r="BD8" s="7">
        <f>SUM($B$8:F8)</f>
        <v>0</v>
      </c>
      <c r="BE8" s="7">
        <f>SUM($B$8:G8)</f>
        <v>0</v>
      </c>
      <c r="BF8" s="7">
        <f>SUM($B$8:H8)</f>
        <v>0</v>
      </c>
      <c r="BG8" s="7">
        <f>SUM($B$8:I8)</f>
        <v>0</v>
      </c>
      <c r="BH8" s="7">
        <f>SUM($B$8:J8)</f>
        <v>0</v>
      </c>
      <c r="BI8" s="7">
        <f>SUM($B$8:K8)</f>
        <v>0</v>
      </c>
      <c r="BJ8" s="7">
        <f>SUM($B$8:L8)</f>
        <v>0</v>
      </c>
      <c r="BK8" s="7">
        <f>SUM($B$8:M8)</f>
        <v>0</v>
      </c>
      <c r="BL8" s="7">
        <f>SUM($B$8:Q8)</f>
        <v>0</v>
      </c>
      <c r="BM8" s="7">
        <f>SUM($B$8:N8)</f>
        <v>0</v>
      </c>
      <c r="BN8" s="7">
        <f>SUM($B$8:O8)</f>
        <v>0</v>
      </c>
      <c r="BO8" s="7">
        <f>SUM($B$8:P8)</f>
        <v>0</v>
      </c>
      <c r="BP8" s="7">
        <f>SUM($B$8:R8)</f>
        <v>0</v>
      </c>
      <c r="BQ8" s="7">
        <f>SUM($B$8:S8)</f>
        <v>0</v>
      </c>
      <c r="BR8" s="7">
        <f>SUM($B$8:T8)</f>
        <v>0</v>
      </c>
      <c r="BS8" s="7">
        <f>SUM($B$8:V8)</f>
        <v>0</v>
      </c>
      <c r="BT8" s="7">
        <f>SUM($B$8:W8)</f>
        <v>0</v>
      </c>
      <c r="BU8" s="7">
        <f>SUM($W$4:W8)</f>
        <v>36.25</v>
      </c>
      <c r="BV8">
        <f t="shared" si="6"/>
        <v>0</v>
      </c>
      <c r="BW8">
        <f>SUM($BV$4:BV8)</f>
        <v>36.369999999999997</v>
      </c>
    </row>
    <row r="9" spans="1:75" x14ac:dyDescent="0.35">
      <c r="A9" s="73" t="s">
        <v>27</v>
      </c>
      <c r="B9" s="172"/>
      <c r="C9" s="16"/>
      <c r="D9" s="176"/>
      <c r="E9" s="16"/>
      <c r="F9" s="171"/>
      <c r="G9" s="16"/>
      <c r="H9" s="16"/>
      <c r="I9" s="16"/>
      <c r="J9" s="16"/>
      <c r="K9" s="16"/>
      <c r="L9" s="176"/>
      <c r="M9" s="16"/>
      <c r="N9" s="16"/>
      <c r="O9" s="16"/>
      <c r="P9" s="16"/>
      <c r="Q9" s="16"/>
      <c r="R9" s="16"/>
      <c r="S9" s="16"/>
      <c r="T9" s="16"/>
      <c r="U9" s="16"/>
      <c r="V9" s="17"/>
      <c r="W9" s="24">
        <f t="shared" si="7"/>
        <v>0</v>
      </c>
      <c r="X9" s="17">
        <f t="shared" si="1"/>
        <v>0</v>
      </c>
      <c r="Y9" s="7">
        <f t="shared" si="2"/>
        <v>0</v>
      </c>
      <c r="Z9" s="18"/>
      <c r="AA9" s="23"/>
      <c r="AB9" s="7">
        <f t="shared" si="3"/>
        <v>0</v>
      </c>
      <c r="AC9" s="7" t="s">
        <v>27</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f t="shared" si="5"/>
        <v>0</v>
      </c>
      <c r="AV9" s="7">
        <f t="shared" si="5"/>
        <v>0</v>
      </c>
      <c r="AW9" s="7">
        <f t="shared" si="5"/>
        <v>0</v>
      </c>
      <c r="AX9" s="7"/>
      <c r="AY9" s="7"/>
      <c r="AZ9" s="7">
        <f>SUM($B$9:B9)</f>
        <v>0</v>
      </c>
      <c r="BA9" s="7">
        <f>SUM($B$9:C9)</f>
        <v>0</v>
      </c>
      <c r="BB9" s="7">
        <f>SUM($B$9:D9)</f>
        <v>0</v>
      </c>
      <c r="BC9" s="7">
        <f>SUM($B$9:E9)</f>
        <v>0</v>
      </c>
      <c r="BD9" s="7">
        <f>SUM($B$9:F9)</f>
        <v>0</v>
      </c>
      <c r="BE9" s="7">
        <f>SUM($B$9:G9)</f>
        <v>0</v>
      </c>
      <c r="BF9" s="7">
        <f>SUM($B$9:H9)</f>
        <v>0</v>
      </c>
      <c r="BG9" s="7">
        <f>SUM($B$9:I9)</f>
        <v>0</v>
      </c>
      <c r="BH9" s="7">
        <f>SUM($B$9:J9)</f>
        <v>0</v>
      </c>
      <c r="BI9" s="7">
        <f>SUM($B$9:K9)</f>
        <v>0</v>
      </c>
      <c r="BJ9" s="7">
        <f>SUM($B$9:L9)</f>
        <v>0</v>
      </c>
      <c r="BK9" s="7">
        <f>SUM($B$9:M9)</f>
        <v>0</v>
      </c>
      <c r="BL9" s="7">
        <f>SUM($B$9:Q9)</f>
        <v>0</v>
      </c>
      <c r="BM9" s="7">
        <f>SUM($B$9:N9)</f>
        <v>0</v>
      </c>
      <c r="BN9" s="7">
        <f>SUM($B$9:O9)</f>
        <v>0</v>
      </c>
      <c r="BO9" s="7">
        <f>SUM($B$9:P9)</f>
        <v>0</v>
      </c>
      <c r="BP9" s="7">
        <f>SUM($B$9:R9)</f>
        <v>0</v>
      </c>
      <c r="BQ9" s="7">
        <f>SUM($B$9:S9)</f>
        <v>0</v>
      </c>
      <c r="BR9" s="7">
        <f>SUM($B$9:T9)</f>
        <v>0</v>
      </c>
      <c r="BS9" s="7">
        <f>SUM($B$9:V9)</f>
        <v>0</v>
      </c>
      <c r="BT9" s="7">
        <f>SUM($B$9:W9)</f>
        <v>0</v>
      </c>
      <c r="BU9" s="7">
        <f>SUM($W$4:W9)</f>
        <v>36.25</v>
      </c>
      <c r="BV9">
        <f t="shared" si="6"/>
        <v>0</v>
      </c>
      <c r="BW9">
        <f>SUM($BV$4:BV9)</f>
        <v>36.369999999999997</v>
      </c>
    </row>
    <row r="10" spans="1:75" ht="29" x14ac:dyDescent="0.35">
      <c r="A10" s="74" t="s">
        <v>28</v>
      </c>
      <c r="B10" s="16"/>
      <c r="C10" s="16"/>
      <c r="D10" s="176"/>
      <c r="E10" s="16"/>
      <c r="F10" s="16"/>
      <c r="G10" s="16"/>
      <c r="H10" s="16"/>
      <c r="I10" s="16"/>
      <c r="J10" s="16"/>
      <c r="K10" s="16"/>
      <c r="L10" s="176"/>
      <c r="M10" s="16"/>
      <c r="N10" s="16"/>
      <c r="O10" s="16"/>
      <c r="P10" s="16"/>
      <c r="Q10" s="16"/>
      <c r="R10" s="16"/>
      <c r="S10" s="16"/>
      <c r="T10" s="16"/>
      <c r="U10" s="16"/>
      <c r="V10" s="17"/>
      <c r="W10" s="24">
        <f t="shared" si="7"/>
        <v>0</v>
      </c>
      <c r="X10" s="17">
        <f t="shared" si="1"/>
        <v>0</v>
      </c>
      <c r="Y10" s="7">
        <f t="shared" si="2"/>
        <v>0</v>
      </c>
      <c r="Z10" s="18"/>
      <c r="AA10" s="23" t="s">
        <v>177</v>
      </c>
      <c r="AB10" s="7">
        <f t="shared" si="3"/>
        <v>0</v>
      </c>
      <c r="AC10" s="7" t="s">
        <v>28</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f t="shared" si="5"/>
        <v>0</v>
      </c>
      <c r="AV10" s="7">
        <f t="shared" si="5"/>
        <v>0</v>
      </c>
      <c r="AW10" s="7">
        <f t="shared" si="5"/>
        <v>0</v>
      </c>
      <c r="AX10" s="7"/>
      <c r="AY10" s="7"/>
      <c r="AZ10" s="7">
        <f>SUM($B$10:B10)</f>
        <v>0</v>
      </c>
      <c r="BA10" s="7">
        <f>SUM($B$10:C10)</f>
        <v>0</v>
      </c>
      <c r="BB10" s="7">
        <f>SUM($B$10:D10)</f>
        <v>0</v>
      </c>
      <c r="BC10" s="7">
        <f>SUM($B$10:E10)</f>
        <v>0</v>
      </c>
      <c r="BD10" s="7">
        <f>SUM($B$10:F10)</f>
        <v>0</v>
      </c>
      <c r="BE10" s="7">
        <f>SUM($B$10:G10)</f>
        <v>0</v>
      </c>
      <c r="BF10" s="7">
        <f>SUM($B$10:H10)</f>
        <v>0</v>
      </c>
      <c r="BG10" s="7">
        <f>SUM($B$10:I10)</f>
        <v>0</v>
      </c>
      <c r="BH10" s="7">
        <f>SUM($B$10:J10)</f>
        <v>0</v>
      </c>
      <c r="BI10" s="7">
        <f>SUM($B$10:K10)</f>
        <v>0</v>
      </c>
      <c r="BJ10" s="7">
        <f>SUM($B$10:L10)</f>
        <v>0</v>
      </c>
      <c r="BK10" s="7">
        <f>SUM($B$10:M10)</f>
        <v>0</v>
      </c>
      <c r="BL10" s="7">
        <f>SUM($B$10:Q10)</f>
        <v>0</v>
      </c>
      <c r="BM10" s="7">
        <f>SUM($B$10:N10)</f>
        <v>0</v>
      </c>
      <c r="BN10" s="7">
        <f>SUM($B$10:O10)</f>
        <v>0</v>
      </c>
      <c r="BO10" s="7">
        <f>SUM($B$10:P10)</f>
        <v>0</v>
      </c>
      <c r="BP10" s="7">
        <f>SUM($B$10:R10)</f>
        <v>0</v>
      </c>
      <c r="BQ10" s="7">
        <f>SUM($B$10:S10)</f>
        <v>0</v>
      </c>
      <c r="BR10" s="7">
        <f>SUM($B$10:T10)</f>
        <v>0</v>
      </c>
      <c r="BS10" s="7">
        <f>SUM($B$10:V10)</f>
        <v>0</v>
      </c>
      <c r="BT10" s="7">
        <f>SUM($B$10:W10)</f>
        <v>0</v>
      </c>
      <c r="BU10" s="7">
        <f>SUM($W$4:W10)</f>
        <v>36.25</v>
      </c>
      <c r="BV10">
        <f t="shared" si="6"/>
        <v>0</v>
      </c>
      <c r="BW10">
        <f>SUM($BV$4:BV10)</f>
        <v>36.369999999999997</v>
      </c>
    </row>
    <row r="11" spans="1:75" x14ac:dyDescent="0.35">
      <c r="A11" s="21" t="s">
        <v>29</v>
      </c>
      <c r="B11" s="17">
        <f>SUM(B4:B10)</f>
        <v>2</v>
      </c>
      <c r="C11" s="17">
        <f>SUM(C4:C10)</f>
        <v>0</v>
      </c>
      <c r="D11" s="17">
        <f t="shared" ref="D11:J11" si="8">SUM(D4:D10)</f>
        <v>5</v>
      </c>
      <c r="E11" s="17">
        <f t="shared" si="8"/>
        <v>9</v>
      </c>
      <c r="F11" s="17">
        <f t="shared" si="8"/>
        <v>4</v>
      </c>
      <c r="G11" s="17">
        <f t="shared" si="8"/>
        <v>0</v>
      </c>
      <c r="H11" s="17">
        <f t="shared" si="8"/>
        <v>0</v>
      </c>
      <c r="I11" s="17">
        <f t="shared" si="8"/>
        <v>3</v>
      </c>
      <c r="J11" s="17">
        <f t="shared" si="8"/>
        <v>0</v>
      </c>
      <c r="K11" s="17">
        <f>SUM(K4:K10)</f>
        <v>0.75</v>
      </c>
      <c r="L11" s="17">
        <f t="shared" ref="L11:W11" si="9">SUM(L4:L10)</f>
        <v>2</v>
      </c>
      <c r="M11" s="17">
        <f t="shared" si="9"/>
        <v>1</v>
      </c>
      <c r="N11" s="17">
        <f t="shared" si="9"/>
        <v>2.5</v>
      </c>
      <c r="O11" s="17">
        <f t="shared" si="9"/>
        <v>2</v>
      </c>
      <c r="P11" s="17">
        <f t="shared" si="9"/>
        <v>0</v>
      </c>
      <c r="Q11" s="17">
        <f>SUM(Q4:Q10)</f>
        <v>0</v>
      </c>
      <c r="R11" s="17">
        <f t="shared" si="9"/>
        <v>1</v>
      </c>
      <c r="S11" s="17">
        <f t="shared" si="9"/>
        <v>3</v>
      </c>
      <c r="T11" s="17">
        <f t="shared" si="9"/>
        <v>0</v>
      </c>
      <c r="U11" s="17">
        <f t="shared" ref="U11" si="10">SUM(U4:U10)</f>
        <v>-1</v>
      </c>
      <c r="V11" s="17">
        <f>SUM(V4:V10)</f>
        <v>2</v>
      </c>
      <c r="W11" s="29">
        <f t="shared" si="9"/>
        <v>36.25</v>
      </c>
      <c r="X11" s="17"/>
      <c r="Y11" s="7">
        <f>SUM(Y4:Y10)</f>
        <v>36.369999999999997</v>
      </c>
      <c r="Z11" s="18" t="s">
        <v>172</v>
      </c>
      <c r="AA11" s="23"/>
      <c r="AB11" s="7"/>
      <c r="AC11" s="7"/>
      <c r="AD11" s="7" t="str">
        <f>TEXT(COUNTIF(AD4:AD10, "&gt;0") / 7, "0%")</f>
        <v>14%</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row>
    <row r="12" spans="1:75" x14ac:dyDescent="0.35">
      <c r="A12" s="21" t="s">
        <v>30</v>
      </c>
      <c r="B12" s="17">
        <f>B11</f>
        <v>2</v>
      </c>
      <c r="C12" s="17">
        <f t="shared" ref="C12:T12" si="11">C11</f>
        <v>0</v>
      </c>
      <c r="D12" s="17">
        <f t="shared" si="11"/>
        <v>5</v>
      </c>
      <c r="E12" s="17">
        <f t="shared" si="11"/>
        <v>9</v>
      </c>
      <c r="F12" s="17">
        <f t="shared" si="11"/>
        <v>4</v>
      </c>
      <c r="G12" s="17">
        <f t="shared" si="11"/>
        <v>0</v>
      </c>
      <c r="H12" s="17">
        <f t="shared" si="11"/>
        <v>0</v>
      </c>
      <c r="I12" s="17">
        <f t="shared" si="11"/>
        <v>3</v>
      </c>
      <c r="J12" s="17">
        <f t="shared" si="11"/>
        <v>0</v>
      </c>
      <c r="K12" s="17">
        <f>K11</f>
        <v>0.75</v>
      </c>
      <c r="L12" s="17">
        <f t="shared" si="11"/>
        <v>2</v>
      </c>
      <c r="M12" s="17">
        <f t="shared" si="11"/>
        <v>1</v>
      </c>
      <c r="N12" s="17">
        <f t="shared" si="11"/>
        <v>2.5</v>
      </c>
      <c r="O12" s="17">
        <f t="shared" si="11"/>
        <v>2</v>
      </c>
      <c r="P12" s="17">
        <f t="shared" si="11"/>
        <v>0</v>
      </c>
      <c r="Q12" s="17">
        <f>Q11</f>
        <v>0</v>
      </c>
      <c r="R12" s="17">
        <f t="shared" si="11"/>
        <v>1</v>
      </c>
      <c r="S12" s="17">
        <f t="shared" si="11"/>
        <v>3</v>
      </c>
      <c r="T12" s="17">
        <f t="shared" si="11"/>
        <v>0</v>
      </c>
      <c r="U12" s="17">
        <f t="shared" ref="U12" si="12">U11</f>
        <v>-1</v>
      </c>
      <c r="V12" s="17">
        <f>V11</f>
        <v>2</v>
      </c>
      <c r="W12" s="17">
        <f>W11</f>
        <v>36.25</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row>
    <row r="13" spans="1:75" x14ac:dyDescent="0.35">
      <c r="A13" s="21" t="s">
        <v>110</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cm="1">
        <f t="array" ref="S13">IF(COUNTIF(AU4:AU10,0)=0,
    LOOKUP(2,1/(AU4:AU10&lt;&gt;""),AU4:AU10),
    MATCH(0,INDEX(AU4:AU10,MAX(ROW(AU4:AU10))-ROW(AU4:AU10)+1),0)-1
)</f>
        <v>0</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row>
    <row r="14" spans="1:75" x14ac:dyDescent="0.35">
      <c r="A14" s="21" t="s">
        <v>99</v>
      </c>
      <c r="B14" s="17">
        <f t="shared" ref="B14:U14" si="13">B12</f>
        <v>2</v>
      </c>
      <c r="C14" s="17">
        <f t="shared" si="13"/>
        <v>0</v>
      </c>
      <c r="D14" s="17">
        <f t="shared" si="13"/>
        <v>5</v>
      </c>
      <c r="E14" s="17">
        <f t="shared" si="13"/>
        <v>9</v>
      </c>
      <c r="F14" s="17">
        <f t="shared" si="13"/>
        <v>4</v>
      </c>
      <c r="G14" s="17">
        <f t="shared" si="13"/>
        <v>0</v>
      </c>
      <c r="H14" s="17">
        <f t="shared" si="13"/>
        <v>0</v>
      </c>
      <c r="I14" s="17">
        <f t="shared" si="13"/>
        <v>3</v>
      </c>
      <c r="J14" s="17">
        <f t="shared" si="13"/>
        <v>0</v>
      </c>
      <c r="K14" s="17">
        <f t="shared" si="13"/>
        <v>0.75</v>
      </c>
      <c r="L14" s="17">
        <f t="shared" si="13"/>
        <v>2</v>
      </c>
      <c r="M14" s="17">
        <f t="shared" si="13"/>
        <v>1</v>
      </c>
      <c r="N14" s="17">
        <f t="shared" si="13"/>
        <v>2.5</v>
      </c>
      <c r="O14" s="17">
        <f t="shared" si="13"/>
        <v>2</v>
      </c>
      <c r="P14" s="17">
        <f t="shared" si="13"/>
        <v>0</v>
      </c>
      <c r="Q14" s="17">
        <f t="shared" si="13"/>
        <v>0</v>
      </c>
      <c r="R14" s="17">
        <f t="shared" si="13"/>
        <v>1</v>
      </c>
      <c r="S14" s="17">
        <f t="shared" si="13"/>
        <v>3</v>
      </c>
      <c r="T14" s="17">
        <f t="shared" si="13"/>
        <v>0</v>
      </c>
      <c r="U14" s="17">
        <f t="shared" si="13"/>
        <v>-1</v>
      </c>
      <c r="V14" s="17">
        <f>V12</f>
        <v>2</v>
      </c>
      <c r="W14" s="17">
        <f>SUM(W11)</f>
        <v>36.25</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row>
    <row r="15" spans="1:75" x14ac:dyDescent="0.35">
      <c r="A15" s="21" t="s">
        <v>112</v>
      </c>
      <c r="B15" s="173">
        <f>COUNTIF(B4:B10, "&gt;0") / 7</f>
        <v>0.14285714285714285</v>
      </c>
      <c r="C15" s="173">
        <f t="shared" ref="C15:O15" si="14">COUNTIF(C4:C10, "&gt;0") / 7</f>
        <v>0</v>
      </c>
      <c r="D15" s="173">
        <f t="shared" si="14"/>
        <v>0.14285714285714285</v>
      </c>
      <c r="E15" s="173">
        <f t="shared" si="14"/>
        <v>0.14285714285714285</v>
      </c>
      <c r="F15" s="173">
        <f t="shared" si="14"/>
        <v>0.14285714285714285</v>
      </c>
      <c r="G15" s="173">
        <f t="shared" si="14"/>
        <v>0</v>
      </c>
      <c r="H15" s="173">
        <f t="shared" si="14"/>
        <v>0</v>
      </c>
      <c r="I15" s="173">
        <f t="shared" si="14"/>
        <v>0.14285714285714285</v>
      </c>
      <c r="J15" s="173">
        <f t="shared" si="14"/>
        <v>0</v>
      </c>
      <c r="K15" s="173">
        <f t="shared" si="14"/>
        <v>0.14285714285714285</v>
      </c>
      <c r="L15" s="173">
        <f t="shared" si="14"/>
        <v>0.14285714285714285</v>
      </c>
      <c r="M15" s="173">
        <f t="shared" si="14"/>
        <v>0.14285714285714285</v>
      </c>
      <c r="N15" s="173">
        <f t="shared" si="14"/>
        <v>0.14285714285714285</v>
      </c>
      <c r="O15" s="173">
        <f t="shared" si="14"/>
        <v>0.14285714285714285</v>
      </c>
      <c r="P15" s="17"/>
      <c r="Q15" s="17"/>
      <c r="R15" s="17"/>
      <c r="S15" s="17"/>
      <c r="T15" s="17"/>
      <c r="U15" s="21" t="s">
        <v>31</v>
      </c>
      <c r="V15" s="17">
        <f>SUMIF(B11:V11,"&lt;0",B11:V11)</f>
        <v>-1</v>
      </c>
      <c r="W15" s="17">
        <f>SUM(C12:S12,V12)</f>
        <v>35.25</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c r="AZ15" s="7" t="s">
        <v>121</v>
      </c>
      <c r="BA15" s="7"/>
      <c r="BB15" s="7"/>
      <c r="BC15" s="7"/>
      <c r="BD15" s="7"/>
      <c r="BE15" s="7"/>
      <c r="BF15" s="7"/>
      <c r="BG15" s="7"/>
      <c r="BH15" s="7"/>
      <c r="BI15" s="7"/>
      <c r="BJ15" s="7"/>
      <c r="BK15" s="7"/>
      <c r="BL15" s="7"/>
      <c r="BM15" s="7"/>
      <c r="BN15" s="7"/>
      <c r="BO15" s="7"/>
      <c r="BP15" s="7"/>
      <c r="BQ15" s="7"/>
      <c r="BR15" s="7"/>
      <c r="BS15" s="7"/>
      <c r="BT15" s="7"/>
      <c r="BU15" s="7"/>
    </row>
    <row r="16" spans="1:75"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63</v>
      </c>
      <c r="AD16" s="7"/>
      <c r="AE16" s="7"/>
      <c r="AF16" s="7"/>
      <c r="AG16" s="7"/>
      <c r="AH16" s="7"/>
      <c r="AI16" s="7"/>
      <c r="AJ16" s="7"/>
      <c r="AK16" s="7"/>
      <c r="AL16" s="7"/>
      <c r="AM16" s="7"/>
      <c r="AN16" s="7"/>
      <c r="AO16" s="7"/>
      <c r="AP16" s="7"/>
      <c r="AQ16" s="7"/>
      <c r="AR16" s="7"/>
      <c r="AS16" s="7"/>
      <c r="AT16" s="7"/>
      <c r="AU16" s="7"/>
      <c r="AV16" s="7"/>
      <c r="AW16" s="7"/>
      <c r="AX16" s="7"/>
      <c r="AY16" s="7"/>
      <c r="AZ16" s="12"/>
      <c r="BA16" s="12"/>
      <c r="BB16" s="12"/>
      <c r="BC16" s="12"/>
      <c r="BD16" s="12"/>
      <c r="BE16" s="12"/>
      <c r="BF16" s="12"/>
      <c r="BG16" s="12"/>
      <c r="BH16" s="12"/>
      <c r="BI16" s="12"/>
      <c r="BJ16" s="12"/>
      <c r="BK16" s="12"/>
      <c r="BL16" s="12"/>
      <c r="BM16" s="12"/>
      <c r="BN16" s="12"/>
      <c r="BO16" s="12"/>
      <c r="BP16" s="12"/>
      <c r="BQ16" s="12"/>
      <c r="BR16" s="12"/>
      <c r="BS16" s="12"/>
      <c r="BT16" s="203"/>
      <c r="BU16" s="12"/>
    </row>
    <row r="17" spans="1:75" x14ac:dyDescent="0.35">
      <c r="A17" s="97" t="s">
        <v>32</v>
      </c>
      <c r="B17" s="27">
        <f>E3+1</f>
        <v>46034</v>
      </c>
      <c r="C17" s="27">
        <f>B17+6</f>
        <v>46040</v>
      </c>
      <c r="D17" s="7"/>
      <c r="E17" s="7"/>
      <c r="F17" s="7"/>
      <c r="G17" s="7"/>
      <c r="H17" s="7"/>
      <c r="I17" s="14" t="s">
        <v>132</v>
      </c>
      <c r="J17" s="14" t="s">
        <v>133</v>
      </c>
      <c r="K17" s="7" t="s">
        <v>134</v>
      </c>
      <c r="L17" s="7"/>
      <c r="M17" s="7"/>
      <c r="N17" s="7"/>
      <c r="O17" s="7"/>
      <c r="P17" s="7"/>
      <c r="Q17" s="14"/>
      <c r="R17" s="7"/>
      <c r="S17" s="7"/>
      <c r="T17" s="7"/>
      <c r="U17" s="7"/>
      <c r="V17" s="7"/>
      <c r="W17" s="7"/>
      <c r="X17" s="7"/>
      <c r="Y17" s="7"/>
      <c r="Z17" s="11"/>
      <c r="AA17" s="11"/>
      <c r="AB17" s="7"/>
      <c r="AC17" s="7" t="s">
        <v>109</v>
      </c>
      <c r="AD17" s="7"/>
      <c r="AE17" s="7"/>
      <c r="AF17" s="7"/>
      <c r="AG17" s="7"/>
      <c r="AH17" s="7"/>
      <c r="AI17" s="7"/>
      <c r="AJ17" s="7"/>
      <c r="AK17" s="7"/>
      <c r="AL17" s="7"/>
      <c r="AM17" s="7"/>
      <c r="AN17" s="7"/>
      <c r="AO17" s="7"/>
      <c r="AP17" s="7"/>
      <c r="AQ17" s="7"/>
      <c r="AR17" s="7"/>
      <c r="AS17" s="7"/>
      <c r="AT17" s="7"/>
      <c r="AU17" s="7"/>
      <c r="AV17" s="7"/>
      <c r="AW17" s="7"/>
      <c r="AX17" s="7"/>
      <c r="AY17" s="7"/>
      <c r="AZ17" s="10"/>
      <c r="BA17" s="10"/>
      <c r="BB17" s="10"/>
      <c r="BC17" s="10"/>
      <c r="BD17" s="10"/>
      <c r="BE17" s="10"/>
      <c r="BF17" s="10"/>
      <c r="BG17" s="10"/>
      <c r="BH17" s="10"/>
      <c r="BI17" s="10"/>
      <c r="BJ17" s="10"/>
      <c r="BK17" s="10"/>
      <c r="BL17" s="10"/>
      <c r="BM17" s="10"/>
      <c r="BN17" s="10"/>
      <c r="BO17" s="10"/>
      <c r="BP17" s="10"/>
      <c r="BQ17" s="10"/>
      <c r="BR17" s="10"/>
      <c r="BS17" s="10"/>
      <c r="BT17" s="10"/>
      <c r="BU17" s="199">
        <v>0</v>
      </c>
      <c r="BV17">
        <f t="shared" ref="BV5:BV66" si="15">BS17+X17</f>
        <v>0</v>
      </c>
      <c r="BW17">
        <v>0</v>
      </c>
    </row>
    <row r="18" spans="1:75" x14ac:dyDescent="0.35">
      <c r="A18" s="75" t="s">
        <v>22</v>
      </c>
      <c r="B18" s="7"/>
      <c r="C18" s="7"/>
      <c r="D18" s="7"/>
      <c r="E18" s="7"/>
      <c r="F18" s="7"/>
      <c r="G18" s="7"/>
      <c r="H18" s="7"/>
      <c r="I18" s="7"/>
      <c r="J18" s="7"/>
      <c r="K18" s="7"/>
      <c r="L18" s="7"/>
      <c r="M18" s="7"/>
      <c r="N18" s="7"/>
      <c r="O18" s="7"/>
      <c r="P18" s="7"/>
      <c r="Q18" s="14"/>
      <c r="R18" s="7"/>
      <c r="S18" s="7"/>
      <c r="T18" s="7"/>
      <c r="U18" s="7"/>
      <c r="V18" s="7"/>
      <c r="W18" s="7">
        <f>SUM(B18:V18)</f>
        <v>0</v>
      </c>
      <c r="X18" s="7">
        <f t="shared" ref="X18:X24" si="16">SUM(AD18:AW18)*0.1</f>
        <v>0</v>
      </c>
      <c r="Y18" s="7">
        <f t="shared" ref="Y18:Y24" si="17">W18+X18</f>
        <v>0</v>
      </c>
      <c r="Z18" s="30"/>
      <c r="AA18" s="26"/>
      <c r="AB18" s="7">
        <f>W18+AB4</f>
        <v>36.25</v>
      </c>
      <c r="AC18" s="7" t="s">
        <v>22</v>
      </c>
      <c r="AD18" s="7">
        <f t="shared" ref="AD18:AW18" si="18">IF(B18 &gt; 0, IF(AD10&gt; 0, AD10 + 1, 0.1), 0)</f>
        <v>0</v>
      </c>
      <c r="AE18" s="7">
        <f t="shared" si="18"/>
        <v>0</v>
      </c>
      <c r="AF18" s="7">
        <f t="shared" si="18"/>
        <v>0</v>
      </c>
      <c r="AG18" s="7">
        <f t="shared" si="18"/>
        <v>0</v>
      </c>
      <c r="AH18" s="7">
        <f t="shared" si="18"/>
        <v>0</v>
      </c>
      <c r="AI18" s="7">
        <f t="shared" si="18"/>
        <v>0</v>
      </c>
      <c r="AJ18" s="7">
        <f t="shared" si="18"/>
        <v>0</v>
      </c>
      <c r="AK18" s="7">
        <f t="shared" si="18"/>
        <v>0</v>
      </c>
      <c r="AL18" s="7">
        <f t="shared" si="18"/>
        <v>0</v>
      </c>
      <c r="AM18" s="7">
        <f t="shared" si="18"/>
        <v>0</v>
      </c>
      <c r="AN18" s="7">
        <f t="shared" si="18"/>
        <v>0</v>
      </c>
      <c r="AO18" s="7">
        <f t="shared" si="18"/>
        <v>0</v>
      </c>
      <c r="AP18" s="7">
        <f t="shared" si="18"/>
        <v>0</v>
      </c>
      <c r="AQ18" s="7">
        <f t="shared" si="18"/>
        <v>0</v>
      </c>
      <c r="AR18" s="7">
        <f t="shared" si="18"/>
        <v>0</v>
      </c>
      <c r="AS18" s="7">
        <f t="shared" si="18"/>
        <v>0</v>
      </c>
      <c r="AT18" s="7">
        <f t="shared" si="18"/>
        <v>0</v>
      </c>
      <c r="AU18" s="7">
        <f t="shared" si="18"/>
        <v>0</v>
      </c>
      <c r="AV18" s="7">
        <f t="shared" si="18"/>
        <v>0</v>
      </c>
      <c r="AW18" s="7">
        <f t="shared" si="18"/>
        <v>0</v>
      </c>
      <c r="AX18" s="7"/>
      <c r="AY18" s="7"/>
      <c r="AZ18" s="7">
        <f>SUM($B$18:B18)</f>
        <v>0</v>
      </c>
      <c r="BA18" s="7">
        <f>SUM($B$18:C18)</f>
        <v>0</v>
      </c>
      <c r="BB18" s="7">
        <f>SUM($B$18:D18)</f>
        <v>0</v>
      </c>
      <c r="BC18" s="7">
        <f>SUM($B$18:E18)</f>
        <v>0</v>
      </c>
      <c r="BD18" s="7">
        <f>SUM($B$18:F18)</f>
        <v>0</v>
      </c>
      <c r="BE18" s="7">
        <f>SUM($B$18:G18)</f>
        <v>0</v>
      </c>
      <c r="BF18" s="7">
        <f>SUM($B$18:H18)</f>
        <v>0</v>
      </c>
      <c r="BG18" s="7">
        <f>SUM($B$18:I18)</f>
        <v>0</v>
      </c>
      <c r="BH18" s="7">
        <f>SUM($B$18:J18)</f>
        <v>0</v>
      </c>
      <c r="BI18" s="7">
        <f>SUM($B$18:K18)</f>
        <v>0</v>
      </c>
      <c r="BJ18" s="7">
        <f>SUM($B$18:L18)</f>
        <v>0</v>
      </c>
      <c r="BK18" s="7">
        <f>SUM($B$18:M18)</f>
        <v>0</v>
      </c>
      <c r="BL18" s="7">
        <f>SUM($B$18:N18)</f>
        <v>0</v>
      </c>
      <c r="BM18" s="7">
        <f>SUM($B$18:O18)</f>
        <v>0</v>
      </c>
      <c r="BN18" s="7">
        <f>SUM($B$18:P18)</f>
        <v>0</v>
      </c>
      <c r="BO18" s="7">
        <f>SUM($B$18:Q18)</f>
        <v>0</v>
      </c>
      <c r="BP18" s="7">
        <f>SUM($B$18:R18)</f>
        <v>0</v>
      </c>
      <c r="BQ18" s="7">
        <f>SUM($B$18:S18)</f>
        <v>0</v>
      </c>
      <c r="BR18" s="7">
        <f>SUM($B$18:T18)</f>
        <v>0</v>
      </c>
      <c r="BS18" s="7">
        <f>SUM($B$18:U18)</f>
        <v>0</v>
      </c>
      <c r="BT18" s="7">
        <f>SUM($B$18:V18)</f>
        <v>0</v>
      </c>
      <c r="BU18" s="7">
        <f>SUM($BT$18:BT18)</f>
        <v>0</v>
      </c>
      <c r="BV18">
        <f>BT18+X18</f>
        <v>0</v>
      </c>
      <c r="BW18">
        <f>SUM($BV$18:BV18)</f>
        <v>0</v>
      </c>
    </row>
    <row r="19" spans="1:75" x14ac:dyDescent="0.35">
      <c r="A19" s="86" t="s">
        <v>23</v>
      </c>
      <c r="B19" s="7"/>
      <c r="C19" s="7"/>
      <c r="D19" s="7"/>
      <c r="E19" s="7"/>
      <c r="F19" s="7"/>
      <c r="G19" s="7"/>
      <c r="H19" s="7"/>
      <c r="I19" s="7"/>
      <c r="J19" s="7"/>
      <c r="K19" s="7"/>
      <c r="L19" s="7"/>
      <c r="M19" s="7"/>
      <c r="N19" s="7"/>
      <c r="O19" s="7"/>
      <c r="P19" s="7"/>
      <c r="Q19" s="7"/>
      <c r="R19" s="7"/>
      <c r="S19" s="7"/>
      <c r="T19" s="7"/>
      <c r="U19" s="7"/>
      <c r="V19" s="7"/>
      <c r="W19" s="7">
        <f t="shared" ref="W19:W24" si="19">SUM(B19:V19)</f>
        <v>0</v>
      </c>
      <c r="X19" s="7">
        <f t="shared" si="16"/>
        <v>0</v>
      </c>
      <c r="Y19" s="7">
        <f t="shared" si="17"/>
        <v>0</v>
      </c>
      <c r="Z19" s="30"/>
      <c r="AA19" s="26"/>
      <c r="AB19" s="7">
        <f>AB5+W19</f>
        <v>0</v>
      </c>
      <c r="AC19" s="7" t="s">
        <v>23</v>
      </c>
      <c r="AD19" s="7">
        <f t="shared" ref="AD19:AM24" si="20">IF(B19 &gt; 0, IF(AD18 &gt; 0, AD18 + 1, 0.1), 0)</f>
        <v>0</v>
      </c>
      <c r="AE19" s="7">
        <f t="shared" si="20"/>
        <v>0</v>
      </c>
      <c r="AF19" s="7">
        <f t="shared" si="20"/>
        <v>0</v>
      </c>
      <c r="AG19" s="7">
        <f t="shared" si="20"/>
        <v>0</v>
      </c>
      <c r="AH19" s="7">
        <f t="shared" si="20"/>
        <v>0</v>
      </c>
      <c r="AI19" s="7">
        <f t="shared" si="20"/>
        <v>0</v>
      </c>
      <c r="AJ19" s="7">
        <f t="shared" si="20"/>
        <v>0</v>
      </c>
      <c r="AK19" s="7">
        <f t="shared" si="20"/>
        <v>0</v>
      </c>
      <c r="AL19" s="7">
        <f t="shared" si="20"/>
        <v>0</v>
      </c>
      <c r="AM19" s="7">
        <f t="shared" si="20"/>
        <v>0</v>
      </c>
      <c r="AN19" s="7">
        <f t="shared" ref="AN19:AT24" si="21">IF(L19 &gt; 0, IF(AN18 &gt; 0, AN18 + 1, 0.1), 0)</f>
        <v>0</v>
      </c>
      <c r="AO19" s="7">
        <f t="shared" si="21"/>
        <v>0</v>
      </c>
      <c r="AP19" s="7">
        <f t="shared" si="21"/>
        <v>0</v>
      </c>
      <c r="AQ19" s="7">
        <f t="shared" si="21"/>
        <v>0</v>
      </c>
      <c r="AR19" s="7">
        <f t="shared" si="21"/>
        <v>0</v>
      </c>
      <c r="AS19" s="7">
        <f t="shared" si="21"/>
        <v>0</v>
      </c>
      <c r="AT19" s="7">
        <f t="shared" si="21"/>
        <v>0</v>
      </c>
      <c r="AU19" s="7">
        <f t="shared" ref="AU19:AU24" si="22">IF(S19 &gt; 0, IF(AU11&gt; 0, AU11 + 1, 0.1), 0)</f>
        <v>0</v>
      </c>
      <c r="AV19" s="7">
        <f t="shared" ref="AV19:AW24" si="23">IF(T19 &gt; 0, IF(AV18 &gt; 0, AV18 + 1, 0.1), 0)</f>
        <v>0</v>
      </c>
      <c r="AW19" s="7">
        <f t="shared" si="23"/>
        <v>0</v>
      </c>
      <c r="AX19" s="7"/>
      <c r="AY19" s="7"/>
      <c r="AZ19" s="7">
        <f>SUM($B$19:B19)</f>
        <v>0</v>
      </c>
      <c r="BA19" s="7">
        <f>SUM($B$19:C19)</f>
        <v>0</v>
      </c>
      <c r="BB19" s="7">
        <f>SUM($B$19:D19)</f>
        <v>0</v>
      </c>
      <c r="BC19" s="7">
        <f>SUM($B$19:E19)</f>
        <v>0</v>
      </c>
      <c r="BD19" s="7">
        <f>SUM($B$19:F19)</f>
        <v>0</v>
      </c>
      <c r="BE19" s="7">
        <f>SUM($B$19:G19)</f>
        <v>0</v>
      </c>
      <c r="BF19" s="7">
        <f>SUM($B$19:H19)</f>
        <v>0</v>
      </c>
      <c r="BG19" s="7">
        <f>SUM($B$19:I19)</f>
        <v>0</v>
      </c>
      <c r="BH19" s="7">
        <f>SUM($B$19:J19)</f>
        <v>0</v>
      </c>
      <c r="BI19" s="7">
        <f>SUM($B$19:K19)</f>
        <v>0</v>
      </c>
      <c r="BJ19" s="7">
        <f>SUM($B$19:L19)</f>
        <v>0</v>
      </c>
      <c r="BK19" s="7">
        <f>SUM($B$19:M19)</f>
        <v>0</v>
      </c>
      <c r="BL19" s="7">
        <f>SUM($B$19:N19)</f>
        <v>0</v>
      </c>
      <c r="BM19" s="7">
        <f>SUM($B$19:O19)</f>
        <v>0</v>
      </c>
      <c r="BN19" s="7">
        <f>SUM($B$19:P19)</f>
        <v>0</v>
      </c>
      <c r="BO19" s="7">
        <f>SUM($B$19:Q19)</f>
        <v>0</v>
      </c>
      <c r="BP19" s="7">
        <f>SUM($B$19:R19)</f>
        <v>0</v>
      </c>
      <c r="BQ19" s="7">
        <f>SUM($B$19:S19)</f>
        <v>0</v>
      </c>
      <c r="BR19" s="7">
        <f>SUM($B$19:T19)</f>
        <v>0</v>
      </c>
      <c r="BS19" s="7">
        <f>SUM($B$19:U19)</f>
        <v>0</v>
      </c>
      <c r="BT19" s="7">
        <f>SUM($B$19:V19)</f>
        <v>0</v>
      </c>
      <c r="BU19" s="7">
        <f>SUM($BT$18:BT19)</f>
        <v>0</v>
      </c>
      <c r="BV19">
        <f t="shared" ref="BV19:BV24" si="24">BT19+X19</f>
        <v>0</v>
      </c>
      <c r="BW19">
        <f>SUM($BV$18:BV19)</f>
        <v>0</v>
      </c>
    </row>
    <row r="20" spans="1:75" x14ac:dyDescent="0.35">
      <c r="A20" s="109" t="s">
        <v>24</v>
      </c>
      <c r="B20" s="7"/>
      <c r="C20" s="7"/>
      <c r="D20" s="7"/>
      <c r="E20" s="7"/>
      <c r="F20" s="7"/>
      <c r="G20" s="7"/>
      <c r="H20" s="7"/>
      <c r="I20" s="7"/>
      <c r="J20" s="7"/>
      <c r="K20" s="14"/>
      <c r="L20" s="22"/>
      <c r="M20" s="7"/>
      <c r="N20" s="7"/>
      <c r="O20" s="7"/>
      <c r="P20" s="7"/>
      <c r="Q20" s="7"/>
      <c r="R20" s="7"/>
      <c r="S20" s="7"/>
      <c r="T20" s="7"/>
      <c r="U20" s="7"/>
      <c r="V20" s="7"/>
      <c r="W20" s="7">
        <f t="shared" si="19"/>
        <v>0</v>
      </c>
      <c r="X20" s="7">
        <f t="shared" si="16"/>
        <v>0</v>
      </c>
      <c r="Y20" s="7">
        <f t="shared" si="17"/>
        <v>0</v>
      </c>
      <c r="Z20" s="30"/>
      <c r="AA20" s="26"/>
      <c r="AB20" s="7">
        <f>AB6+W20</f>
        <v>0</v>
      </c>
      <c r="AC20" s="7" t="s">
        <v>24</v>
      </c>
      <c r="AD20" s="7">
        <f t="shared" si="20"/>
        <v>0</v>
      </c>
      <c r="AE20" s="7">
        <f t="shared" si="20"/>
        <v>0</v>
      </c>
      <c r="AF20" s="7">
        <f t="shared" si="20"/>
        <v>0</v>
      </c>
      <c r="AG20" s="7">
        <f t="shared" si="20"/>
        <v>0</v>
      </c>
      <c r="AH20" s="7">
        <f t="shared" si="20"/>
        <v>0</v>
      </c>
      <c r="AI20" s="7">
        <f t="shared" si="20"/>
        <v>0</v>
      </c>
      <c r="AJ20" s="7">
        <f t="shared" si="20"/>
        <v>0</v>
      </c>
      <c r="AK20" s="7">
        <f t="shared" si="20"/>
        <v>0</v>
      </c>
      <c r="AL20" s="7">
        <f t="shared" si="20"/>
        <v>0</v>
      </c>
      <c r="AM20" s="7">
        <f t="shared" si="20"/>
        <v>0</v>
      </c>
      <c r="AN20" s="7">
        <f t="shared" si="21"/>
        <v>0</v>
      </c>
      <c r="AO20" s="7">
        <f t="shared" si="21"/>
        <v>0</v>
      </c>
      <c r="AP20" s="7">
        <f t="shared" si="21"/>
        <v>0</v>
      </c>
      <c r="AQ20" s="7">
        <f t="shared" si="21"/>
        <v>0</v>
      </c>
      <c r="AR20" s="7">
        <f t="shared" si="21"/>
        <v>0</v>
      </c>
      <c r="AS20" s="7">
        <f t="shared" si="21"/>
        <v>0</v>
      </c>
      <c r="AT20" s="7">
        <f t="shared" si="21"/>
        <v>0</v>
      </c>
      <c r="AU20" s="7">
        <f t="shared" si="22"/>
        <v>0</v>
      </c>
      <c r="AV20" s="7">
        <f t="shared" si="23"/>
        <v>0</v>
      </c>
      <c r="AW20" s="7">
        <f t="shared" si="23"/>
        <v>0</v>
      </c>
      <c r="AX20" s="7"/>
      <c r="AY20" s="7"/>
      <c r="AZ20" s="7">
        <f>SUM($B$20:B20)</f>
        <v>0</v>
      </c>
      <c r="BA20" s="7">
        <f>SUM($B$20:C20)</f>
        <v>0</v>
      </c>
      <c r="BB20" s="7">
        <f>SUM($B$20:D20)</f>
        <v>0</v>
      </c>
      <c r="BC20" s="7">
        <f>SUM($B$20:E20)</f>
        <v>0</v>
      </c>
      <c r="BD20" s="7">
        <f>SUM($B$20:F20)</f>
        <v>0</v>
      </c>
      <c r="BE20" s="7">
        <f>SUM($B$20:G20)</f>
        <v>0</v>
      </c>
      <c r="BF20" s="7">
        <f>SUM($B$20:H20)</f>
        <v>0</v>
      </c>
      <c r="BG20" s="7">
        <f>SUM($B$20:I20)</f>
        <v>0</v>
      </c>
      <c r="BH20" s="7">
        <f>SUM($B$20:J20)</f>
        <v>0</v>
      </c>
      <c r="BI20" s="7">
        <f>SUM($B$20:K20)</f>
        <v>0</v>
      </c>
      <c r="BJ20" s="7">
        <f>SUM($B$20:L20)</f>
        <v>0</v>
      </c>
      <c r="BK20" s="7">
        <f>SUM($B$20:M20)</f>
        <v>0</v>
      </c>
      <c r="BL20" s="7">
        <f>SUM($B$20:N20)</f>
        <v>0</v>
      </c>
      <c r="BM20" s="7">
        <f>SUM($B$20:O20)</f>
        <v>0</v>
      </c>
      <c r="BN20" s="7">
        <f>SUM($B$20:P20)</f>
        <v>0</v>
      </c>
      <c r="BO20" s="7">
        <f>SUM($B$20:Q20)</f>
        <v>0</v>
      </c>
      <c r="BP20" s="7">
        <f>SUM($B$20:R20)</f>
        <v>0</v>
      </c>
      <c r="BQ20" s="7">
        <f>SUM($B$20:S20)</f>
        <v>0</v>
      </c>
      <c r="BR20" s="7">
        <f>SUM($B$20:T20)</f>
        <v>0</v>
      </c>
      <c r="BS20" s="7">
        <f>SUM($B$20:U20)</f>
        <v>0</v>
      </c>
      <c r="BT20" s="7">
        <f>SUM($B$20:V20)</f>
        <v>0</v>
      </c>
      <c r="BU20" s="7">
        <f>SUM($BT$18:BT20)</f>
        <v>0</v>
      </c>
      <c r="BV20">
        <f t="shared" si="24"/>
        <v>0</v>
      </c>
      <c r="BW20">
        <f>SUM($BV$18:BV20)</f>
        <v>0</v>
      </c>
    </row>
    <row r="21" spans="1:75" x14ac:dyDescent="0.35">
      <c r="A21" s="120" t="s">
        <v>25</v>
      </c>
      <c r="B21" s="7"/>
      <c r="C21" s="7"/>
      <c r="D21" s="7"/>
      <c r="E21" s="7"/>
      <c r="F21" s="7"/>
      <c r="G21" s="7"/>
      <c r="H21" s="7"/>
      <c r="I21" s="7"/>
      <c r="J21" s="7"/>
      <c r="K21" s="7"/>
      <c r="L21" s="15"/>
      <c r="M21" s="7"/>
      <c r="N21" s="7"/>
      <c r="O21" s="7"/>
      <c r="P21" s="7"/>
      <c r="Q21" s="14"/>
      <c r="R21" s="7"/>
      <c r="S21" s="7"/>
      <c r="T21" s="7"/>
      <c r="U21" s="7"/>
      <c r="V21" s="7"/>
      <c r="W21" s="7">
        <f t="shared" si="19"/>
        <v>0</v>
      </c>
      <c r="X21" s="7">
        <f t="shared" si="16"/>
        <v>0</v>
      </c>
      <c r="Y21" s="7">
        <f t="shared" si="17"/>
        <v>0</v>
      </c>
      <c r="Z21" s="30"/>
      <c r="AA21" s="26"/>
      <c r="AB21" s="7">
        <f>AB7+W21</f>
        <v>0</v>
      </c>
      <c r="AC21" s="7" t="s">
        <v>25</v>
      </c>
      <c r="AD21" s="7">
        <f t="shared" si="20"/>
        <v>0</v>
      </c>
      <c r="AE21" s="7">
        <f t="shared" si="20"/>
        <v>0</v>
      </c>
      <c r="AF21" s="7">
        <f t="shared" si="20"/>
        <v>0</v>
      </c>
      <c r="AG21" s="7">
        <f t="shared" si="20"/>
        <v>0</v>
      </c>
      <c r="AH21" s="7">
        <f t="shared" si="20"/>
        <v>0</v>
      </c>
      <c r="AI21" s="7">
        <f t="shared" si="20"/>
        <v>0</v>
      </c>
      <c r="AJ21" s="7">
        <f t="shared" si="20"/>
        <v>0</v>
      </c>
      <c r="AK21" s="7">
        <f t="shared" si="20"/>
        <v>0</v>
      </c>
      <c r="AL21" s="7">
        <f t="shared" si="20"/>
        <v>0</v>
      </c>
      <c r="AM21" s="7">
        <f t="shared" si="20"/>
        <v>0</v>
      </c>
      <c r="AN21" s="7">
        <f t="shared" si="21"/>
        <v>0</v>
      </c>
      <c r="AO21" s="7">
        <f t="shared" si="21"/>
        <v>0</v>
      </c>
      <c r="AP21" s="7">
        <f t="shared" si="21"/>
        <v>0</v>
      </c>
      <c r="AQ21" s="7">
        <f t="shared" si="21"/>
        <v>0</v>
      </c>
      <c r="AR21" s="7">
        <f t="shared" si="21"/>
        <v>0</v>
      </c>
      <c r="AS21" s="7">
        <f t="shared" si="21"/>
        <v>0</v>
      </c>
      <c r="AT21" s="7">
        <f t="shared" si="21"/>
        <v>0</v>
      </c>
      <c r="AU21" s="7">
        <f t="shared" si="22"/>
        <v>0</v>
      </c>
      <c r="AV21" s="7">
        <f t="shared" si="23"/>
        <v>0</v>
      </c>
      <c r="AW21" s="7">
        <f t="shared" si="23"/>
        <v>0</v>
      </c>
      <c r="AX21" s="7"/>
      <c r="AY21" s="7"/>
      <c r="AZ21" s="7">
        <f>SUM($B$21:B21)</f>
        <v>0</v>
      </c>
      <c r="BA21" s="7">
        <f>SUM($B$21:C21)</f>
        <v>0</v>
      </c>
      <c r="BB21" s="7">
        <f>SUM($B$21:D21)</f>
        <v>0</v>
      </c>
      <c r="BC21" s="7">
        <f>SUM($B$21:E21)</f>
        <v>0</v>
      </c>
      <c r="BD21" s="7">
        <f>SUM($B$21:F21)</f>
        <v>0</v>
      </c>
      <c r="BE21" s="7">
        <f>SUM($B$21:G21)</f>
        <v>0</v>
      </c>
      <c r="BF21" s="7">
        <f>SUM($B$21:H21)</f>
        <v>0</v>
      </c>
      <c r="BG21" s="7">
        <f>SUM($B$21:I21)</f>
        <v>0</v>
      </c>
      <c r="BH21" s="7">
        <f>SUM($B$21:J21)</f>
        <v>0</v>
      </c>
      <c r="BI21" s="7">
        <f>SUM($B$21:K21)</f>
        <v>0</v>
      </c>
      <c r="BJ21" s="7">
        <f>SUM($B$21:L21)</f>
        <v>0</v>
      </c>
      <c r="BK21" s="7">
        <f>SUM($B$21:M21)</f>
        <v>0</v>
      </c>
      <c r="BL21" s="7">
        <f>SUM($B$21:N21)</f>
        <v>0</v>
      </c>
      <c r="BM21" s="7">
        <f>SUM($B$21:O21)</f>
        <v>0</v>
      </c>
      <c r="BN21" s="7">
        <f>SUM($B$21:P21)</f>
        <v>0</v>
      </c>
      <c r="BO21" s="7">
        <f>SUM($B$21:Q21)</f>
        <v>0</v>
      </c>
      <c r="BP21" s="7">
        <f>SUM($B$21:R21)</f>
        <v>0</v>
      </c>
      <c r="BQ21" s="7">
        <f>SUM($B$21:S21)</f>
        <v>0</v>
      </c>
      <c r="BR21" s="7">
        <f>SUM($B$21:T21)</f>
        <v>0</v>
      </c>
      <c r="BS21" s="7">
        <f>SUM($B$21:U21)</f>
        <v>0</v>
      </c>
      <c r="BT21" s="7">
        <f>SUM($B$21:V21)</f>
        <v>0</v>
      </c>
      <c r="BU21" s="7">
        <f>SUM($BT$18:BT21)</f>
        <v>0</v>
      </c>
      <c r="BV21">
        <f t="shared" si="24"/>
        <v>0</v>
      </c>
      <c r="BW21">
        <f>SUM($BV$18:BV21)</f>
        <v>0</v>
      </c>
    </row>
    <row r="22" spans="1:75" ht="17.5" customHeight="1" x14ac:dyDescent="0.35">
      <c r="A22" s="131" t="s">
        <v>26</v>
      </c>
      <c r="B22" s="7"/>
      <c r="C22" s="7"/>
      <c r="D22" s="7"/>
      <c r="E22" s="7"/>
      <c r="F22" s="7"/>
      <c r="G22" s="7"/>
      <c r="H22" s="7"/>
      <c r="I22" s="7"/>
      <c r="J22" s="7"/>
      <c r="K22" s="7"/>
      <c r="L22" s="7"/>
      <c r="M22" s="7"/>
      <c r="N22" s="7"/>
      <c r="O22" s="7"/>
      <c r="P22" s="7"/>
      <c r="Q22" s="7"/>
      <c r="R22" s="7"/>
      <c r="S22" s="7"/>
      <c r="T22" s="7"/>
      <c r="U22" s="7"/>
      <c r="V22" s="7"/>
      <c r="W22" s="7">
        <f t="shared" si="19"/>
        <v>0</v>
      </c>
      <c r="X22" s="7">
        <f t="shared" si="16"/>
        <v>0</v>
      </c>
      <c r="Y22" s="7">
        <f t="shared" si="17"/>
        <v>0</v>
      </c>
      <c r="Z22" s="30"/>
      <c r="AA22" s="26"/>
      <c r="AB22" s="7">
        <f>W22+AB8</f>
        <v>0</v>
      </c>
      <c r="AC22" s="7" t="s">
        <v>26</v>
      </c>
      <c r="AD22" s="7">
        <f t="shared" si="20"/>
        <v>0</v>
      </c>
      <c r="AE22" s="7">
        <f t="shared" si="20"/>
        <v>0</v>
      </c>
      <c r="AF22" s="7">
        <f t="shared" si="20"/>
        <v>0</v>
      </c>
      <c r="AG22" s="7">
        <f t="shared" si="20"/>
        <v>0</v>
      </c>
      <c r="AH22" s="7">
        <f t="shared" si="20"/>
        <v>0</v>
      </c>
      <c r="AI22" s="7">
        <f t="shared" si="20"/>
        <v>0</v>
      </c>
      <c r="AJ22" s="7">
        <f t="shared" si="20"/>
        <v>0</v>
      </c>
      <c r="AK22" s="7">
        <f t="shared" si="20"/>
        <v>0</v>
      </c>
      <c r="AL22" s="7">
        <f t="shared" si="20"/>
        <v>0</v>
      </c>
      <c r="AM22" s="7">
        <f t="shared" si="20"/>
        <v>0</v>
      </c>
      <c r="AN22" s="7">
        <f t="shared" si="21"/>
        <v>0</v>
      </c>
      <c r="AO22" s="7">
        <f t="shared" si="21"/>
        <v>0</v>
      </c>
      <c r="AP22" s="7">
        <f t="shared" si="21"/>
        <v>0</v>
      </c>
      <c r="AQ22" s="7">
        <f t="shared" si="21"/>
        <v>0</v>
      </c>
      <c r="AR22" s="7">
        <f t="shared" si="21"/>
        <v>0</v>
      </c>
      <c r="AS22" s="7">
        <f t="shared" si="21"/>
        <v>0</v>
      </c>
      <c r="AT22" s="7">
        <f t="shared" si="21"/>
        <v>0</v>
      </c>
      <c r="AU22" s="7">
        <f t="shared" si="22"/>
        <v>0</v>
      </c>
      <c r="AV22" s="7">
        <f t="shared" si="23"/>
        <v>0</v>
      </c>
      <c r="AW22" s="7">
        <f t="shared" si="23"/>
        <v>0</v>
      </c>
      <c r="AX22" s="7"/>
      <c r="AY22" s="7"/>
      <c r="AZ22" s="7">
        <f>SUM($B$22:B22)</f>
        <v>0</v>
      </c>
      <c r="BA22" s="7">
        <f>SUM($B$22:C22)</f>
        <v>0</v>
      </c>
      <c r="BB22" s="7">
        <f>SUM($B$22:D22)</f>
        <v>0</v>
      </c>
      <c r="BC22" s="7">
        <f>SUM($B$22:E22)</f>
        <v>0</v>
      </c>
      <c r="BD22" s="7">
        <f>SUM($B$22:F22)</f>
        <v>0</v>
      </c>
      <c r="BE22" s="7">
        <f>SUM($B$22:G22)</f>
        <v>0</v>
      </c>
      <c r="BF22" s="7">
        <f>SUM($B$22:H22)</f>
        <v>0</v>
      </c>
      <c r="BG22" s="7">
        <f>SUM($B$22:I22)</f>
        <v>0</v>
      </c>
      <c r="BH22" s="7">
        <f>SUM($B$22:J22)</f>
        <v>0</v>
      </c>
      <c r="BI22" s="7">
        <f>SUM($B$22:K22)</f>
        <v>0</v>
      </c>
      <c r="BJ22" s="7">
        <f>SUM($B$22:L22)</f>
        <v>0</v>
      </c>
      <c r="BK22" s="7">
        <f>SUM($B$22:M22)</f>
        <v>0</v>
      </c>
      <c r="BL22" s="7">
        <f>SUM($B$22:N22)</f>
        <v>0</v>
      </c>
      <c r="BM22" s="7">
        <f>SUM($B$22:O22)</f>
        <v>0</v>
      </c>
      <c r="BN22" s="7">
        <f>SUM($B$22:P22)</f>
        <v>0</v>
      </c>
      <c r="BO22" s="7">
        <f>SUM($B$22:Q22)</f>
        <v>0</v>
      </c>
      <c r="BP22" s="7">
        <f>SUM($B$22:R22)</f>
        <v>0</v>
      </c>
      <c r="BQ22" s="7">
        <f>SUM($B$22:S22)</f>
        <v>0</v>
      </c>
      <c r="BR22" s="7">
        <f>SUM($B$22:T22)</f>
        <v>0</v>
      </c>
      <c r="BS22" s="7">
        <f>SUM($B$22:U22)</f>
        <v>0</v>
      </c>
      <c r="BT22" s="7">
        <f>SUM($B$22:V22)</f>
        <v>0</v>
      </c>
      <c r="BU22" s="7">
        <f>SUM($BT$18:BT22)</f>
        <v>0</v>
      </c>
      <c r="BV22">
        <f t="shared" si="24"/>
        <v>0</v>
      </c>
      <c r="BW22">
        <f>SUM($BV$18:BV22)</f>
        <v>0</v>
      </c>
    </row>
    <row r="23" spans="1:75" ht="28.9" customHeight="1" x14ac:dyDescent="0.35">
      <c r="A23" s="142" t="s">
        <v>27</v>
      </c>
      <c r="B23" s="7"/>
      <c r="C23" s="7"/>
      <c r="D23" s="7"/>
      <c r="E23" s="7"/>
      <c r="F23" s="7"/>
      <c r="G23" s="7"/>
      <c r="H23" s="7"/>
      <c r="I23" s="7"/>
      <c r="J23" s="7"/>
      <c r="K23" s="7"/>
      <c r="L23" s="7"/>
      <c r="M23" s="7"/>
      <c r="N23" s="7"/>
      <c r="O23" s="7"/>
      <c r="P23" s="7"/>
      <c r="Q23" s="7"/>
      <c r="R23" s="7"/>
      <c r="S23" s="7"/>
      <c r="T23" s="7"/>
      <c r="U23" s="7"/>
      <c r="V23" s="7"/>
      <c r="W23" s="7">
        <f t="shared" si="19"/>
        <v>0</v>
      </c>
      <c r="X23" s="7">
        <f t="shared" si="16"/>
        <v>0</v>
      </c>
      <c r="Y23" s="7">
        <f t="shared" si="17"/>
        <v>0</v>
      </c>
      <c r="Z23" s="30"/>
      <c r="AA23" s="26"/>
      <c r="AB23" s="7">
        <f>AB9+W23</f>
        <v>0</v>
      </c>
      <c r="AC23" s="7" t="s">
        <v>27</v>
      </c>
      <c r="AD23" s="7">
        <f t="shared" si="20"/>
        <v>0</v>
      </c>
      <c r="AE23" s="7">
        <f t="shared" si="20"/>
        <v>0</v>
      </c>
      <c r="AF23" s="7">
        <f t="shared" si="20"/>
        <v>0</v>
      </c>
      <c r="AG23" s="7">
        <f t="shared" si="20"/>
        <v>0</v>
      </c>
      <c r="AH23" s="7">
        <f t="shared" si="20"/>
        <v>0</v>
      </c>
      <c r="AI23" s="7">
        <f t="shared" si="20"/>
        <v>0</v>
      </c>
      <c r="AJ23" s="7">
        <f t="shared" si="20"/>
        <v>0</v>
      </c>
      <c r="AK23" s="7">
        <f t="shared" si="20"/>
        <v>0</v>
      </c>
      <c r="AL23" s="7">
        <f t="shared" si="20"/>
        <v>0</v>
      </c>
      <c r="AM23" s="7">
        <f t="shared" si="20"/>
        <v>0</v>
      </c>
      <c r="AN23" s="7">
        <f t="shared" si="21"/>
        <v>0</v>
      </c>
      <c r="AO23" s="7">
        <f t="shared" si="21"/>
        <v>0</v>
      </c>
      <c r="AP23" s="7">
        <f t="shared" si="21"/>
        <v>0</v>
      </c>
      <c r="AQ23" s="7">
        <f t="shared" si="21"/>
        <v>0</v>
      </c>
      <c r="AR23" s="7">
        <f t="shared" si="21"/>
        <v>0</v>
      </c>
      <c r="AS23" s="7">
        <f t="shared" si="21"/>
        <v>0</v>
      </c>
      <c r="AT23" s="7">
        <f t="shared" si="21"/>
        <v>0</v>
      </c>
      <c r="AU23" s="7">
        <f t="shared" si="22"/>
        <v>0</v>
      </c>
      <c r="AV23" s="7">
        <f t="shared" si="23"/>
        <v>0</v>
      </c>
      <c r="AW23" s="7">
        <f t="shared" si="23"/>
        <v>0</v>
      </c>
      <c r="AX23" s="7"/>
      <c r="AY23" s="7"/>
      <c r="AZ23" s="7">
        <f>SUM($B$23:B23)</f>
        <v>0</v>
      </c>
      <c r="BA23" s="7">
        <f>SUM($B$23:C23)</f>
        <v>0</v>
      </c>
      <c r="BB23" s="7">
        <f>SUM($B$23:D23)</f>
        <v>0</v>
      </c>
      <c r="BC23" s="7">
        <f>SUM($B$23:E23)</f>
        <v>0</v>
      </c>
      <c r="BD23" s="7">
        <f>SUM($B$23:F23)</f>
        <v>0</v>
      </c>
      <c r="BE23" s="7">
        <f>SUM($B$23:G23)</f>
        <v>0</v>
      </c>
      <c r="BF23" s="7">
        <f>SUM($B$23:H23)</f>
        <v>0</v>
      </c>
      <c r="BG23" s="7">
        <f>SUM($B$23:I23)</f>
        <v>0</v>
      </c>
      <c r="BH23" s="7">
        <f>SUM($B$23:J23)</f>
        <v>0</v>
      </c>
      <c r="BI23" s="7">
        <f>SUM($B$23:K23)</f>
        <v>0</v>
      </c>
      <c r="BJ23" s="7">
        <f>SUM($B$23:L23)</f>
        <v>0</v>
      </c>
      <c r="BK23" s="7">
        <f>SUM($B$23:M23)</f>
        <v>0</v>
      </c>
      <c r="BL23" s="7">
        <f>SUM($B$23:N23)</f>
        <v>0</v>
      </c>
      <c r="BM23" s="7">
        <f>SUM($B$23:O23)</f>
        <v>0</v>
      </c>
      <c r="BN23" s="7">
        <f>SUM($B$23:P23)</f>
        <v>0</v>
      </c>
      <c r="BO23" s="7">
        <f>SUM($B$23:Q23)</f>
        <v>0</v>
      </c>
      <c r="BP23" s="7">
        <f>SUM($B$23:R23)</f>
        <v>0</v>
      </c>
      <c r="BQ23" s="7">
        <f>SUM($B$23:S23)</f>
        <v>0</v>
      </c>
      <c r="BR23" s="7">
        <f>SUM($B$23:T23)</f>
        <v>0</v>
      </c>
      <c r="BS23" s="7">
        <f>SUM($B$23:U23)</f>
        <v>0</v>
      </c>
      <c r="BT23" s="7">
        <f>SUM($B$23:V23)</f>
        <v>0</v>
      </c>
      <c r="BU23" s="7">
        <f>SUM($BT$18:BT23)</f>
        <v>0</v>
      </c>
      <c r="BV23">
        <f t="shared" si="24"/>
        <v>0</v>
      </c>
      <c r="BW23">
        <f>SUM($BV$18:BV23)</f>
        <v>0</v>
      </c>
    </row>
    <row r="24" spans="1:75" ht="18.649999999999999" customHeight="1" x14ac:dyDescent="0.35">
      <c r="A24" s="25" t="s">
        <v>28</v>
      </c>
      <c r="B24" s="7"/>
      <c r="C24" s="7"/>
      <c r="D24" s="7"/>
      <c r="E24" s="7"/>
      <c r="F24" s="7"/>
      <c r="G24" s="7"/>
      <c r="H24" s="7"/>
      <c r="I24" s="7"/>
      <c r="J24" s="7"/>
      <c r="K24" s="7"/>
      <c r="L24" s="7"/>
      <c r="M24" s="7"/>
      <c r="N24" s="7"/>
      <c r="O24" s="7"/>
      <c r="P24" s="7"/>
      <c r="Q24" s="7"/>
      <c r="R24" s="7"/>
      <c r="S24" s="7"/>
      <c r="T24" s="7"/>
      <c r="U24" s="7"/>
      <c r="V24" s="7"/>
      <c r="W24" s="7">
        <f t="shared" si="19"/>
        <v>0</v>
      </c>
      <c r="X24" s="7">
        <f t="shared" si="16"/>
        <v>0</v>
      </c>
      <c r="Y24" s="7">
        <f t="shared" si="17"/>
        <v>0</v>
      </c>
      <c r="Z24" s="30"/>
      <c r="AA24" s="26"/>
      <c r="AB24" s="7">
        <f>AB10+W24</f>
        <v>0</v>
      </c>
      <c r="AC24" s="7" t="s">
        <v>28</v>
      </c>
      <c r="AD24" s="7">
        <f t="shared" si="20"/>
        <v>0</v>
      </c>
      <c r="AE24" s="7">
        <f t="shared" si="20"/>
        <v>0</v>
      </c>
      <c r="AF24" s="7">
        <f t="shared" si="20"/>
        <v>0</v>
      </c>
      <c r="AG24" s="7">
        <f t="shared" si="20"/>
        <v>0</v>
      </c>
      <c r="AH24" s="7">
        <f t="shared" si="20"/>
        <v>0</v>
      </c>
      <c r="AI24" s="7">
        <f t="shared" si="20"/>
        <v>0</v>
      </c>
      <c r="AJ24" s="7">
        <f t="shared" si="20"/>
        <v>0</v>
      </c>
      <c r="AK24" s="7">
        <f t="shared" si="20"/>
        <v>0</v>
      </c>
      <c r="AL24" s="7">
        <f t="shared" si="20"/>
        <v>0</v>
      </c>
      <c r="AM24" s="7">
        <f t="shared" si="20"/>
        <v>0</v>
      </c>
      <c r="AN24" s="7">
        <f t="shared" si="21"/>
        <v>0</v>
      </c>
      <c r="AO24" s="7">
        <f t="shared" si="21"/>
        <v>0</v>
      </c>
      <c r="AP24" s="7">
        <f t="shared" si="21"/>
        <v>0</v>
      </c>
      <c r="AQ24" s="7">
        <f t="shared" si="21"/>
        <v>0</v>
      </c>
      <c r="AR24" s="7">
        <f t="shared" si="21"/>
        <v>0</v>
      </c>
      <c r="AS24" s="7">
        <f t="shared" si="21"/>
        <v>0</v>
      </c>
      <c r="AT24" s="7">
        <f t="shared" si="21"/>
        <v>0</v>
      </c>
      <c r="AU24" s="7">
        <f t="shared" si="22"/>
        <v>0</v>
      </c>
      <c r="AV24" s="7">
        <f t="shared" si="23"/>
        <v>0</v>
      </c>
      <c r="AW24" s="7">
        <f t="shared" si="23"/>
        <v>0</v>
      </c>
      <c r="AX24" s="7"/>
      <c r="AY24" s="7"/>
      <c r="AZ24" s="7">
        <f>SUM($B$24:B24)</f>
        <v>0</v>
      </c>
      <c r="BA24" s="7">
        <f>SUM($B$24:C24)</f>
        <v>0</v>
      </c>
      <c r="BB24" s="7">
        <f>SUM($B$24:D24)</f>
        <v>0</v>
      </c>
      <c r="BC24" s="7">
        <f>SUM($B$24:E24)</f>
        <v>0</v>
      </c>
      <c r="BD24" s="7">
        <f>SUM($B$24:F24)</f>
        <v>0</v>
      </c>
      <c r="BE24" s="7">
        <f>SUM($B$24:G24)</f>
        <v>0</v>
      </c>
      <c r="BF24" s="7">
        <f>SUM($B$24:H24)</f>
        <v>0</v>
      </c>
      <c r="BG24" s="7">
        <f>SUM($B$24:I24)</f>
        <v>0</v>
      </c>
      <c r="BH24" s="7">
        <f>SUM($B$24:J24)</f>
        <v>0</v>
      </c>
      <c r="BI24" s="7">
        <f>SUM($B$24:K24)</f>
        <v>0</v>
      </c>
      <c r="BJ24" s="7">
        <f>SUM($B$24:L24)</f>
        <v>0</v>
      </c>
      <c r="BK24" s="7">
        <f>SUM($B$24:M24)</f>
        <v>0</v>
      </c>
      <c r="BL24" s="7">
        <f>SUM($B$24:N24)</f>
        <v>0</v>
      </c>
      <c r="BM24" s="7">
        <f>SUM($B$24:O24)</f>
        <v>0</v>
      </c>
      <c r="BN24" s="7">
        <f>SUM($B$24:P24)</f>
        <v>0</v>
      </c>
      <c r="BO24" s="7">
        <f>SUM($B$24:Q24)</f>
        <v>0</v>
      </c>
      <c r="BP24" s="7">
        <f>SUM($B$24:R24)</f>
        <v>0</v>
      </c>
      <c r="BQ24" s="7">
        <f>SUM($B$24:S24)</f>
        <v>0</v>
      </c>
      <c r="BR24" s="7">
        <f>SUM($B$24:T24)</f>
        <v>0</v>
      </c>
      <c r="BS24" s="7">
        <f>SUM($B$24:U24)</f>
        <v>0</v>
      </c>
      <c r="BT24" s="7">
        <f>SUM($B$24:V24)</f>
        <v>0</v>
      </c>
      <c r="BU24" s="7">
        <f>SUM($BT$18:BT24)</f>
        <v>0</v>
      </c>
      <c r="BV24">
        <f t="shared" si="24"/>
        <v>0</v>
      </c>
      <c r="BW24">
        <f>SUM($BV$18:BV24)</f>
        <v>0</v>
      </c>
    </row>
    <row r="25" spans="1:75" x14ac:dyDescent="0.35">
      <c r="A25" s="25" t="s">
        <v>29</v>
      </c>
      <c r="B25" s="7">
        <f t="shared" ref="B25:J25" si="25">SUM(B18:B24)</f>
        <v>0</v>
      </c>
      <c r="C25" s="7">
        <f t="shared" si="25"/>
        <v>0</v>
      </c>
      <c r="D25" s="7">
        <f t="shared" si="25"/>
        <v>0</v>
      </c>
      <c r="E25" s="7">
        <f t="shared" si="25"/>
        <v>0</v>
      </c>
      <c r="F25" s="7">
        <f t="shared" si="25"/>
        <v>0</v>
      </c>
      <c r="G25" s="7">
        <f t="shared" si="25"/>
        <v>0</v>
      </c>
      <c r="H25" s="7">
        <f t="shared" si="25"/>
        <v>0</v>
      </c>
      <c r="I25" s="7">
        <f t="shared" si="25"/>
        <v>0</v>
      </c>
      <c r="J25" s="7">
        <f t="shared" si="25"/>
        <v>0</v>
      </c>
      <c r="K25" s="7">
        <f>SUM(K18:K24)</f>
        <v>0</v>
      </c>
      <c r="L25" s="7">
        <f t="shared" ref="L25:T25" si="26">SUM(L18:L24)</f>
        <v>0</v>
      </c>
      <c r="M25" s="7">
        <f t="shared" si="26"/>
        <v>0</v>
      </c>
      <c r="N25" s="7">
        <f t="shared" si="26"/>
        <v>0</v>
      </c>
      <c r="O25" s="7">
        <f t="shared" si="26"/>
        <v>0</v>
      </c>
      <c r="P25" s="7">
        <f t="shared" si="26"/>
        <v>0</v>
      </c>
      <c r="Q25" s="7">
        <f>SUM(Q18:Q24)</f>
        <v>0</v>
      </c>
      <c r="R25" s="7">
        <f t="shared" si="26"/>
        <v>0</v>
      </c>
      <c r="S25" s="7">
        <f t="shared" si="26"/>
        <v>0</v>
      </c>
      <c r="T25" s="7">
        <f t="shared" si="26"/>
        <v>0</v>
      </c>
      <c r="U25" s="7">
        <f>SUM(U18:U24)</f>
        <v>0</v>
      </c>
      <c r="V25" s="7">
        <f>SUM(V18:V24)</f>
        <v>0</v>
      </c>
      <c r="W25" s="31">
        <f>SUM(W18:W24)</f>
        <v>0</v>
      </c>
      <c r="X25" s="7"/>
      <c r="Y25" s="7"/>
      <c r="Z25" s="30" t="s">
        <v>173</v>
      </c>
      <c r="AA25" s="26"/>
      <c r="AB25" s="7"/>
      <c r="AC25" s="7"/>
      <c r="AD25" s="7">
        <f>MAX(AD18:AD24)</f>
        <v>0</v>
      </c>
      <c r="AE25" s="7">
        <f t="shared" ref="AE25:AT25" si="27">MAX(AE18:AE24)</f>
        <v>0</v>
      </c>
      <c r="AF25" s="7">
        <f t="shared" si="27"/>
        <v>0</v>
      </c>
      <c r="AG25" s="7">
        <f t="shared" si="27"/>
        <v>0</v>
      </c>
      <c r="AH25" s="7">
        <f t="shared" si="27"/>
        <v>0</v>
      </c>
      <c r="AI25" s="7">
        <f t="shared" si="27"/>
        <v>0</v>
      </c>
      <c r="AJ25" s="7">
        <f t="shared" si="27"/>
        <v>0</v>
      </c>
      <c r="AK25" s="7">
        <f t="shared" si="27"/>
        <v>0</v>
      </c>
      <c r="AL25" s="7">
        <f t="shared" si="27"/>
        <v>0</v>
      </c>
      <c r="AM25" s="7">
        <f t="shared" si="27"/>
        <v>0</v>
      </c>
      <c r="AN25" s="7">
        <f t="shared" si="27"/>
        <v>0</v>
      </c>
      <c r="AO25" s="7">
        <f t="shared" si="27"/>
        <v>0</v>
      </c>
      <c r="AP25" s="7">
        <f t="shared" si="27"/>
        <v>0</v>
      </c>
      <c r="AQ25" s="7">
        <f t="shared" si="27"/>
        <v>0</v>
      </c>
      <c r="AR25" s="7">
        <f t="shared" si="27"/>
        <v>0</v>
      </c>
      <c r="AS25" s="7">
        <f t="shared" si="27"/>
        <v>0</v>
      </c>
      <c r="AT25" s="7">
        <f t="shared" si="27"/>
        <v>0</v>
      </c>
      <c r="AU25" s="7">
        <f>MAX(AU18:AU24)</f>
        <v>0</v>
      </c>
      <c r="AV25" s="7">
        <f t="shared" ref="AV25" si="28">MAX(AV18:AV24)</f>
        <v>0</v>
      </c>
      <c r="AW25" s="7">
        <f t="shared" ref="AW25" si="29">MAX(AW18:AW24)</f>
        <v>0</v>
      </c>
      <c r="AX25" s="7"/>
      <c r="AY25" s="7"/>
      <c r="AZ25" s="7"/>
      <c r="BA25" s="7"/>
      <c r="BB25" s="7"/>
      <c r="BC25" s="7"/>
      <c r="BD25" s="7"/>
      <c r="BE25" s="7"/>
      <c r="BF25" s="7"/>
      <c r="BG25" s="7"/>
      <c r="BH25" s="7"/>
      <c r="BI25" s="7"/>
      <c r="BJ25" s="7"/>
      <c r="BK25" s="7"/>
      <c r="BL25" s="7"/>
      <c r="BM25" s="7"/>
      <c r="BN25" s="7"/>
      <c r="BO25" s="7"/>
      <c r="BP25" s="7"/>
      <c r="BQ25" s="7"/>
      <c r="BR25" s="7"/>
      <c r="BS25" s="7"/>
      <c r="BT25" s="7"/>
      <c r="BU25" s="7"/>
    </row>
    <row r="26" spans="1:75" ht="14.5" customHeight="1" x14ac:dyDescent="0.35">
      <c r="A26" s="25" t="s">
        <v>33</v>
      </c>
      <c r="B26" s="7">
        <f t="shared" ref="B26:U26" si="30">B25-B11</f>
        <v>-2</v>
      </c>
      <c r="C26" s="7">
        <f t="shared" si="30"/>
        <v>0</v>
      </c>
      <c r="D26" s="7">
        <f t="shared" si="30"/>
        <v>-5</v>
      </c>
      <c r="E26" s="7">
        <f t="shared" si="30"/>
        <v>-9</v>
      </c>
      <c r="F26" s="7">
        <f t="shared" si="30"/>
        <v>-4</v>
      </c>
      <c r="G26" s="7">
        <f t="shared" si="30"/>
        <v>0</v>
      </c>
      <c r="H26" s="7">
        <f t="shared" si="30"/>
        <v>0</v>
      </c>
      <c r="I26" s="7">
        <f t="shared" si="30"/>
        <v>-3</v>
      </c>
      <c r="J26" s="7">
        <f t="shared" si="30"/>
        <v>0</v>
      </c>
      <c r="K26" s="7">
        <f t="shared" si="30"/>
        <v>-0.75</v>
      </c>
      <c r="L26" s="7">
        <f t="shared" si="30"/>
        <v>-2</v>
      </c>
      <c r="M26" s="7">
        <f t="shared" si="30"/>
        <v>-1</v>
      </c>
      <c r="N26" s="7">
        <f t="shared" si="30"/>
        <v>-2.5</v>
      </c>
      <c r="O26" s="7">
        <f t="shared" si="30"/>
        <v>-2</v>
      </c>
      <c r="P26" s="7">
        <f t="shared" si="30"/>
        <v>0</v>
      </c>
      <c r="Q26" s="7">
        <f t="shared" si="30"/>
        <v>0</v>
      </c>
      <c r="R26" s="7">
        <f t="shared" si="30"/>
        <v>-1</v>
      </c>
      <c r="S26" s="7">
        <f t="shared" si="30"/>
        <v>-3</v>
      </c>
      <c r="T26" s="7">
        <f t="shared" si="30"/>
        <v>0</v>
      </c>
      <c r="U26" s="7">
        <f t="shared" si="30"/>
        <v>1</v>
      </c>
      <c r="V26" s="7">
        <f>V25-V11</f>
        <v>-2</v>
      </c>
      <c r="W26" s="7">
        <f>W25-W11</f>
        <v>-36.25</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row>
    <row r="27" spans="1:75" ht="14.5" customHeight="1" x14ac:dyDescent="0.35">
      <c r="A27" s="25" t="s">
        <v>110</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cm="1">
        <f t="array" ref="S27">IF(COUNTIF(AU18:AU24,0)=0,
    LOOKUP(2,1/(AU18:AU24&lt;&gt;""),AU18:AU24),
    MATCH(0,INDEX(AU18:AU24,MAX(ROW(AU18:AU24))-ROW(AU18:AU24)+1),0)-1
)</f>
        <v>0</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row>
    <row r="28" spans="1:75" ht="14.5" customHeight="1" x14ac:dyDescent="0.35">
      <c r="A28" s="25" t="s">
        <v>99</v>
      </c>
      <c r="B28" s="7">
        <f>B25+B14</f>
        <v>2</v>
      </c>
      <c r="C28" s="7">
        <f t="shared" ref="C28:T28" si="31">C25+C14</f>
        <v>0</v>
      </c>
      <c r="D28" s="7">
        <f t="shared" si="31"/>
        <v>5</v>
      </c>
      <c r="E28" s="7">
        <f t="shared" si="31"/>
        <v>9</v>
      </c>
      <c r="F28" s="7">
        <f t="shared" si="31"/>
        <v>4</v>
      </c>
      <c r="G28" s="7">
        <f t="shared" si="31"/>
        <v>0</v>
      </c>
      <c r="H28" s="7">
        <f t="shared" si="31"/>
        <v>0</v>
      </c>
      <c r="I28" s="7">
        <f t="shared" si="31"/>
        <v>3</v>
      </c>
      <c r="J28" s="7">
        <f t="shared" si="31"/>
        <v>0</v>
      </c>
      <c r="K28" s="7">
        <f>K25+K14</f>
        <v>0.75</v>
      </c>
      <c r="L28" s="7">
        <f t="shared" si="31"/>
        <v>2</v>
      </c>
      <c r="M28" s="7">
        <f t="shared" si="31"/>
        <v>1</v>
      </c>
      <c r="N28" s="7">
        <f t="shared" si="31"/>
        <v>2.5</v>
      </c>
      <c r="O28" s="7">
        <f t="shared" si="31"/>
        <v>2</v>
      </c>
      <c r="P28" s="7">
        <f t="shared" si="31"/>
        <v>0</v>
      </c>
      <c r="Q28" s="7">
        <f>Q25+Q14</f>
        <v>0</v>
      </c>
      <c r="R28" s="7">
        <f t="shared" si="31"/>
        <v>1</v>
      </c>
      <c r="S28" s="7">
        <f t="shared" si="31"/>
        <v>3</v>
      </c>
      <c r="T28" s="7">
        <f t="shared" si="31"/>
        <v>0</v>
      </c>
      <c r="U28" s="7">
        <f t="shared" ref="U28" si="32">U25+U14</f>
        <v>-1</v>
      </c>
      <c r="V28" s="7">
        <f>V25+V14</f>
        <v>2</v>
      </c>
      <c r="W28" s="7">
        <f>SUM(W14,W25)</f>
        <v>36.25</v>
      </c>
      <c r="X28" s="7"/>
      <c r="Y28" s="7">
        <f>SUM(Y18:Y24)</f>
        <v>0</v>
      </c>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row>
    <row r="29" spans="1:75" x14ac:dyDescent="0.35">
      <c r="A29" s="25" t="s">
        <v>112</v>
      </c>
      <c r="B29" s="174">
        <f>(COUNTIF(B4:B10, "&gt;0") + COUNTIF(B18:B24, "&gt;0")) / 14</f>
        <v>7.1428571428571425E-2</v>
      </c>
      <c r="C29" s="174">
        <f t="shared" ref="C29:O29" si="33">(COUNTIF(C4:C10, "&gt;0") + COUNTIF(C18:C24, "&gt;0")) / 14</f>
        <v>0</v>
      </c>
      <c r="D29" s="174">
        <f t="shared" si="33"/>
        <v>7.1428571428571425E-2</v>
      </c>
      <c r="E29" s="174">
        <f t="shared" si="33"/>
        <v>7.1428571428571425E-2</v>
      </c>
      <c r="F29" s="174">
        <f t="shared" si="33"/>
        <v>7.1428571428571425E-2</v>
      </c>
      <c r="G29" s="174">
        <f t="shared" si="33"/>
        <v>0</v>
      </c>
      <c r="H29" s="174">
        <f t="shared" si="33"/>
        <v>0</v>
      </c>
      <c r="I29" s="174">
        <f t="shared" si="33"/>
        <v>7.1428571428571425E-2</v>
      </c>
      <c r="J29" s="174">
        <f t="shared" si="33"/>
        <v>0</v>
      </c>
      <c r="K29" s="174">
        <f t="shared" si="33"/>
        <v>7.1428571428571425E-2</v>
      </c>
      <c r="L29" s="174">
        <f t="shared" si="33"/>
        <v>7.1428571428571425E-2</v>
      </c>
      <c r="M29" s="174">
        <f t="shared" si="33"/>
        <v>7.1428571428571425E-2</v>
      </c>
      <c r="N29" s="174">
        <f t="shared" si="33"/>
        <v>7.1428571428571425E-2</v>
      </c>
      <c r="O29" s="174">
        <f t="shared" si="33"/>
        <v>7.1428571428571425E-2</v>
      </c>
      <c r="P29" s="7"/>
      <c r="Q29" s="7"/>
      <c r="R29" s="7"/>
      <c r="S29" s="7"/>
      <c r="T29" s="7"/>
      <c r="U29" s="25" t="s">
        <v>34</v>
      </c>
      <c r="V29" s="25">
        <f>SUMIF(B25:V25,"&lt;0",B25:V25)</f>
        <v>0</v>
      </c>
      <c r="W29" s="36">
        <f>SUMIF(B25:V25,"&gt;0",B25:V25)</f>
        <v>0</v>
      </c>
      <c r="X29" s="25"/>
      <c r="Y29" s="7"/>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row>
    <row r="30" spans="1:75"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c r="AZ30" s="7" t="s">
        <v>122</v>
      </c>
      <c r="BA30" s="7"/>
      <c r="BB30" s="7"/>
      <c r="BC30" s="7"/>
      <c r="BD30" s="7"/>
      <c r="BE30" s="7"/>
      <c r="BF30" s="7"/>
      <c r="BG30" s="7"/>
      <c r="BH30" s="7"/>
      <c r="BI30" s="7"/>
      <c r="BJ30" s="7"/>
      <c r="BK30" s="7"/>
      <c r="BL30" s="7"/>
      <c r="BM30" s="7"/>
      <c r="BN30" s="7"/>
      <c r="BO30" s="7"/>
      <c r="BP30" s="7"/>
      <c r="BQ30" s="7"/>
      <c r="BR30" s="7"/>
      <c r="BS30" s="7"/>
      <c r="BT30" s="7"/>
      <c r="BU30" s="7"/>
    </row>
    <row r="31" spans="1:75" x14ac:dyDescent="0.35">
      <c r="A31" s="98" t="s">
        <v>35</v>
      </c>
      <c r="B31" s="34">
        <f>C17+1</f>
        <v>46041</v>
      </c>
      <c r="C31" s="34">
        <f>B31+6</f>
        <v>46047</v>
      </c>
      <c r="D31" s="7"/>
      <c r="E31" s="7"/>
      <c r="F31" s="7"/>
      <c r="G31" s="7" t="s">
        <v>84</v>
      </c>
      <c r="H31" s="7" t="s">
        <v>85</v>
      </c>
      <c r="I31" s="169" t="s">
        <v>86</v>
      </c>
      <c r="J31" s="7" t="s">
        <v>87</v>
      </c>
      <c r="K31" s="7" t="s">
        <v>88</v>
      </c>
      <c r="L31" s="7"/>
      <c r="M31" s="7"/>
      <c r="N31" s="7"/>
      <c r="O31" s="7"/>
      <c r="P31" s="7"/>
      <c r="Q31" s="7"/>
      <c r="R31" s="7"/>
      <c r="S31" s="7"/>
      <c r="T31" s="7"/>
      <c r="U31" s="7"/>
      <c r="V31" s="7"/>
      <c r="W31" s="7"/>
      <c r="X31" s="7"/>
      <c r="Y31" s="7"/>
      <c r="Z31" s="11"/>
      <c r="AA31" s="11"/>
      <c r="AB31" s="7"/>
      <c r="AC31" s="7" t="s">
        <v>64</v>
      </c>
      <c r="AD31" s="7"/>
      <c r="AE31" s="7"/>
      <c r="AF31" s="7"/>
      <c r="AG31" s="7"/>
      <c r="AH31" s="7"/>
      <c r="AI31" s="7"/>
      <c r="AJ31" s="7"/>
      <c r="AK31" s="7"/>
      <c r="AL31" s="7"/>
      <c r="AM31" s="7"/>
      <c r="AN31" s="7"/>
      <c r="AO31" s="7"/>
      <c r="AP31" s="7"/>
      <c r="AQ31" s="7"/>
      <c r="AR31" s="7"/>
      <c r="AS31" s="7"/>
      <c r="AT31" s="7"/>
      <c r="AU31" s="7"/>
      <c r="AV31" s="7"/>
      <c r="AW31" s="7"/>
      <c r="AX31" s="7"/>
      <c r="AY31" s="7"/>
      <c r="AZ31" s="12"/>
      <c r="BA31" s="12"/>
      <c r="BB31" s="12"/>
      <c r="BC31" s="12"/>
      <c r="BD31" s="12"/>
      <c r="BE31" s="12"/>
      <c r="BF31" s="12"/>
      <c r="BG31" s="12"/>
      <c r="BH31" s="12"/>
      <c r="BI31" s="12"/>
      <c r="BJ31" s="12"/>
      <c r="BK31" s="12"/>
      <c r="BL31" s="12"/>
      <c r="BM31" s="12"/>
      <c r="BN31" s="12"/>
      <c r="BO31" s="12"/>
      <c r="BP31" s="12"/>
      <c r="BQ31" s="12"/>
      <c r="BR31" s="12"/>
      <c r="BS31" s="12"/>
      <c r="BT31" s="203"/>
      <c r="BU31" s="12">
        <v>0</v>
      </c>
      <c r="BW31">
        <v>0</v>
      </c>
    </row>
    <row r="32" spans="1:75" x14ac:dyDescent="0.35">
      <c r="A32" s="76" t="s">
        <v>22</v>
      </c>
      <c r="B32" s="7"/>
      <c r="C32" s="7"/>
      <c r="D32" s="7"/>
      <c r="E32" s="7"/>
      <c r="F32" s="7"/>
      <c r="G32" s="7"/>
      <c r="H32" s="7"/>
      <c r="I32" s="7"/>
      <c r="J32" s="7"/>
      <c r="K32" s="7"/>
      <c r="L32" s="7"/>
      <c r="M32" s="7"/>
      <c r="N32" s="7"/>
      <c r="O32" s="7"/>
      <c r="P32" s="7"/>
      <c r="Q32" s="7"/>
      <c r="R32" s="7"/>
      <c r="S32" s="7"/>
      <c r="T32" s="7"/>
      <c r="U32" s="7"/>
      <c r="V32" s="7"/>
      <c r="W32" s="7">
        <f t="shared" ref="W32:W38" si="34">SUM(B32:V32)</f>
        <v>0</v>
      </c>
      <c r="X32" s="7">
        <f t="shared" ref="X32:X38" si="35">SUM(AD32:AW32)*0.1</f>
        <v>0</v>
      </c>
      <c r="Y32" s="7">
        <f t="shared" ref="Y32:Y38" si="36">W32+X32</f>
        <v>0</v>
      </c>
      <c r="Z32" s="37"/>
      <c r="AA32" s="189"/>
      <c r="AB32" s="7">
        <f>W32+AB18</f>
        <v>36.25</v>
      </c>
      <c r="AC32" s="7" t="s">
        <v>22</v>
      </c>
      <c r="AD32" s="7">
        <f t="shared" ref="AD32:AW32" si="37">IF(B32 &gt; 0, IF(AD24&gt; 0, AD24 + 1, 0.1), 0)</f>
        <v>0</v>
      </c>
      <c r="AE32" s="7">
        <f t="shared" si="37"/>
        <v>0</v>
      </c>
      <c r="AF32" s="7">
        <f t="shared" si="37"/>
        <v>0</v>
      </c>
      <c r="AG32" s="7">
        <f t="shared" si="37"/>
        <v>0</v>
      </c>
      <c r="AH32" s="7">
        <f t="shared" si="37"/>
        <v>0</v>
      </c>
      <c r="AI32" s="7">
        <f t="shared" si="37"/>
        <v>0</v>
      </c>
      <c r="AJ32" s="7">
        <f t="shared" si="37"/>
        <v>0</v>
      </c>
      <c r="AK32" s="7">
        <f t="shared" si="37"/>
        <v>0</v>
      </c>
      <c r="AL32" s="7">
        <f t="shared" si="37"/>
        <v>0</v>
      </c>
      <c r="AM32" s="7">
        <f t="shared" si="37"/>
        <v>0</v>
      </c>
      <c r="AN32" s="7">
        <f t="shared" si="37"/>
        <v>0</v>
      </c>
      <c r="AO32" s="7">
        <f t="shared" si="37"/>
        <v>0</v>
      </c>
      <c r="AP32" s="7">
        <f t="shared" si="37"/>
        <v>0</v>
      </c>
      <c r="AQ32" s="7">
        <f t="shared" si="37"/>
        <v>0</v>
      </c>
      <c r="AR32" s="7">
        <f t="shared" si="37"/>
        <v>0</v>
      </c>
      <c r="AS32" s="7">
        <f t="shared" si="37"/>
        <v>0</v>
      </c>
      <c r="AT32" s="7">
        <f t="shared" si="37"/>
        <v>0</v>
      </c>
      <c r="AU32" s="7">
        <f t="shared" si="37"/>
        <v>0</v>
      </c>
      <c r="AV32" s="7">
        <f t="shared" si="37"/>
        <v>0</v>
      </c>
      <c r="AW32" s="7">
        <f t="shared" si="37"/>
        <v>0</v>
      </c>
      <c r="AX32" s="7"/>
      <c r="AY32" s="7"/>
      <c r="AZ32" s="7">
        <f>SUM($B$32:B32)</f>
        <v>0</v>
      </c>
      <c r="BA32" s="7">
        <f>SUM($B$32:C32)</f>
        <v>0</v>
      </c>
      <c r="BB32" s="7">
        <f>SUM($B$32:D32)</f>
        <v>0</v>
      </c>
      <c r="BC32" s="7">
        <f>SUM($B$32:E32)</f>
        <v>0</v>
      </c>
      <c r="BD32" s="7">
        <f>SUM($B$32:F32)</f>
        <v>0</v>
      </c>
      <c r="BE32" s="7">
        <f>SUM($B$32:G32)</f>
        <v>0</v>
      </c>
      <c r="BF32" s="7">
        <f>SUM($B$32:H32)</f>
        <v>0</v>
      </c>
      <c r="BG32" s="7">
        <f>SUM($B$32:I32)</f>
        <v>0</v>
      </c>
      <c r="BH32" s="7">
        <f>SUM($B$32:J32)</f>
        <v>0</v>
      </c>
      <c r="BI32" s="7">
        <f>SUM($B$32:K32)</f>
        <v>0</v>
      </c>
      <c r="BJ32" s="7">
        <f>SUM($B$32:L32)</f>
        <v>0</v>
      </c>
      <c r="BK32" s="7">
        <f>SUM($B$32:M32)</f>
        <v>0</v>
      </c>
      <c r="BL32" s="7">
        <f>SUM($B$32:N32)</f>
        <v>0</v>
      </c>
      <c r="BM32" s="7">
        <f>SUM($B$32:O32)</f>
        <v>0</v>
      </c>
      <c r="BN32" s="7">
        <f>SUM($B$32:P32)</f>
        <v>0</v>
      </c>
      <c r="BO32" s="7">
        <f>SUM($B$32:Q32)</f>
        <v>0</v>
      </c>
      <c r="BP32" s="7">
        <f>SUM($B$32:R32)</f>
        <v>0</v>
      </c>
      <c r="BQ32" s="7">
        <f>SUM($B$32:S32)</f>
        <v>0</v>
      </c>
      <c r="BR32" s="7">
        <f>SUM($B$32:T32)</f>
        <v>0</v>
      </c>
      <c r="BS32" s="7">
        <f>SUM($B$32:U32)</f>
        <v>0</v>
      </c>
      <c r="BT32" s="7">
        <f>SUM($B$32:V32)</f>
        <v>0</v>
      </c>
      <c r="BU32" s="7">
        <f>SUM($BS$32:BS32)</f>
        <v>0</v>
      </c>
      <c r="BV32">
        <f t="shared" si="15"/>
        <v>0</v>
      </c>
      <c r="BW32">
        <f>SUM($BV$32:BV32)</f>
        <v>0</v>
      </c>
    </row>
    <row r="33" spans="1:75" x14ac:dyDescent="0.35">
      <c r="A33" s="87" t="s">
        <v>23</v>
      </c>
      <c r="B33" s="7"/>
      <c r="C33" s="7"/>
      <c r="D33" s="7"/>
      <c r="E33" s="7"/>
      <c r="F33" s="7"/>
      <c r="G33" s="7"/>
      <c r="H33" s="7"/>
      <c r="I33" s="7"/>
      <c r="J33" s="7"/>
      <c r="K33" s="7"/>
      <c r="L33" s="7"/>
      <c r="M33" s="7"/>
      <c r="N33" s="7"/>
      <c r="O33" s="7"/>
      <c r="P33" s="7"/>
      <c r="Q33" s="7"/>
      <c r="R33" s="7"/>
      <c r="S33" s="7"/>
      <c r="T33" s="7"/>
      <c r="U33" s="7"/>
      <c r="V33" s="7"/>
      <c r="W33" s="7">
        <f t="shared" si="34"/>
        <v>0</v>
      </c>
      <c r="X33" s="7">
        <f t="shared" si="35"/>
        <v>0</v>
      </c>
      <c r="Y33" s="7">
        <f t="shared" si="36"/>
        <v>0</v>
      </c>
      <c r="Z33" s="38"/>
      <c r="AA33" s="32"/>
      <c r="AB33" s="7">
        <f t="shared" ref="AB33:AB38" si="38">AB19+W33</f>
        <v>0</v>
      </c>
      <c r="AC33" s="7" t="s">
        <v>23</v>
      </c>
      <c r="AD33" s="7">
        <f t="shared" ref="AD33:AM38" si="39">IF(B33 &gt; 0, IF(AD32 &gt; 0, AD32 + 1, 0.1), 0)</f>
        <v>0</v>
      </c>
      <c r="AE33" s="7">
        <f t="shared" si="39"/>
        <v>0</v>
      </c>
      <c r="AF33" s="7">
        <f t="shared" si="39"/>
        <v>0</v>
      </c>
      <c r="AG33" s="7">
        <f t="shared" si="39"/>
        <v>0</v>
      </c>
      <c r="AH33" s="7">
        <f t="shared" si="39"/>
        <v>0</v>
      </c>
      <c r="AI33" s="7">
        <f t="shared" si="39"/>
        <v>0</v>
      </c>
      <c r="AJ33" s="7">
        <f t="shared" si="39"/>
        <v>0</v>
      </c>
      <c r="AK33" s="7">
        <f t="shared" si="39"/>
        <v>0</v>
      </c>
      <c r="AL33" s="7">
        <f t="shared" si="39"/>
        <v>0</v>
      </c>
      <c r="AM33" s="7">
        <f t="shared" si="39"/>
        <v>0</v>
      </c>
      <c r="AN33" s="7">
        <f t="shared" ref="AN33:AT38" si="40">IF(L33 &gt; 0, IF(AN32 &gt; 0, AN32 + 1, 0.1), 0)</f>
        <v>0</v>
      </c>
      <c r="AO33" s="7">
        <f t="shared" si="40"/>
        <v>0</v>
      </c>
      <c r="AP33" s="7">
        <f t="shared" si="40"/>
        <v>0</v>
      </c>
      <c r="AQ33" s="7">
        <f t="shared" si="40"/>
        <v>0</v>
      </c>
      <c r="AR33" s="7">
        <f t="shared" si="40"/>
        <v>0</v>
      </c>
      <c r="AS33" s="7">
        <f t="shared" si="40"/>
        <v>0</v>
      </c>
      <c r="AT33" s="7">
        <f t="shared" si="40"/>
        <v>0</v>
      </c>
      <c r="AU33" s="7">
        <f t="shared" ref="AU33:AU38" si="41">IF(S33 &gt; 0, IF(AU25&gt; 0, AU25 + 1, 0.1), 0)</f>
        <v>0</v>
      </c>
      <c r="AV33" s="7">
        <f t="shared" ref="AV33:AW38" si="42">IF(T33 &gt; 0, IF(AV32 &gt; 0, AV32 + 1, 0.1), 0)</f>
        <v>0</v>
      </c>
      <c r="AW33" s="7">
        <f t="shared" si="42"/>
        <v>0</v>
      </c>
      <c r="AX33" s="7"/>
      <c r="AY33" s="7"/>
      <c r="AZ33" s="7">
        <f>SUM($B$33:B33)</f>
        <v>0</v>
      </c>
      <c r="BA33" s="7">
        <f>SUM($B$33:C33)</f>
        <v>0</v>
      </c>
      <c r="BB33" s="7">
        <f>SUM($B$33:D33)</f>
        <v>0</v>
      </c>
      <c r="BC33" s="7">
        <f>SUM($B$33:E33)</f>
        <v>0</v>
      </c>
      <c r="BD33" s="7">
        <f>SUM($B$33:F33)</f>
        <v>0</v>
      </c>
      <c r="BE33" s="7">
        <f>SUM($B$33:G33)</f>
        <v>0</v>
      </c>
      <c r="BF33" s="7">
        <f>SUM($B$33:H33)</f>
        <v>0</v>
      </c>
      <c r="BG33" s="7">
        <f>SUM($B$33:I33)</f>
        <v>0</v>
      </c>
      <c r="BH33" s="7">
        <f>SUM($B$33:J33)</f>
        <v>0</v>
      </c>
      <c r="BI33" s="7">
        <f>SUM($B$33:K33)</f>
        <v>0</v>
      </c>
      <c r="BJ33" s="7">
        <f>SUM($B$33:L33)</f>
        <v>0</v>
      </c>
      <c r="BK33" s="7">
        <f>SUM($B$33:M33)</f>
        <v>0</v>
      </c>
      <c r="BL33" s="7">
        <f>SUM($B$33:N33)</f>
        <v>0</v>
      </c>
      <c r="BM33" s="7">
        <f>SUM($B$33:O33)</f>
        <v>0</v>
      </c>
      <c r="BN33" s="7">
        <f>SUM($B$33:P33)</f>
        <v>0</v>
      </c>
      <c r="BO33" s="7">
        <f>SUM($B$33:Q33)</f>
        <v>0</v>
      </c>
      <c r="BP33" s="7">
        <f>SUM($B$33:R33)</f>
        <v>0</v>
      </c>
      <c r="BQ33" s="7">
        <f>SUM($B$33:S33)</f>
        <v>0</v>
      </c>
      <c r="BR33" s="7">
        <f>SUM($B$33:T33)</f>
        <v>0</v>
      </c>
      <c r="BS33" s="7">
        <f>SUM($B$33:U33)</f>
        <v>0</v>
      </c>
      <c r="BT33" s="7">
        <f>SUM($B$33:V33)</f>
        <v>0</v>
      </c>
      <c r="BU33" s="7">
        <f>SUM($BS$32:BS33)</f>
        <v>0</v>
      </c>
      <c r="BV33">
        <f t="shared" si="15"/>
        <v>0</v>
      </c>
      <c r="BW33">
        <f>SUM($BV$32:BV33)</f>
        <v>0</v>
      </c>
    </row>
    <row r="34" spans="1:75" x14ac:dyDescent="0.35">
      <c r="A34" s="110" t="s">
        <v>24</v>
      </c>
      <c r="B34" s="7"/>
      <c r="C34" s="7"/>
      <c r="D34" s="7"/>
      <c r="E34" s="7"/>
      <c r="F34" s="7"/>
      <c r="G34" s="7"/>
      <c r="H34" s="7"/>
      <c r="I34" s="7"/>
      <c r="J34" s="7"/>
      <c r="K34" s="7"/>
      <c r="L34" s="7"/>
      <c r="M34" s="7"/>
      <c r="N34" s="7"/>
      <c r="O34" s="7"/>
      <c r="P34" s="7"/>
      <c r="Q34" s="7"/>
      <c r="R34" s="7"/>
      <c r="S34" s="7"/>
      <c r="T34" s="7"/>
      <c r="U34" s="7"/>
      <c r="V34" s="7"/>
      <c r="W34" s="7">
        <f t="shared" si="34"/>
        <v>0</v>
      </c>
      <c r="X34" s="7">
        <f t="shared" si="35"/>
        <v>0</v>
      </c>
      <c r="Y34" s="7">
        <f t="shared" si="36"/>
        <v>0</v>
      </c>
      <c r="Z34" s="38"/>
      <c r="AA34" s="32"/>
      <c r="AB34" s="7">
        <f t="shared" si="38"/>
        <v>0</v>
      </c>
      <c r="AC34" s="7" t="s">
        <v>24</v>
      </c>
      <c r="AD34" s="7">
        <f t="shared" si="39"/>
        <v>0</v>
      </c>
      <c r="AE34" s="7">
        <f t="shared" si="39"/>
        <v>0</v>
      </c>
      <c r="AF34" s="7">
        <f t="shared" si="39"/>
        <v>0</v>
      </c>
      <c r="AG34" s="7">
        <f t="shared" si="39"/>
        <v>0</v>
      </c>
      <c r="AH34" s="7">
        <f t="shared" si="39"/>
        <v>0</v>
      </c>
      <c r="AI34" s="7">
        <f t="shared" si="39"/>
        <v>0</v>
      </c>
      <c r="AJ34" s="7">
        <f t="shared" si="39"/>
        <v>0</v>
      </c>
      <c r="AK34" s="7">
        <f t="shared" si="39"/>
        <v>0</v>
      </c>
      <c r="AL34" s="7">
        <f t="shared" si="39"/>
        <v>0</v>
      </c>
      <c r="AM34" s="7">
        <f t="shared" si="39"/>
        <v>0</v>
      </c>
      <c r="AN34" s="7">
        <f t="shared" si="40"/>
        <v>0</v>
      </c>
      <c r="AO34" s="7">
        <f t="shared" si="40"/>
        <v>0</v>
      </c>
      <c r="AP34" s="7">
        <f t="shared" si="40"/>
        <v>0</v>
      </c>
      <c r="AQ34" s="7">
        <f t="shared" si="40"/>
        <v>0</v>
      </c>
      <c r="AR34" s="7">
        <f t="shared" si="40"/>
        <v>0</v>
      </c>
      <c r="AS34" s="7">
        <f t="shared" si="40"/>
        <v>0</v>
      </c>
      <c r="AT34" s="7">
        <f t="shared" si="40"/>
        <v>0</v>
      </c>
      <c r="AU34" s="7">
        <f t="shared" si="41"/>
        <v>0</v>
      </c>
      <c r="AV34" s="7">
        <f t="shared" si="42"/>
        <v>0</v>
      </c>
      <c r="AW34" s="7">
        <f t="shared" si="42"/>
        <v>0</v>
      </c>
      <c r="AX34" s="7"/>
      <c r="AY34" s="7"/>
      <c r="AZ34" s="7">
        <f>SUM($B$34:B34)</f>
        <v>0</v>
      </c>
      <c r="BA34" s="7">
        <f>SUM($B$34:C34)</f>
        <v>0</v>
      </c>
      <c r="BB34" s="7">
        <f>SUM($B$34:D34)</f>
        <v>0</v>
      </c>
      <c r="BC34" s="7">
        <f>SUM($B$34:E34)</f>
        <v>0</v>
      </c>
      <c r="BD34" s="7">
        <f>SUM($B$34:F34)</f>
        <v>0</v>
      </c>
      <c r="BE34" s="7">
        <f>SUM($B$34:G34)</f>
        <v>0</v>
      </c>
      <c r="BF34" s="7">
        <f>SUM($B$34:H34)</f>
        <v>0</v>
      </c>
      <c r="BG34" s="7">
        <f>SUM($B$34:I34)</f>
        <v>0</v>
      </c>
      <c r="BH34" s="7">
        <f>SUM($B$34:J34)</f>
        <v>0</v>
      </c>
      <c r="BI34" s="7">
        <f>SUM($B$34:K34)</f>
        <v>0</v>
      </c>
      <c r="BJ34" s="7">
        <f>SUM($B$34:L34)</f>
        <v>0</v>
      </c>
      <c r="BK34" s="7">
        <f>SUM($B$34:M34)</f>
        <v>0</v>
      </c>
      <c r="BL34" s="7">
        <f>SUM($B$34:Q34)</f>
        <v>0</v>
      </c>
      <c r="BM34" s="7">
        <f>SUM($B$34:N34)</f>
        <v>0</v>
      </c>
      <c r="BN34" s="7">
        <f>SUM($B$34:O34)</f>
        <v>0</v>
      </c>
      <c r="BO34" s="7">
        <f>SUM($B$34:P34)</f>
        <v>0</v>
      </c>
      <c r="BP34" s="7">
        <f>SUM($B$34:R34)</f>
        <v>0</v>
      </c>
      <c r="BQ34" s="7">
        <f>SUM($B$34:S34)</f>
        <v>0</v>
      </c>
      <c r="BR34" s="7">
        <f>SUM($B$34:T34)</f>
        <v>0</v>
      </c>
      <c r="BS34" s="7">
        <f>SUM($B$34:V34)</f>
        <v>0</v>
      </c>
      <c r="BT34" s="7"/>
      <c r="BU34" s="7">
        <f>SUM($BS$32:BS34)</f>
        <v>0</v>
      </c>
      <c r="BV34">
        <f t="shared" si="15"/>
        <v>0</v>
      </c>
      <c r="BW34">
        <f>SUM($BV$32:BV34)</f>
        <v>0</v>
      </c>
    </row>
    <row r="35" spans="1:75" x14ac:dyDescent="0.35">
      <c r="A35" s="121" t="s">
        <v>25</v>
      </c>
      <c r="B35" s="7"/>
      <c r="C35" s="7"/>
      <c r="D35" s="7"/>
      <c r="E35" s="7"/>
      <c r="F35" s="7"/>
      <c r="G35" s="7"/>
      <c r="H35" s="7"/>
      <c r="I35" s="7"/>
      <c r="J35" s="7"/>
      <c r="K35" s="7"/>
      <c r="L35" s="7"/>
      <c r="M35" s="7"/>
      <c r="N35" s="7"/>
      <c r="O35" s="7"/>
      <c r="P35" s="7"/>
      <c r="Q35" s="7"/>
      <c r="R35" s="7"/>
      <c r="S35" s="7"/>
      <c r="T35" s="7"/>
      <c r="U35" s="7"/>
      <c r="V35" s="7"/>
      <c r="W35" s="7">
        <f t="shared" si="34"/>
        <v>0</v>
      </c>
      <c r="X35" s="7">
        <f t="shared" si="35"/>
        <v>0</v>
      </c>
      <c r="Y35" s="7">
        <f t="shared" si="36"/>
        <v>0</v>
      </c>
      <c r="Z35" s="38"/>
      <c r="AA35" s="32"/>
      <c r="AB35" s="7">
        <f t="shared" si="38"/>
        <v>0</v>
      </c>
      <c r="AC35" s="7" t="s">
        <v>25</v>
      </c>
      <c r="AD35" s="7">
        <f t="shared" si="39"/>
        <v>0</v>
      </c>
      <c r="AE35" s="7">
        <f t="shared" si="39"/>
        <v>0</v>
      </c>
      <c r="AF35" s="7">
        <f t="shared" si="39"/>
        <v>0</v>
      </c>
      <c r="AG35" s="7">
        <f t="shared" si="39"/>
        <v>0</v>
      </c>
      <c r="AH35" s="7">
        <f t="shared" si="39"/>
        <v>0</v>
      </c>
      <c r="AI35" s="7">
        <f t="shared" si="39"/>
        <v>0</v>
      </c>
      <c r="AJ35" s="7">
        <f t="shared" si="39"/>
        <v>0</v>
      </c>
      <c r="AK35" s="7">
        <f t="shared" si="39"/>
        <v>0</v>
      </c>
      <c r="AL35" s="7">
        <f t="shared" si="39"/>
        <v>0</v>
      </c>
      <c r="AM35" s="7">
        <f t="shared" si="39"/>
        <v>0</v>
      </c>
      <c r="AN35" s="7">
        <f t="shared" si="40"/>
        <v>0</v>
      </c>
      <c r="AO35" s="7">
        <f t="shared" si="40"/>
        <v>0</v>
      </c>
      <c r="AP35" s="7">
        <f t="shared" si="40"/>
        <v>0</v>
      </c>
      <c r="AQ35" s="7">
        <f t="shared" si="40"/>
        <v>0</v>
      </c>
      <c r="AR35" s="7">
        <f t="shared" si="40"/>
        <v>0</v>
      </c>
      <c r="AS35" s="7">
        <f t="shared" si="40"/>
        <v>0</v>
      </c>
      <c r="AT35" s="7">
        <f t="shared" si="40"/>
        <v>0</v>
      </c>
      <c r="AU35" s="7">
        <f t="shared" si="41"/>
        <v>0</v>
      </c>
      <c r="AV35" s="7">
        <f t="shared" si="42"/>
        <v>0</v>
      </c>
      <c r="AW35" s="7">
        <f t="shared" si="42"/>
        <v>0</v>
      </c>
      <c r="AX35" s="7"/>
      <c r="AY35" s="7"/>
      <c r="AZ35" s="7">
        <f>SUM($B$35:B35)</f>
        <v>0</v>
      </c>
      <c r="BA35" s="7">
        <f>SUM($B$35:C35)</f>
        <v>0</v>
      </c>
      <c r="BB35" s="7">
        <f>SUM($B$35:D35)</f>
        <v>0</v>
      </c>
      <c r="BC35" s="7">
        <f>SUM($B$35:E35)</f>
        <v>0</v>
      </c>
      <c r="BD35" s="7">
        <f>SUM($B$35:F35)</f>
        <v>0</v>
      </c>
      <c r="BE35" s="7">
        <f>SUM($B$35:G35)</f>
        <v>0</v>
      </c>
      <c r="BF35" s="7">
        <f>SUM($B$35:H35)</f>
        <v>0</v>
      </c>
      <c r="BG35" s="7">
        <f>SUM($B$35:I35)</f>
        <v>0</v>
      </c>
      <c r="BH35" s="7">
        <f>SUM($B$35:J35)</f>
        <v>0</v>
      </c>
      <c r="BI35" s="7">
        <f>SUM($B$35:K35)</f>
        <v>0</v>
      </c>
      <c r="BJ35" s="7">
        <f>SUM($B$35:L35)</f>
        <v>0</v>
      </c>
      <c r="BK35" s="7">
        <f>SUM($B$35:M35)</f>
        <v>0</v>
      </c>
      <c r="BL35" s="7">
        <f>SUM($B$35:Q35)</f>
        <v>0</v>
      </c>
      <c r="BM35" s="7">
        <f>SUM($B$35:N35)</f>
        <v>0</v>
      </c>
      <c r="BN35" s="7">
        <f>SUM($B$35:O35)</f>
        <v>0</v>
      </c>
      <c r="BO35" s="7">
        <f>SUM($B$35:P35)</f>
        <v>0</v>
      </c>
      <c r="BP35" s="7">
        <f>SUM($B$35:R35)</f>
        <v>0</v>
      </c>
      <c r="BQ35" s="7">
        <f>SUM($B$35:S35)</f>
        <v>0</v>
      </c>
      <c r="BR35" s="7">
        <f>SUM($B$35:T35)</f>
        <v>0</v>
      </c>
      <c r="BS35" s="7">
        <f>SUM($B$35:V35)</f>
        <v>0</v>
      </c>
      <c r="BT35" s="7"/>
      <c r="BU35" s="7">
        <f>SUM($BS$32:BS35)</f>
        <v>0</v>
      </c>
      <c r="BV35">
        <f t="shared" si="15"/>
        <v>0</v>
      </c>
      <c r="BW35">
        <f>SUM($BV$32:BV35)</f>
        <v>0</v>
      </c>
    </row>
    <row r="36" spans="1:75" x14ac:dyDescent="0.35">
      <c r="A36" s="132" t="s">
        <v>26</v>
      </c>
      <c r="B36" s="7"/>
      <c r="C36" s="7"/>
      <c r="D36" s="7"/>
      <c r="E36" s="7"/>
      <c r="F36" s="7"/>
      <c r="G36" s="7"/>
      <c r="H36" s="7"/>
      <c r="I36" s="7"/>
      <c r="J36" s="7"/>
      <c r="K36" s="7"/>
      <c r="L36" s="7"/>
      <c r="M36" s="7"/>
      <c r="N36" s="7"/>
      <c r="O36" s="7"/>
      <c r="P36" s="7"/>
      <c r="Q36" s="7"/>
      <c r="R36" s="7"/>
      <c r="S36" s="7"/>
      <c r="T36" s="7"/>
      <c r="U36" s="7"/>
      <c r="V36" s="7"/>
      <c r="W36" s="7">
        <f t="shared" si="34"/>
        <v>0</v>
      </c>
      <c r="X36" s="7">
        <f t="shared" si="35"/>
        <v>0</v>
      </c>
      <c r="Y36" s="7">
        <f t="shared" si="36"/>
        <v>0</v>
      </c>
      <c r="Z36" s="38"/>
      <c r="AA36" s="32"/>
      <c r="AB36" s="7">
        <f t="shared" si="38"/>
        <v>0</v>
      </c>
      <c r="AC36" s="7" t="s">
        <v>26</v>
      </c>
      <c r="AD36" s="7">
        <f t="shared" si="39"/>
        <v>0</v>
      </c>
      <c r="AE36" s="7">
        <f t="shared" si="39"/>
        <v>0</v>
      </c>
      <c r="AF36" s="7">
        <f t="shared" si="39"/>
        <v>0</v>
      </c>
      <c r="AG36" s="7">
        <f t="shared" si="39"/>
        <v>0</v>
      </c>
      <c r="AH36" s="7">
        <f t="shared" si="39"/>
        <v>0</v>
      </c>
      <c r="AI36" s="7">
        <f t="shared" si="39"/>
        <v>0</v>
      </c>
      <c r="AJ36" s="7">
        <f t="shared" si="39"/>
        <v>0</v>
      </c>
      <c r="AK36" s="7">
        <f t="shared" si="39"/>
        <v>0</v>
      </c>
      <c r="AL36" s="7">
        <f t="shared" si="39"/>
        <v>0</v>
      </c>
      <c r="AM36" s="7">
        <f t="shared" si="39"/>
        <v>0</v>
      </c>
      <c r="AN36" s="7">
        <f t="shared" si="40"/>
        <v>0</v>
      </c>
      <c r="AO36" s="7">
        <f t="shared" si="40"/>
        <v>0</v>
      </c>
      <c r="AP36" s="7">
        <f t="shared" si="40"/>
        <v>0</v>
      </c>
      <c r="AQ36" s="7">
        <f t="shared" si="40"/>
        <v>0</v>
      </c>
      <c r="AR36" s="7">
        <f t="shared" si="40"/>
        <v>0</v>
      </c>
      <c r="AS36" s="7">
        <f t="shared" si="40"/>
        <v>0</v>
      </c>
      <c r="AT36" s="7">
        <f t="shared" si="40"/>
        <v>0</v>
      </c>
      <c r="AU36" s="7">
        <f t="shared" si="41"/>
        <v>0</v>
      </c>
      <c r="AV36" s="7">
        <f t="shared" si="42"/>
        <v>0</v>
      </c>
      <c r="AW36" s="7">
        <f t="shared" si="42"/>
        <v>0</v>
      </c>
      <c r="AX36" s="7"/>
      <c r="AY36" s="7"/>
      <c r="AZ36" s="7">
        <f>SUM($B$36:B36)</f>
        <v>0</v>
      </c>
      <c r="BA36" s="7">
        <f>SUM($B$36:C36)</f>
        <v>0</v>
      </c>
      <c r="BB36" s="7">
        <f>SUM($B$36:D36)</f>
        <v>0</v>
      </c>
      <c r="BC36" s="7">
        <f>SUM($B$36:E36)</f>
        <v>0</v>
      </c>
      <c r="BD36" s="7">
        <f>SUM($B$36:F36)</f>
        <v>0</v>
      </c>
      <c r="BE36" s="7">
        <f>SUM($B$36:G36)</f>
        <v>0</v>
      </c>
      <c r="BF36" s="7">
        <f>SUM($B$36:H36)</f>
        <v>0</v>
      </c>
      <c r="BG36" s="7">
        <f>SUM($B$36:I36)</f>
        <v>0</v>
      </c>
      <c r="BH36" s="7">
        <f>SUM($B$36:J36)</f>
        <v>0</v>
      </c>
      <c r="BI36" s="7">
        <f>SUM($B$36:K36)</f>
        <v>0</v>
      </c>
      <c r="BJ36" s="7">
        <f>SUM($B$36:L36)</f>
        <v>0</v>
      </c>
      <c r="BK36" s="7">
        <f>SUM($B$36:M36)</f>
        <v>0</v>
      </c>
      <c r="BL36" s="7">
        <f>SUM($B$36:Q36)</f>
        <v>0</v>
      </c>
      <c r="BM36" s="7">
        <f>SUM($B$36:N36)</f>
        <v>0</v>
      </c>
      <c r="BN36" s="7">
        <f>SUM($B$36:O36)</f>
        <v>0</v>
      </c>
      <c r="BO36" s="7">
        <f>SUM($B$36:P36)</f>
        <v>0</v>
      </c>
      <c r="BP36" s="7">
        <f>SUM($B$36:R36)</f>
        <v>0</v>
      </c>
      <c r="BQ36" s="7">
        <f>SUM($B$36:S36)</f>
        <v>0</v>
      </c>
      <c r="BR36" s="7">
        <f>SUM($B$36:T36)</f>
        <v>0</v>
      </c>
      <c r="BS36" s="7">
        <f>SUM($B$36:V36)</f>
        <v>0</v>
      </c>
      <c r="BT36" s="7"/>
      <c r="BU36" s="7">
        <f>SUM($BS$32:BS36)</f>
        <v>0</v>
      </c>
      <c r="BV36">
        <f t="shared" si="15"/>
        <v>0</v>
      </c>
      <c r="BW36">
        <f>SUM($BV$32:BV36)</f>
        <v>0</v>
      </c>
    </row>
    <row r="37" spans="1:75" x14ac:dyDescent="0.35">
      <c r="A37" s="143" t="s">
        <v>27</v>
      </c>
      <c r="B37" s="7"/>
      <c r="C37" s="7"/>
      <c r="D37" s="7"/>
      <c r="E37" s="7"/>
      <c r="F37" s="7"/>
      <c r="G37" s="7"/>
      <c r="H37" s="7"/>
      <c r="I37" s="7"/>
      <c r="J37" s="7"/>
      <c r="K37" s="7"/>
      <c r="L37" s="7"/>
      <c r="M37" s="7"/>
      <c r="N37" s="7"/>
      <c r="O37" s="7"/>
      <c r="P37" s="7"/>
      <c r="Q37" s="7"/>
      <c r="R37" s="7"/>
      <c r="S37" s="7"/>
      <c r="T37" s="7"/>
      <c r="U37" s="7"/>
      <c r="V37" s="7"/>
      <c r="W37" s="7">
        <f t="shared" si="34"/>
        <v>0</v>
      </c>
      <c r="X37" s="7">
        <f t="shared" si="35"/>
        <v>0</v>
      </c>
      <c r="Y37" s="7">
        <f t="shared" si="36"/>
        <v>0</v>
      </c>
      <c r="Z37" s="38"/>
      <c r="AA37" s="32"/>
      <c r="AB37" s="7">
        <f t="shared" si="38"/>
        <v>0</v>
      </c>
      <c r="AC37" s="7" t="s">
        <v>27</v>
      </c>
      <c r="AD37" s="7">
        <f t="shared" si="39"/>
        <v>0</v>
      </c>
      <c r="AE37" s="7">
        <f t="shared" si="39"/>
        <v>0</v>
      </c>
      <c r="AF37" s="7">
        <f t="shared" si="39"/>
        <v>0</v>
      </c>
      <c r="AG37" s="7">
        <f t="shared" si="39"/>
        <v>0</v>
      </c>
      <c r="AH37" s="7">
        <f t="shared" si="39"/>
        <v>0</v>
      </c>
      <c r="AI37" s="7">
        <f t="shared" si="39"/>
        <v>0</v>
      </c>
      <c r="AJ37" s="7">
        <f t="shared" si="39"/>
        <v>0</v>
      </c>
      <c r="AK37" s="7">
        <f t="shared" si="39"/>
        <v>0</v>
      </c>
      <c r="AL37" s="7">
        <f t="shared" si="39"/>
        <v>0</v>
      </c>
      <c r="AM37" s="7">
        <f t="shared" si="39"/>
        <v>0</v>
      </c>
      <c r="AN37" s="7">
        <f t="shared" si="40"/>
        <v>0</v>
      </c>
      <c r="AO37" s="7">
        <f t="shared" si="40"/>
        <v>0</v>
      </c>
      <c r="AP37" s="7">
        <f t="shared" si="40"/>
        <v>0</v>
      </c>
      <c r="AQ37" s="7">
        <f t="shared" si="40"/>
        <v>0</v>
      </c>
      <c r="AR37" s="7">
        <f t="shared" si="40"/>
        <v>0</v>
      </c>
      <c r="AS37" s="7">
        <f t="shared" si="40"/>
        <v>0</v>
      </c>
      <c r="AT37" s="7">
        <f t="shared" si="40"/>
        <v>0</v>
      </c>
      <c r="AU37" s="7">
        <f t="shared" si="41"/>
        <v>0</v>
      </c>
      <c r="AV37" s="7">
        <f t="shared" si="42"/>
        <v>0</v>
      </c>
      <c r="AW37" s="7">
        <f t="shared" si="42"/>
        <v>0</v>
      </c>
      <c r="AX37" s="7"/>
      <c r="AY37" s="7"/>
      <c r="AZ37" s="7">
        <f>SUM($B$37:B37)</f>
        <v>0</v>
      </c>
      <c r="BA37" s="7">
        <f>SUM($B$37:C37)</f>
        <v>0</v>
      </c>
      <c r="BB37" s="7">
        <f>SUM($B$37:D37)</f>
        <v>0</v>
      </c>
      <c r="BC37" s="7">
        <f>SUM($B$37:E37)</f>
        <v>0</v>
      </c>
      <c r="BD37" s="7">
        <f>SUM($B$37:F37)</f>
        <v>0</v>
      </c>
      <c r="BE37" s="7">
        <f>SUM($B$37:G37)</f>
        <v>0</v>
      </c>
      <c r="BF37" s="7">
        <f>SUM($B$37:H37)</f>
        <v>0</v>
      </c>
      <c r="BG37" s="7">
        <f>SUM($B$37:I37)</f>
        <v>0</v>
      </c>
      <c r="BH37" s="7">
        <f>SUM($B$37:J37)</f>
        <v>0</v>
      </c>
      <c r="BI37" s="7">
        <f>SUM($B$37:K37)</f>
        <v>0</v>
      </c>
      <c r="BJ37" s="7">
        <f>SUM($B$37:L37)</f>
        <v>0</v>
      </c>
      <c r="BK37" s="7">
        <f>SUM($B$37:M37)</f>
        <v>0</v>
      </c>
      <c r="BL37" s="7">
        <f>SUM($B$37:Q37)</f>
        <v>0</v>
      </c>
      <c r="BM37" s="7">
        <f>SUM($B$37:N37)</f>
        <v>0</v>
      </c>
      <c r="BN37" s="7">
        <f>SUM($B$37:O37)</f>
        <v>0</v>
      </c>
      <c r="BO37" s="7">
        <f>SUM($B$37:P37)</f>
        <v>0</v>
      </c>
      <c r="BP37" s="7">
        <f>SUM($B$37:R37)</f>
        <v>0</v>
      </c>
      <c r="BQ37" s="7">
        <f>SUM($B$37:S37)</f>
        <v>0</v>
      </c>
      <c r="BR37" s="7">
        <f>SUM($B$37:T37)</f>
        <v>0</v>
      </c>
      <c r="BS37" s="7">
        <f>SUM($B$37:V37)</f>
        <v>0</v>
      </c>
      <c r="BT37" s="7"/>
      <c r="BU37" s="7">
        <f>SUM($BS$32:BS37)</f>
        <v>0</v>
      </c>
      <c r="BV37">
        <f t="shared" si="15"/>
        <v>0</v>
      </c>
      <c r="BW37">
        <f>SUM($BV$32:BV37)</f>
        <v>0</v>
      </c>
    </row>
    <row r="38" spans="1:75" ht="14.5" customHeight="1" x14ac:dyDescent="0.35">
      <c r="A38" s="153" t="s">
        <v>28</v>
      </c>
      <c r="B38" s="7"/>
      <c r="C38" s="7"/>
      <c r="D38" s="7"/>
      <c r="E38" s="7"/>
      <c r="F38" s="7"/>
      <c r="G38" s="7"/>
      <c r="H38" s="7"/>
      <c r="I38" s="7"/>
      <c r="J38" s="7"/>
      <c r="K38" s="7"/>
      <c r="L38" s="7"/>
      <c r="M38" s="7"/>
      <c r="N38" s="7"/>
      <c r="O38" s="7"/>
      <c r="P38" s="7"/>
      <c r="Q38" s="7"/>
      <c r="R38" s="7"/>
      <c r="S38" s="7"/>
      <c r="T38" s="7"/>
      <c r="U38" s="7"/>
      <c r="V38" s="7"/>
      <c r="W38" s="7">
        <f t="shared" si="34"/>
        <v>0</v>
      </c>
      <c r="X38" s="7">
        <f t="shared" si="35"/>
        <v>0</v>
      </c>
      <c r="Y38" s="7">
        <f t="shared" si="36"/>
        <v>0</v>
      </c>
      <c r="Z38" s="38"/>
      <c r="AA38" s="32"/>
      <c r="AB38" s="7">
        <f t="shared" si="38"/>
        <v>0</v>
      </c>
      <c r="AC38" s="7" t="s">
        <v>28</v>
      </c>
      <c r="AD38" s="7">
        <f t="shared" si="39"/>
        <v>0</v>
      </c>
      <c r="AE38" s="7">
        <f t="shared" si="39"/>
        <v>0</v>
      </c>
      <c r="AF38" s="7">
        <f t="shared" si="39"/>
        <v>0</v>
      </c>
      <c r="AG38" s="7">
        <f t="shared" si="39"/>
        <v>0</v>
      </c>
      <c r="AH38" s="7">
        <f t="shared" si="39"/>
        <v>0</v>
      </c>
      <c r="AI38" s="7">
        <f t="shared" si="39"/>
        <v>0</v>
      </c>
      <c r="AJ38" s="7">
        <f t="shared" si="39"/>
        <v>0</v>
      </c>
      <c r="AK38" s="7">
        <f t="shared" si="39"/>
        <v>0</v>
      </c>
      <c r="AL38" s="7">
        <f t="shared" si="39"/>
        <v>0</v>
      </c>
      <c r="AM38" s="7">
        <f t="shared" si="39"/>
        <v>0</v>
      </c>
      <c r="AN38" s="7">
        <f t="shared" si="40"/>
        <v>0</v>
      </c>
      <c r="AO38" s="7">
        <f t="shared" si="40"/>
        <v>0</v>
      </c>
      <c r="AP38" s="7">
        <f t="shared" si="40"/>
        <v>0</v>
      </c>
      <c r="AQ38" s="7">
        <f t="shared" si="40"/>
        <v>0</v>
      </c>
      <c r="AR38" s="7">
        <f t="shared" si="40"/>
        <v>0</v>
      </c>
      <c r="AS38" s="7">
        <f t="shared" si="40"/>
        <v>0</v>
      </c>
      <c r="AT38" s="7">
        <f t="shared" si="40"/>
        <v>0</v>
      </c>
      <c r="AU38" s="7">
        <f t="shared" si="41"/>
        <v>0</v>
      </c>
      <c r="AV38" s="7">
        <f t="shared" si="42"/>
        <v>0</v>
      </c>
      <c r="AW38" s="7">
        <f t="shared" si="42"/>
        <v>0</v>
      </c>
      <c r="AX38" s="7"/>
      <c r="AY38" s="7"/>
      <c r="AZ38" s="7">
        <f>SUM($B$38:B38)</f>
        <v>0</v>
      </c>
      <c r="BA38" s="7">
        <f>SUM($B$38:C38)</f>
        <v>0</v>
      </c>
      <c r="BB38" s="7">
        <f>SUM($B$38:D38)</f>
        <v>0</v>
      </c>
      <c r="BC38" s="7">
        <f>SUM($B$38:E38)</f>
        <v>0</v>
      </c>
      <c r="BD38" s="7">
        <f>SUM($B$38:F38)</f>
        <v>0</v>
      </c>
      <c r="BE38" s="7">
        <f>SUM($B$38:G38)</f>
        <v>0</v>
      </c>
      <c r="BF38" s="7">
        <f>SUM($B$38:H38)</f>
        <v>0</v>
      </c>
      <c r="BG38" s="7">
        <f>SUM($B$38:I38)</f>
        <v>0</v>
      </c>
      <c r="BH38" s="7">
        <f>SUM($B$38:J38)</f>
        <v>0</v>
      </c>
      <c r="BI38" s="7">
        <f>SUM($B$38:K38)</f>
        <v>0</v>
      </c>
      <c r="BJ38" s="7">
        <f>SUM($B$38:L38)</f>
        <v>0</v>
      </c>
      <c r="BK38" s="7">
        <f>SUM($B$38:M38)</f>
        <v>0</v>
      </c>
      <c r="BL38" s="7">
        <f>SUM($B$38:Q38)</f>
        <v>0</v>
      </c>
      <c r="BM38" s="7">
        <f>SUM($B$38:N38)</f>
        <v>0</v>
      </c>
      <c r="BN38" s="7">
        <f>SUM($B$38:O38)</f>
        <v>0</v>
      </c>
      <c r="BO38" s="7">
        <f>SUM($B$38:P38)</f>
        <v>0</v>
      </c>
      <c r="BP38" s="7">
        <f>SUM($B$38:R38)</f>
        <v>0</v>
      </c>
      <c r="BQ38" s="7">
        <f>SUM($B$38:S38)</f>
        <v>0</v>
      </c>
      <c r="BR38" s="7">
        <f>SUM($B$38:T38)</f>
        <v>0</v>
      </c>
      <c r="BS38" s="7">
        <f>SUM($B$38:V38)</f>
        <v>0</v>
      </c>
      <c r="BT38" s="7"/>
      <c r="BU38" s="7">
        <f>SUM($BS$32:BS38)</f>
        <v>0</v>
      </c>
      <c r="BV38">
        <f t="shared" si="15"/>
        <v>0</v>
      </c>
      <c r="BW38">
        <f>SUM($BV$32:BV38)</f>
        <v>0</v>
      </c>
    </row>
    <row r="39" spans="1:75" x14ac:dyDescent="0.35">
      <c r="A39" s="33" t="s">
        <v>29</v>
      </c>
      <c r="B39" s="7">
        <f t="shared" ref="B39:T39" si="43">SUM(B32:B38)</f>
        <v>0</v>
      </c>
      <c r="C39" s="7">
        <f t="shared" si="43"/>
        <v>0</v>
      </c>
      <c r="D39" s="7">
        <f t="shared" si="43"/>
        <v>0</v>
      </c>
      <c r="E39" s="7">
        <f t="shared" si="43"/>
        <v>0</v>
      </c>
      <c r="F39" s="7">
        <f t="shared" si="43"/>
        <v>0</v>
      </c>
      <c r="G39" s="7">
        <f t="shared" si="43"/>
        <v>0</v>
      </c>
      <c r="H39" s="7">
        <f t="shared" si="43"/>
        <v>0</v>
      </c>
      <c r="I39" s="7">
        <f t="shared" si="43"/>
        <v>0</v>
      </c>
      <c r="J39" s="7">
        <f t="shared" si="43"/>
        <v>0</v>
      </c>
      <c r="K39" s="7">
        <f>SUM(K32:K38)</f>
        <v>0</v>
      </c>
      <c r="L39" s="7">
        <f t="shared" si="43"/>
        <v>0</v>
      </c>
      <c r="M39" s="7">
        <f t="shared" si="43"/>
        <v>0</v>
      </c>
      <c r="N39" s="7">
        <f t="shared" si="43"/>
        <v>0</v>
      </c>
      <c r="O39" s="7">
        <f t="shared" si="43"/>
        <v>0</v>
      </c>
      <c r="P39" s="7">
        <f t="shared" si="43"/>
        <v>0</v>
      </c>
      <c r="Q39" s="7">
        <f>SUM(Q32:Q38)</f>
        <v>0</v>
      </c>
      <c r="R39" s="7">
        <f t="shared" si="43"/>
        <v>0</v>
      </c>
      <c r="S39" s="7">
        <f t="shared" si="43"/>
        <v>0</v>
      </c>
      <c r="T39" s="7">
        <f t="shared" si="43"/>
        <v>0</v>
      </c>
      <c r="U39" s="7">
        <f t="shared" ref="U39" si="44">SUM(U32:U38)</f>
        <v>0</v>
      </c>
      <c r="V39" s="7">
        <f>SUM(V32:V38)</f>
        <v>0</v>
      </c>
      <c r="W39" s="31">
        <f>SUM(W32:W38)</f>
        <v>0</v>
      </c>
      <c r="X39" s="7"/>
      <c r="Y39" s="7"/>
      <c r="Z39" s="38" t="s">
        <v>173</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row>
    <row r="40" spans="1:75" x14ac:dyDescent="0.35">
      <c r="A40" s="33" t="s">
        <v>30</v>
      </c>
      <c r="B40" s="7">
        <f t="shared" ref="B40:T40" si="45">B39-B25</f>
        <v>0</v>
      </c>
      <c r="C40" s="7">
        <f t="shared" si="45"/>
        <v>0</v>
      </c>
      <c r="D40" s="7">
        <f t="shared" si="45"/>
        <v>0</v>
      </c>
      <c r="E40" s="7">
        <f t="shared" si="45"/>
        <v>0</v>
      </c>
      <c r="F40" s="7">
        <f t="shared" si="45"/>
        <v>0</v>
      </c>
      <c r="G40" s="7">
        <f t="shared" si="45"/>
        <v>0</v>
      </c>
      <c r="H40" s="7">
        <f t="shared" si="45"/>
        <v>0</v>
      </c>
      <c r="I40" s="7">
        <f t="shared" si="45"/>
        <v>0</v>
      </c>
      <c r="J40" s="7">
        <f t="shared" si="45"/>
        <v>0</v>
      </c>
      <c r="K40" s="7">
        <f>K39-K25</f>
        <v>0</v>
      </c>
      <c r="L40" s="7">
        <f t="shared" si="45"/>
        <v>0</v>
      </c>
      <c r="M40" s="7">
        <f t="shared" si="45"/>
        <v>0</v>
      </c>
      <c r="N40" s="7">
        <f t="shared" si="45"/>
        <v>0</v>
      </c>
      <c r="O40" s="7">
        <f t="shared" si="45"/>
        <v>0</v>
      </c>
      <c r="P40" s="7">
        <f t="shared" si="45"/>
        <v>0</v>
      </c>
      <c r="Q40" s="7">
        <f>Q39-Q25</f>
        <v>0</v>
      </c>
      <c r="R40" s="7">
        <f t="shared" si="45"/>
        <v>0</v>
      </c>
      <c r="S40" s="7">
        <f t="shared" si="45"/>
        <v>0</v>
      </c>
      <c r="T40" s="7">
        <f t="shared" si="45"/>
        <v>0</v>
      </c>
      <c r="U40" s="7">
        <f t="shared" ref="U40" si="46">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row>
    <row r="41" spans="1:75" x14ac:dyDescent="0.35">
      <c r="A41" s="33" t="s">
        <v>110</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cm="1">
        <f t="array" ref="S41">IF(COUNTIF(AU32:AU38,0)=0,
    LOOKUP(2,1/(AU32:AU38&lt;&gt;""),AU32:AU38),
    MATCH(0,INDEX(AU32:AU38,MAX(ROW(AU32:AU38))-ROW(AU32:AU38)+1),0)-1
)</f>
        <v>0</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row>
    <row r="42" spans="1:75" x14ac:dyDescent="0.35">
      <c r="A42" s="33" t="s">
        <v>99</v>
      </c>
      <c r="B42" s="7">
        <f>B39+B28</f>
        <v>2</v>
      </c>
      <c r="C42" s="7">
        <f t="shared" ref="C42:T42" si="47">C39+C28</f>
        <v>0</v>
      </c>
      <c r="D42" s="7">
        <f t="shared" si="47"/>
        <v>5</v>
      </c>
      <c r="E42" s="7">
        <f t="shared" si="47"/>
        <v>9</v>
      </c>
      <c r="F42" s="7">
        <f t="shared" si="47"/>
        <v>4</v>
      </c>
      <c r="G42" s="7">
        <f t="shared" si="47"/>
        <v>0</v>
      </c>
      <c r="H42" s="7">
        <f t="shared" si="47"/>
        <v>0</v>
      </c>
      <c r="I42" s="7">
        <f t="shared" si="47"/>
        <v>3</v>
      </c>
      <c r="J42" s="7">
        <f t="shared" si="47"/>
        <v>0</v>
      </c>
      <c r="K42" s="7">
        <f>K39+K28</f>
        <v>0.75</v>
      </c>
      <c r="L42" s="7">
        <f t="shared" si="47"/>
        <v>2</v>
      </c>
      <c r="M42" s="7">
        <f t="shared" si="47"/>
        <v>1</v>
      </c>
      <c r="N42" s="7">
        <f t="shared" si="47"/>
        <v>2.5</v>
      </c>
      <c r="O42" s="7">
        <f t="shared" si="47"/>
        <v>2</v>
      </c>
      <c r="P42" s="7">
        <f t="shared" si="47"/>
        <v>0</v>
      </c>
      <c r="Q42" s="7">
        <f>Q39+Q28</f>
        <v>0</v>
      </c>
      <c r="R42" s="7">
        <f t="shared" si="47"/>
        <v>1</v>
      </c>
      <c r="S42" s="7">
        <f t="shared" si="47"/>
        <v>3</v>
      </c>
      <c r="T42" s="7">
        <f t="shared" si="47"/>
        <v>0</v>
      </c>
      <c r="U42" s="7">
        <f t="shared" ref="U42" si="48">U39+U28</f>
        <v>-1</v>
      </c>
      <c r="V42" s="7">
        <f>V39+V28</f>
        <v>2</v>
      </c>
      <c r="W42" s="7">
        <f>SUM(W28,W39)</f>
        <v>36.25</v>
      </c>
      <c r="X42" s="7"/>
      <c r="Y42" s="7">
        <f>SUM(Y32:Y38)</f>
        <v>0</v>
      </c>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row>
    <row r="43" spans="1:75" x14ac:dyDescent="0.35">
      <c r="A43" s="33" t="s">
        <v>112</v>
      </c>
      <c r="B43" s="174">
        <f>(COUNTIF(B4:B10, "&gt;0")+COUNTIF(B18:B24, "&gt;0") + COUNTIF(B32:B38, "&gt;0")) / 21</f>
        <v>4.7619047619047616E-2</v>
      </c>
      <c r="C43" s="174">
        <f t="shared" ref="C43:O43" si="49">(COUNTIF(C4:C10, "&gt;0")+COUNTIF(C18:C24, "&gt;0") + COUNTIF(C32:C38, "&gt;0")) / 21</f>
        <v>0</v>
      </c>
      <c r="D43" s="174">
        <f t="shared" si="49"/>
        <v>4.7619047619047616E-2</v>
      </c>
      <c r="E43" s="174">
        <f t="shared" si="49"/>
        <v>4.7619047619047616E-2</v>
      </c>
      <c r="F43" s="174">
        <f t="shared" si="49"/>
        <v>4.7619047619047616E-2</v>
      </c>
      <c r="G43" s="174">
        <f t="shared" si="49"/>
        <v>0</v>
      </c>
      <c r="H43" s="174">
        <f t="shared" si="49"/>
        <v>0</v>
      </c>
      <c r="I43" s="174">
        <f t="shared" si="49"/>
        <v>4.7619047619047616E-2</v>
      </c>
      <c r="J43" s="174">
        <f t="shared" si="49"/>
        <v>0</v>
      </c>
      <c r="K43" s="174">
        <f t="shared" si="49"/>
        <v>4.7619047619047616E-2</v>
      </c>
      <c r="L43" s="174">
        <f t="shared" si="49"/>
        <v>4.7619047619047616E-2</v>
      </c>
      <c r="M43" s="174">
        <f t="shared" si="49"/>
        <v>4.7619047619047616E-2</v>
      </c>
      <c r="N43" s="174">
        <f t="shared" si="49"/>
        <v>4.7619047619047616E-2</v>
      </c>
      <c r="O43" s="174">
        <f t="shared" si="49"/>
        <v>4.7619047619047616E-2</v>
      </c>
      <c r="P43" s="7"/>
      <c r="Q43" s="7"/>
      <c r="R43" s="7"/>
      <c r="S43" s="7"/>
      <c r="T43" s="7"/>
      <c r="U43" s="33" t="s">
        <v>31</v>
      </c>
      <c r="V43" s="7">
        <f>SUMIF(B39:V39,"&lt;0",B39:V39)</f>
        <v>0</v>
      </c>
      <c r="W43" s="7">
        <f>SUMIF(B39:V39,"&gt;0",B39:V39)</f>
        <v>0</v>
      </c>
      <c r="Y43" s="7"/>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row>
    <row r="44" spans="1:75"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c r="AZ44" s="7" t="s">
        <v>123</v>
      </c>
      <c r="BA44" s="7"/>
      <c r="BB44" s="7"/>
      <c r="BC44" s="7"/>
      <c r="BD44" s="7"/>
      <c r="BE44" s="7"/>
      <c r="BF44" s="7"/>
      <c r="BG44" s="7"/>
      <c r="BH44" s="7"/>
      <c r="BI44" s="7"/>
      <c r="BJ44" s="7"/>
      <c r="BK44" s="7"/>
      <c r="BL44" s="7"/>
      <c r="BM44" s="7"/>
      <c r="BN44" s="7"/>
      <c r="BO44" s="7"/>
      <c r="BP44" s="7"/>
      <c r="BQ44" s="7"/>
      <c r="BR44" s="7"/>
      <c r="BS44" s="7"/>
      <c r="BT44" s="7"/>
      <c r="BU44" s="7"/>
    </row>
    <row r="45" spans="1:75" x14ac:dyDescent="0.35">
      <c r="A45" s="99" t="s">
        <v>36</v>
      </c>
      <c r="B45" s="40">
        <f>C31+1</f>
        <v>46048</v>
      </c>
      <c r="C45" s="40">
        <f>B45+6</f>
        <v>46054</v>
      </c>
      <c r="D45" s="7"/>
      <c r="E45" s="7"/>
      <c r="F45" s="7"/>
      <c r="G45" s="7"/>
      <c r="H45" s="7"/>
      <c r="I45" s="7" t="s">
        <v>82</v>
      </c>
      <c r="J45" s="7" t="s">
        <v>83</v>
      </c>
      <c r="K45" s="7"/>
      <c r="L45" s="7"/>
      <c r="M45" s="7"/>
      <c r="N45" s="7"/>
      <c r="O45" s="7"/>
      <c r="P45" s="7"/>
      <c r="Q45" s="7"/>
      <c r="R45" s="7"/>
      <c r="S45" s="7"/>
      <c r="T45" s="7"/>
      <c r="U45" s="7"/>
      <c r="V45" s="7"/>
      <c r="W45" s="7"/>
      <c r="X45" s="7"/>
      <c r="Y45" s="7"/>
      <c r="Z45" s="11"/>
      <c r="AA45" s="11"/>
      <c r="AB45" s="7"/>
      <c r="AC45" s="7" t="s">
        <v>65</v>
      </c>
      <c r="AD45" s="7"/>
      <c r="AE45" s="7"/>
      <c r="AF45" s="7"/>
      <c r="AG45" s="7"/>
      <c r="AH45" s="7"/>
      <c r="AI45" s="7"/>
      <c r="AJ45" s="7"/>
      <c r="AK45" s="7"/>
      <c r="AL45" s="7"/>
      <c r="AM45" s="7"/>
      <c r="AN45" s="7"/>
      <c r="AO45" s="7"/>
      <c r="AP45" s="7"/>
      <c r="AQ45" s="7"/>
      <c r="AR45" s="7"/>
      <c r="AS45" s="7"/>
      <c r="AT45" s="7"/>
      <c r="AU45" s="7"/>
      <c r="AV45" s="7"/>
      <c r="AW45" s="7"/>
      <c r="AX45" s="7"/>
      <c r="AY45" s="7"/>
      <c r="AZ45" s="12"/>
      <c r="BA45" s="12"/>
      <c r="BB45" s="12"/>
      <c r="BC45" s="12"/>
      <c r="BD45" s="12"/>
      <c r="BE45" s="12"/>
      <c r="BF45" s="12"/>
      <c r="BG45" s="12"/>
      <c r="BH45" s="12"/>
      <c r="BI45" s="12"/>
      <c r="BJ45" s="12"/>
      <c r="BK45" s="12"/>
      <c r="BL45" s="12"/>
      <c r="BM45" s="12"/>
      <c r="BN45" s="12"/>
      <c r="BO45" s="12"/>
      <c r="BP45" s="12"/>
      <c r="BQ45" s="12"/>
      <c r="BR45" s="12"/>
      <c r="BS45" s="12"/>
      <c r="BT45" s="203"/>
      <c r="BU45" s="12">
        <v>0</v>
      </c>
      <c r="BW45">
        <v>0</v>
      </c>
    </row>
    <row r="46" spans="1:75" x14ac:dyDescent="0.35">
      <c r="A46" s="77" t="s">
        <v>22</v>
      </c>
      <c r="B46" s="7"/>
      <c r="C46" s="7"/>
      <c r="D46" s="7"/>
      <c r="E46" s="7"/>
      <c r="F46" s="7"/>
      <c r="G46" s="7"/>
      <c r="H46" s="7"/>
      <c r="I46" s="7"/>
      <c r="J46" s="7"/>
      <c r="K46" s="7"/>
      <c r="L46" s="7"/>
      <c r="M46" s="7"/>
      <c r="N46" s="7"/>
      <c r="O46" s="7"/>
      <c r="P46" s="7"/>
      <c r="Q46" s="7"/>
      <c r="R46" s="7"/>
      <c r="S46" s="7"/>
      <c r="T46" s="7"/>
      <c r="U46" s="7"/>
      <c r="V46" s="7"/>
      <c r="W46" s="7">
        <f t="shared" ref="W46:W52" si="50">SUM(B46:V46)</f>
        <v>0</v>
      </c>
      <c r="X46" s="7">
        <f t="shared" ref="X46:X52" si="51">SUM(AD46:AW46)*0.1</f>
        <v>0</v>
      </c>
      <c r="Y46" s="7">
        <f t="shared" ref="Y46:Y52" si="52">W46+X46</f>
        <v>0</v>
      </c>
      <c r="Z46" s="39"/>
      <c r="AA46" s="190"/>
      <c r="AB46" s="7">
        <f>W46+AB32</f>
        <v>36.25</v>
      </c>
      <c r="AC46" s="7" t="s">
        <v>22</v>
      </c>
      <c r="AD46" s="7">
        <f t="shared" ref="AD46:AW46" si="53">IF(B46 &gt; 0, IF(AD38&gt; 0, AD38 + 1, 0.1), 0)</f>
        <v>0</v>
      </c>
      <c r="AE46" s="7">
        <f t="shared" si="53"/>
        <v>0</v>
      </c>
      <c r="AF46" s="7">
        <f t="shared" si="53"/>
        <v>0</v>
      </c>
      <c r="AG46" s="7">
        <f t="shared" si="53"/>
        <v>0</v>
      </c>
      <c r="AH46" s="7">
        <f t="shared" si="53"/>
        <v>0</v>
      </c>
      <c r="AI46" s="7">
        <f t="shared" si="53"/>
        <v>0</v>
      </c>
      <c r="AJ46" s="7">
        <f t="shared" si="53"/>
        <v>0</v>
      </c>
      <c r="AK46" s="7">
        <f t="shared" si="53"/>
        <v>0</v>
      </c>
      <c r="AL46" s="7">
        <f t="shared" si="53"/>
        <v>0</v>
      </c>
      <c r="AM46" s="7">
        <f t="shared" si="53"/>
        <v>0</v>
      </c>
      <c r="AN46" s="7">
        <f t="shared" si="53"/>
        <v>0</v>
      </c>
      <c r="AO46" s="7">
        <f t="shared" si="53"/>
        <v>0</v>
      </c>
      <c r="AP46" s="7">
        <f t="shared" si="53"/>
        <v>0</v>
      </c>
      <c r="AQ46" s="7">
        <f t="shared" si="53"/>
        <v>0</v>
      </c>
      <c r="AR46" s="7">
        <f t="shared" si="53"/>
        <v>0</v>
      </c>
      <c r="AS46" s="7">
        <f t="shared" si="53"/>
        <v>0</v>
      </c>
      <c r="AT46" s="7">
        <f t="shared" si="53"/>
        <v>0</v>
      </c>
      <c r="AU46" s="7">
        <f t="shared" si="53"/>
        <v>0</v>
      </c>
      <c r="AV46" s="7">
        <f t="shared" si="53"/>
        <v>0</v>
      </c>
      <c r="AW46" s="7">
        <f t="shared" si="53"/>
        <v>0</v>
      </c>
      <c r="AX46" s="7"/>
      <c r="AY46" s="7"/>
      <c r="AZ46" s="7">
        <f>SUM($B$46:B46)</f>
        <v>0</v>
      </c>
      <c r="BA46" s="7">
        <f>SUM($B$46:C46)</f>
        <v>0</v>
      </c>
      <c r="BB46" s="7">
        <f>SUM($B$46:D46)</f>
        <v>0</v>
      </c>
      <c r="BC46" s="7">
        <f>SUM($B$46:E46)</f>
        <v>0</v>
      </c>
      <c r="BD46" s="7">
        <f>SUM($B$46:F46)</f>
        <v>0</v>
      </c>
      <c r="BE46" s="7">
        <f>SUM($B$46:G46)</f>
        <v>0</v>
      </c>
      <c r="BF46" s="7">
        <f>SUM($B$46:H46)</f>
        <v>0</v>
      </c>
      <c r="BG46" s="7">
        <f>SUM($B$46:I46)</f>
        <v>0</v>
      </c>
      <c r="BH46" s="7">
        <f>SUM($B$46:J46)</f>
        <v>0</v>
      </c>
      <c r="BI46" s="7">
        <f>SUM($B$46:K46)</f>
        <v>0</v>
      </c>
      <c r="BJ46" s="7">
        <f>SUM($B$46:L46)</f>
        <v>0</v>
      </c>
      <c r="BK46" s="7">
        <f>SUM($B$46:M46)</f>
        <v>0</v>
      </c>
      <c r="BL46" s="7">
        <f>SUM($B$46:Q46)</f>
        <v>0</v>
      </c>
      <c r="BM46" s="7">
        <f>SUM($B$46:N46)</f>
        <v>0</v>
      </c>
      <c r="BN46" s="7">
        <f>SUM($B$46:O46)</f>
        <v>0</v>
      </c>
      <c r="BO46" s="7">
        <f>SUM($B$46:P46)</f>
        <v>0</v>
      </c>
      <c r="BP46" s="7">
        <f>SUM($B$46:R46)</f>
        <v>0</v>
      </c>
      <c r="BQ46" s="7">
        <f>SUM($B$46:S46)</f>
        <v>0</v>
      </c>
      <c r="BR46" s="7">
        <f>SUM($B$46:T46)</f>
        <v>0</v>
      </c>
      <c r="BS46" s="7">
        <f>SUM($B$46:V46)</f>
        <v>0</v>
      </c>
      <c r="BT46" s="7"/>
      <c r="BU46" s="7">
        <f>SUM($BS$46:BS46)</f>
        <v>0</v>
      </c>
      <c r="BV46">
        <f t="shared" si="15"/>
        <v>0</v>
      </c>
      <c r="BW46">
        <f>SUM($BV$46:BV46)</f>
        <v>0</v>
      </c>
    </row>
    <row r="47" spans="1:75" x14ac:dyDescent="0.35">
      <c r="A47" s="88" t="s">
        <v>23</v>
      </c>
      <c r="B47" s="7"/>
      <c r="C47" s="7"/>
      <c r="D47" s="7"/>
      <c r="E47" s="7"/>
      <c r="F47" s="7"/>
      <c r="G47" s="7"/>
      <c r="H47" s="7"/>
      <c r="I47" s="7"/>
      <c r="J47" s="7"/>
      <c r="K47" s="7"/>
      <c r="L47" s="7"/>
      <c r="M47" s="7"/>
      <c r="N47" s="7"/>
      <c r="O47" s="7"/>
      <c r="P47" s="7"/>
      <c r="Q47" s="7"/>
      <c r="R47" s="7"/>
      <c r="S47" s="7"/>
      <c r="T47" s="7"/>
      <c r="U47" s="7"/>
      <c r="V47" s="7"/>
      <c r="W47" s="7">
        <f t="shared" si="50"/>
        <v>0</v>
      </c>
      <c r="X47" s="7">
        <f t="shared" si="51"/>
        <v>0</v>
      </c>
      <c r="Y47" s="7">
        <f t="shared" si="52"/>
        <v>0</v>
      </c>
      <c r="Z47" s="39"/>
      <c r="AA47" s="190"/>
      <c r="AB47" s="7">
        <f t="shared" ref="AB47:AB52" si="54">AB33+W47</f>
        <v>0</v>
      </c>
      <c r="AC47" s="7" t="s">
        <v>23</v>
      </c>
      <c r="AD47" s="7">
        <f t="shared" ref="AD47:AM52" si="55">IF(B47 &gt; 0, IF(AD46 &gt; 0, AD46 + 1, 0.1), 0)</f>
        <v>0</v>
      </c>
      <c r="AE47" s="7">
        <f t="shared" si="55"/>
        <v>0</v>
      </c>
      <c r="AF47" s="7">
        <f t="shared" si="55"/>
        <v>0</v>
      </c>
      <c r="AG47" s="7">
        <f t="shared" si="55"/>
        <v>0</v>
      </c>
      <c r="AH47" s="7">
        <f t="shared" si="55"/>
        <v>0</v>
      </c>
      <c r="AI47" s="7">
        <f t="shared" si="55"/>
        <v>0</v>
      </c>
      <c r="AJ47" s="7">
        <f t="shared" si="55"/>
        <v>0</v>
      </c>
      <c r="AK47" s="7">
        <f t="shared" si="55"/>
        <v>0</v>
      </c>
      <c r="AL47" s="7">
        <f t="shared" si="55"/>
        <v>0</v>
      </c>
      <c r="AM47" s="7">
        <f t="shared" si="55"/>
        <v>0</v>
      </c>
      <c r="AN47" s="7">
        <f t="shared" ref="AN47:AT52" si="56">IF(L47 &gt; 0, IF(AN46 &gt; 0, AN46 + 1, 0.1), 0)</f>
        <v>0</v>
      </c>
      <c r="AO47" s="7">
        <f t="shared" si="56"/>
        <v>0</v>
      </c>
      <c r="AP47" s="7">
        <f t="shared" si="56"/>
        <v>0</v>
      </c>
      <c r="AQ47" s="7">
        <f t="shared" si="56"/>
        <v>0</v>
      </c>
      <c r="AR47" s="7">
        <f t="shared" si="56"/>
        <v>0</v>
      </c>
      <c r="AS47" s="7">
        <f t="shared" si="56"/>
        <v>0</v>
      </c>
      <c r="AT47" s="7">
        <f t="shared" si="56"/>
        <v>0</v>
      </c>
      <c r="AU47" s="7">
        <f t="shared" ref="AU47:AU52" si="57">IF(S47 &gt; 0, IF(AU39&gt; 0, AU39 + 1, 0.1), 0)</f>
        <v>0</v>
      </c>
      <c r="AV47" s="7">
        <f t="shared" ref="AV47:AW52" si="58">IF(T47 &gt; 0, IF(AV46 &gt; 0, AV46 + 1, 0.1), 0)</f>
        <v>0</v>
      </c>
      <c r="AW47" s="7">
        <f t="shared" si="58"/>
        <v>0</v>
      </c>
      <c r="AX47" s="7"/>
      <c r="AY47" s="7"/>
      <c r="AZ47" s="7">
        <f>SUM($B$47:B47)</f>
        <v>0</v>
      </c>
      <c r="BA47" s="7">
        <f>SUM($B$47:C47)</f>
        <v>0</v>
      </c>
      <c r="BB47" s="7">
        <f>SUM($B$47:D47)</f>
        <v>0</v>
      </c>
      <c r="BC47" s="7">
        <f>SUM($B$47:E47)</f>
        <v>0</v>
      </c>
      <c r="BD47" s="7">
        <f>SUM($B$47:F47)</f>
        <v>0</v>
      </c>
      <c r="BE47" s="7">
        <f>SUM($B$47:G47)</f>
        <v>0</v>
      </c>
      <c r="BF47" s="7">
        <f>SUM($B$47:H47)</f>
        <v>0</v>
      </c>
      <c r="BG47" s="7">
        <f>SUM($B$47:I47)</f>
        <v>0</v>
      </c>
      <c r="BH47" s="7">
        <f>SUM($B$47:J47)</f>
        <v>0</v>
      </c>
      <c r="BI47" s="7">
        <f>SUM($B$47:K47)</f>
        <v>0</v>
      </c>
      <c r="BJ47" s="7">
        <f>SUM($B$47:L47)</f>
        <v>0</v>
      </c>
      <c r="BK47" s="7">
        <f>SUM($B$47:M47)</f>
        <v>0</v>
      </c>
      <c r="BL47" s="7">
        <f>SUM($B$47:Q47)</f>
        <v>0</v>
      </c>
      <c r="BM47" s="7">
        <f>SUM($B$47:N47)</f>
        <v>0</v>
      </c>
      <c r="BN47" s="7">
        <f>SUM($B$47:O47)</f>
        <v>0</v>
      </c>
      <c r="BO47" s="7">
        <f>SUM($B$47:P47)</f>
        <v>0</v>
      </c>
      <c r="BP47" s="7">
        <f>SUM($B$47:R47)</f>
        <v>0</v>
      </c>
      <c r="BQ47" s="7">
        <f>SUM($B$47:S47)</f>
        <v>0</v>
      </c>
      <c r="BR47" s="7">
        <f>SUM($B$47:T47)</f>
        <v>0</v>
      </c>
      <c r="BS47" s="7">
        <f>SUM($B$47:V47)</f>
        <v>0</v>
      </c>
      <c r="BT47" s="7"/>
      <c r="BU47" s="7">
        <f>SUM($BS$46:BS47)</f>
        <v>0</v>
      </c>
      <c r="BV47">
        <f t="shared" si="15"/>
        <v>0</v>
      </c>
      <c r="BW47">
        <f>SUM($BV$46:BV47)</f>
        <v>0</v>
      </c>
    </row>
    <row r="48" spans="1:75" x14ac:dyDescent="0.35">
      <c r="A48" s="111" t="s">
        <v>24</v>
      </c>
      <c r="B48" s="7"/>
      <c r="C48" s="7"/>
      <c r="D48" s="7"/>
      <c r="E48" s="7"/>
      <c r="F48" s="7"/>
      <c r="G48" s="7"/>
      <c r="H48" s="7"/>
      <c r="I48" s="7"/>
      <c r="J48" s="7"/>
      <c r="K48" s="7"/>
      <c r="L48" s="7"/>
      <c r="M48" s="7"/>
      <c r="N48" s="7"/>
      <c r="O48" s="7"/>
      <c r="P48" s="7"/>
      <c r="Q48" s="7"/>
      <c r="R48" s="7"/>
      <c r="S48" s="7"/>
      <c r="T48" s="7"/>
      <c r="U48" s="7"/>
      <c r="V48" s="7"/>
      <c r="W48" s="7">
        <f t="shared" si="50"/>
        <v>0</v>
      </c>
      <c r="X48" s="7">
        <f t="shared" si="51"/>
        <v>0</v>
      </c>
      <c r="Y48" s="7">
        <f t="shared" si="52"/>
        <v>0</v>
      </c>
      <c r="Z48" s="39"/>
      <c r="AA48" s="190"/>
      <c r="AB48" s="7">
        <f t="shared" si="54"/>
        <v>0</v>
      </c>
      <c r="AC48" s="7" t="s">
        <v>24</v>
      </c>
      <c r="AD48" s="7">
        <f t="shared" si="55"/>
        <v>0</v>
      </c>
      <c r="AE48" s="7">
        <f t="shared" si="55"/>
        <v>0</v>
      </c>
      <c r="AF48" s="7">
        <f t="shared" si="55"/>
        <v>0</v>
      </c>
      <c r="AG48" s="7">
        <f t="shared" si="55"/>
        <v>0</v>
      </c>
      <c r="AH48" s="7">
        <f t="shared" si="55"/>
        <v>0</v>
      </c>
      <c r="AI48" s="7">
        <f t="shared" si="55"/>
        <v>0</v>
      </c>
      <c r="AJ48" s="7">
        <f t="shared" si="55"/>
        <v>0</v>
      </c>
      <c r="AK48" s="7">
        <f t="shared" si="55"/>
        <v>0</v>
      </c>
      <c r="AL48" s="7">
        <f t="shared" si="55"/>
        <v>0</v>
      </c>
      <c r="AM48" s="7">
        <f t="shared" si="55"/>
        <v>0</v>
      </c>
      <c r="AN48" s="7">
        <f t="shared" si="56"/>
        <v>0</v>
      </c>
      <c r="AO48" s="7">
        <f t="shared" si="56"/>
        <v>0</v>
      </c>
      <c r="AP48" s="7">
        <f t="shared" si="56"/>
        <v>0</v>
      </c>
      <c r="AQ48" s="7">
        <f t="shared" si="56"/>
        <v>0</v>
      </c>
      <c r="AR48" s="7">
        <f t="shared" si="56"/>
        <v>0</v>
      </c>
      <c r="AS48" s="7">
        <f t="shared" si="56"/>
        <v>0</v>
      </c>
      <c r="AT48" s="7">
        <f t="shared" si="56"/>
        <v>0</v>
      </c>
      <c r="AU48" s="7">
        <f t="shared" si="57"/>
        <v>0</v>
      </c>
      <c r="AV48" s="7">
        <f t="shared" si="58"/>
        <v>0</v>
      </c>
      <c r="AW48" s="7">
        <f t="shared" si="58"/>
        <v>0</v>
      </c>
      <c r="AX48" s="7"/>
      <c r="AY48" s="7"/>
      <c r="AZ48" s="7">
        <f>SUM($B$48:B48)</f>
        <v>0</v>
      </c>
      <c r="BA48" s="7">
        <f>SUM($B$48:C48)</f>
        <v>0</v>
      </c>
      <c r="BB48" s="7">
        <f>SUM($B$48:D48)</f>
        <v>0</v>
      </c>
      <c r="BC48" s="7">
        <f>SUM($B$48:E48)</f>
        <v>0</v>
      </c>
      <c r="BD48" s="7">
        <f>SUM($B$48:F48)</f>
        <v>0</v>
      </c>
      <c r="BE48" s="7">
        <f>SUM($B$48:G48)</f>
        <v>0</v>
      </c>
      <c r="BF48" s="7">
        <f>SUM($B$48:H48)</f>
        <v>0</v>
      </c>
      <c r="BG48" s="7">
        <f>SUM($B$48:I48)</f>
        <v>0</v>
      </c>
      <c r="BH48" s="7">
        <f>SUM($B$48:J48)</f>
        <v>0</v>
      </c>
      <c r="BI48" s="7">
        <f>SUM($B$48:K48)</f>
        <v>0</v>
      </c>
      <c r="BJ48" s="7">
        <f>SUM($B$48:L48)</f>
        <v>0</v>
      </c>
      <c r="BK48" s="7">
        <f>SUM($B$48:M48)</f>
        <v>0</v>
      </c>
      <c r="BL48" s="7">
        <f>SUM($B$48:Q48)</f>
        <v>0</v>
      </c>
      <c r="BM48" s="7">
        <f>SUM($B$48:N48)</f>
        <v>0</v>
      </c>
      <c r="BN48" s="7">
        <f>SUM($B$48:O48)</f>
        <v>0</v>
      </c>
      <c r="BO48" s="7">
        <f>SUM($B$48:P48)</f>
        <v>0</v>
      </c>
      <c r="BP48" s="7">
        <f>SUM($B$48:R48)</f>
        <v>0</v>
      </c>
      <c r="BQ48" s="7">
        <f>SUM($B$48:S48)</f>
        <v>0</v>
      </c>
      <c r="BR48" s="7">
        <f>SUM($B$48:T48)</f>
        <v>0</v>
      </c>
      <c r="BS48" s="7">
        <f>SUM($B$48:V48)</f>
        <v>0</v>
      </c>
      <c r="BT48" s="7"/>
      <c r="BU48" s="7">
        <f>SUM($BS$46:BS48)</f>
        <v>0</v>
      </c>
      <c r="BV48">
        <f t="shared" si="15"/>
        <v>0</v>
      </c>
      <c r="BW48">
        <f>SUM($BV$46:BV48)</f>
        <v>0</v>
      </c>
    </row>
    <row r="49" spans="1:75" x14ac:dyDescent="0.35">
      <c r="A49" s="122" t="s">
        <v>25</v>
      </c>
      <c r="B49" s="7"/>
      <c r="C49" s="7"/>
      <c r="D49" s="7"/>
      <c r="E49" s="7"/>
      <c r="F49" s="7"/>
      <c r="G49" s="7"/>
      <c r="H49" s="7"/>
      <c r="I49" s="7"/>
      <c r="J49" s="7"/>
      <c r="K49" s="7"/>
      <c r="L49" s="7"/>
      <c r="M49" s="7"/>
      <c r="N49" s="7"/>
      <c r="O49" s="7"/>
      <c r="P49" s="7"/>
      <c r="Q49" s="7"/>
      <c r="R49" s="7"/>
      <c r="S49" s="7"/>
      <c r="T49" s="7"/>
      <c r="U49" s="7"/>
      <c r="V49" s="7"/>
      <c r="W49" s="7">
        <f t="shared" si="50"/>
        <v>0</v>
      </c>
      <c r="X49" s="7">
        <f t="shared" si="51"/>
        <v>0</v>
      </c>
      <c r="Y49" s="7">
        <f t="shared" si="52"/>
        <v>0</v>
      </c>
      <c r="Z49" s="39"/>
      <c r="AA49" s="190"/>
      <c r="AB49" s="7">
        <f t="shared" si="54"/>
        <v>0</v>
      </c>
      <c r="AC49" s="7" t="s">
        <v>25</v>
      </c>
      <c r="AD49" s="7">
        <f t="shared" si="55"/>
        <v>0</v>
      </c>
      <c r="AE49" s="7">
        <f t="shared" si="55"/>
        <v>0</v>
      </c>
      <c r="AF49" s="7">
        <f t="shared" si="55"/>
        <v>0</v>
      </c>
      <c r="AG49" s="7">
        <f t="shared" si="55"/>
        <v>0</v>
      </c>
      <c r="AH49" s="7">
        <f t="shared" si="55"/>
        <v>0</v>
      </c>
      <c r="AI49" s="7">
        <f t="shared" si="55"/>
        <v>0</v>
      </c>
      <c r="AJ49" s="7">
        <f t="shared" si="55"/>
        <v>0</v>
      </c>
      <c r="AK49" s="7">
        <f t="shared" si="55"/>
        <v>0</v>
      </c>
      <c r="AL49" s="7">
        <f t="shared" si="55"/>
        <v>0</v>
      </c>
      <c r="AM49" s="7">
        <f t="shared" si="55"/>
        <v>0</v>
      </c>
      <c r="AN49" s="7">
        <f t="shared" si="56"/>
        <v>0</v>
      </c>
      <c r="AO49" s="7">
        <f t="shared" si="56"/>
        <v>0</v>
      </c>
      <c r="AP49" s="7">
        <f t="shared" si="56"/>
        <v>0</v>
      </c>
      <c r="AQ49" s="7">
        <f t="shared" si="56"/>
        <v>0</v>
      </c>
      <c r="AR49" s="7">
        <f t="shared" si="56"/>
        <v>0</v>
      </c>
      <c r="AS49" s="7">
        <f t="shared" si="56"/>
        <v>0</v>
      </c>
      <c r="AT49" s="7">
        <f t="shared" si="56"/>
        <v>0</v>
      </c>
      <c r="AU49" s="7">
        <f t="shared" si="57"/>
        <v>0</v>
      </c>
      <c r="AV49" s="7">
        <f t="shared" si="58"/>
        <v>0</v>
      </c>
      <c r="AW49" s="7">
        <f t="shared" si="58"/>
        <v>0</v>
      </c>
      <c r="AX49" s="7"/>
      <c r="AY49" s="7"/>
      <c r="AZ49" s="7">
        <f>SUM($B$49:B49)</f>
        <v>0</v>
      </c>
      <c r="BA49" s="7">
        <f>SUM($B$49:C49)</f>
        <v>0</v>
      </c>
      <c r="BB49" s="7">
        <f>SUM($B$49:D49)</f>
        <v>0</v>
      </c>
      <c r="BC49" s="7">
        <f>SUM($B$49:E49)</f>
        <v>0</v>
      </c>
      <c r="BD49" s="7">
        <f>SUM($B$49:F49)</f>
        <v>0</v>
      </c>
      <c r="BE49" s="7">
        <f>SUM($B$49:G49)</f>
        <v>0</v>
      </c>
      <c r="BF49" s="7">
        <f>SUM($B$49:H49)</f>
        <v>0</v>
      </c>
      <c r="BG49" s="7">
        <f>SUM($B$49:I49)</f>
        <v>0</v>
      </c>
      <c r="BH49" s="7">
        <f>SUM($B$49:J49)</f>
        <v>0</v>
      </c>
      <c r="BI49" s="7">
        <f>SUM($B$49:K49)</f>
        <v>0</v>
      </c>
      <c r="BJ49" s="7">
        <f>SUM($B$49:L49)</f>
        <v>0</v>
      </c>
      <c r="BK49" s="7">
        <f>SUM($B$49:M49)</f>
        <v>0</v>
      </c>
      <c r="BL49" s="7">
        <f>SUM($B$49:Q49)</f>
        <v>0</v>
      </c>
      <c r="BM49" s="7">
        <f>SUM($B$49:N49)</f>
        <v>0</v>
      </c>
      <c r="BN49" s="7">
        <f>SUM($B$49:O49)</f>
        <v>0</v>
      </c>
      <c r="BO49" s="7">
        <f>SUM($B$49:P49)</f>
        <v>0</v>
      </c>
      <c r="BP49" s="7">
        <f>SUM($B$49:R49)</f>
        <v>0</v>
      </c>
      <c r="BQ49" s="7">
        <f>SUM($B$49:S49)</f>
        <v>0</v>
      </c>
      <c r="BR49" s="7">
        <f>SUM($B$49:T49)</f>
        <v>0</v>
      </c>
      <c r="BS49" s="7">
        <f>SUM($B$49:V49)</f>
        <v>0</v>
      </c>
      <c r="BT49" s="7"/>
      <c r="BU49" s="7">
        <f>SUM($BS$46:BS49)</f>
        <v>0</v>
      </c>
      <c r="BV49">
        <f t="shared" si="15"/>
        <v>0</v>
      </c>
      <c r="BW49">
        <f>SUM($BV$46:BV49)</f>
        <v>0</v>
      </c>
    </row>
    <row r="50" spans="1:75" x14ac:dyDescent="0.35">
      <c r="A50" s="133" t="s">
        <v>26</v>
      </c>
      <c r="B50" s="7"/>
      <c r="C50" s="7"/>
      <c r="D50" s="7"/>
      <c r="E50" s="7"/>
      <c r="F50" s="7"/>
      <c r="G50" s="7"/>
      <c r="H50" s="7"/>
      <c r="I50" s="7"/>
      <c r="J50" s="7"/>
      <c r="K50" s="7"/>
      <c r="L50" s="7"/>
      <c r="M50" s="7"/>
      <c r="N50" s="7"/>
      <c r="O50" s="7"/>
      <c r="P50" s="7"/>
      <c r="Q50" s="7"/>
      <c r="R50" s="7"/>
      <c r="S50" s="7"/>
      <c r="T50" s="7"/>
      <c r="U50" s="7"/>
      <c r="V50" s="7"/>
      <c r="W50" s="7">
        <f t="shared" si="50"/>
        <v>0</v>
      </c>
      <c r="X50" s="7">
        <f t="shared" si="51"/>
        <v>0</v>
      </c>
      <c r="Y50" s="7">
        <f t="shared" si="52"/>
        <v>0</v>
      </c>
      <c r="Z50" s="39"/>
      <c r="AA50" s="190"/>
      <c r="AB50" s="7">
        <f t="shared" si="54"/>
        <v>0</v>
      </c>
      <c r="AC50" s="7" t="s">
        <v>26</v>
      </c>
      <c r="AD50" s="7">
        <f t="shared" si="55"/>
        <v>0</v>
      </c>
      <c r="AE50" s="7">
        <f t="shared" si="55"/>
        <v>0</v>
      </c>
      <c r="AF50" s="7">
        <f t="shared" si="55"/>
        <v>0</v>
      </c>
      <c r="AG50" s="7">
        <f t="shared" si="55"/>
        <v>0</v>
      </c>
      <c r="AH50" s="7">
        <f t="shared" si="55"/>
        <v>0</v>
      </c>
      <c r="AI50" s="7">
        <f t="shared" si="55"/>
        <v>0</v>
      </c>
      <c r="AJ50" s="7">
        <f t="shared" si="55"/>
        <v>0</v>
      </c>
      <c r="AK50" s="7">
        <f t="shared" si="55"/>
        <v>0</v>
      </c>
      <c r="AL50" s="7">
        <f t="shared" si="55"/>
        <v>0</v>
      </c>
      <c r="AM50" s="7">
        <f t="shared" si="55"/>
        <v>0</v>
      </c>
      <c r="AN50" s="7">
        <f t="shared" si="56"/>
        <v>0</v>
      </c>
      <c r="AO50" s="7">
        <f t="shared" si="56"/>
        <v>0</v>
      </c>
      <c r="AP50" s="7">
        <f t="shared" si="56"/>
        <v>0</v>
      </c>
      <c r="AQ50" s="7">
        <f t="shared" si="56"/>
        <v>0</v>
      </c>
      <c r="AR50" s="7">
        <f t="shared" si="56"/>
        <v>0</v>
      </c>
      <c r="AS50" s="7">
        <f t="shared" si="56"/>
        <v>0</v>
      </c>
      <c r="AT50" s="7">
        <f t="shared" si="56"/>
        <v>0</v>
      </c>
      <c r="AU50" s="7">
        <f t="shared" si="57"/>
        <v>0</v>
      </c>
      <c r="AV50" s="7">
        <f t="shared" si="58"/>
        <v>0</v>
      </c>
      <c r="AW50" s="7">
        <f t="shared" si="58"/>
        <v>0</v>
      </c>
      <c r="AX50" s="7"/>
      <c r="AY50" s="7"/>
      <c r="AZ50" s="7">
        <f>SUM($B$50:B50)</f>
        <v>0</v>
      </c>
      <c r="BA50" s="7">
        <f>SUM($B$50:C50)</f>
        <v>0</v>
      </c>
      <c r="BB50" s="7">
        <f>SUM($B$50:D50)</f>
        <v>0</v>
      </c>
      <c r="BC50" s="7">
        <f>SUM($B$50:E50)</f>
        <v>0</v>
      </c>
      <c r="BD50" s="7">
        <f>SUM($B$50:F50)</f>
        <v>0</v>
      </c>
      <c r="BE50" s="7">
        <f>SUM($B$50:G50)</f>
        <v>0</v>
      </c>
      <c r="BF50" s="7">
        <f>SUM($B$50:H50)</f>
        <v>0</v>
      </c>
      <c r="BG50" s="7">
        <f>SUM($B$50:I50)</f>
        <v>0</v>
      </c>
      <c r="BH50" s="7">
        <f>SUM($B$50:J50)</f>
        <v>0</v>
      </c>
      <c r="BI50" s="7">
        <f>SUM($B$50:K50)</f>
        <v>0</v>
      </c>
      <c r="BJ50" s="7">
        <f>SUM($B$50:L50)</f>
        <v>0</v>
      </c>
      <c r="BK50" s="7">
        <f>SUM($B$50:M50)</f>
        <v>0</v>
      </c>
      <c r="BL50" s="7">
        <f>SUM($B$50:Q50)</f>
        <v>0</v>
      </c>
      <c r="BM50" s="7">
        <f>SUM($B$50:N50)</f>
        <v>0</v>
      </c>
      <c r="BN50" s="7">
        <f>SUM($B$50:O50)</f>
        <v>0</v>
      </c>
      <c r="BO50" s="7">
        <f>SUM($B$50:P50)</f>
        <v>0</v>
      </c>
      <c r="BP50" s="7">
        <f>SUM($B$50:R50)</f>
        <v>0</v>
      </c>
      <c r="BQ50" s="7">
        <f>SUM($B$50:S50)</f>
        <v>0</v>
      </c>
      <c r="BR50" s="7">
        <f>SUM($B$50:T50)</f>
        <v>0</v>
      </c>
      <c r="BS50" s="7">
        <f>SUM($B$50:V50)</f>
        <v>0</v>
      </c>
      <c r="BT50" s="7"/>
      <c r="BU50" s="7">
        <f>SUM($BS$46:BS50)</f>
        <v>0</v>
      </c>
      <c r="BV50">
        <f t="shared" si="15"/>
        <v>0</v>
      </c>
      <c r="BW50">
        <f>SUM($BV$46:BV50)</f>
        <v>0</v>
      </c>
    </row>
    <row r="51" spans="1:75" x14ac:dyDescent="0.35">
      <c r="A51" s="144" t="s">
        <v>27</v>
      </c>
      <c r="B51" s="7"/>
      <c r="C51" s="7"/>
      <c r="D51" s="7"/>
      <c r="E51" s="7"/>
      <c r="F51" s="7"/>
      <c r="G51" s="7"/>
      <c r="H51" s="7"/>
      <c r="I51" s="7"/>
      <c r="J51" s="7"/>
      <c r="K51" s="7"/>
      <c r="L51" s="7"/>
      <c r="M51" s="7"/>
      <c r="N51" s="7"/>
      <c r="O51" s="7"/>
      <c r="P51" s="7"/>
      <c r="Q51" s="7"/>
      <c r="R51" s="7"/>
      <c r="S51" s="7"/>
      <c r="T51" s="7"/>
      <c r="U51" s="7"/>
      <c r="V51" s="7"/>
      <c r="W51" s="7">
        <f t="shared" si="50"/>
        <v>0</v>
      </c>
      <c r="X51" s="7">
        <f t="shared" si="51"/>
        <v>0</v>
      </c>
      <c r="Y51" s="7">
        <f t="shared" si="52"/>
        <v>0</v>
      </c>
      <c r="Z51" s="39"/>
      <c r="AA51" s="190"/>
      <c r="AB51" s="7">
        <f t="shared" si="54"/>
        <v>0</v>
      </c>
      <c r="AC51" s="7" t="s">
        <v>27</v>
      </c>
      <c r="AD51" s="7">
        <f t="shared" si="55"/>
        <v>0</v>
      </c>
      <c r="AE51" s="7">
        <f t="shared" si="55"/>
        <v>0</v>
      </c>
      <c r="AF51" s="7">
        <f t="shared" si="55"/>
        <v>0</v>
      </c>
      <c r="AG51" s="7">
        <f t="shared" si="55"/>
        <v>0</v>
      </c>
      <c r="AH51" s="7">
        <f t="shared" si="55"/>
        <v>0</v>
      </c>
      <c r="AI51" s="7">
        <f t="shared" si="55"/>
        <v>0</v>
      </c>
      <c r="AJ51" s="7">
        <f t="shared" si="55"/>
        <v>0</v>
      </c>
      <c r="AK51" s="7">
        <f t="shared" si="55"/>
        <v>0</v>
      </c>
      <c r="AL51" s="7">
        <f t="shared" si="55"/>
        <v>0</v>
      </c>
      <c r="AM51" s="7">
        <f t="shared" si="55"/>
        <v>0</v>
      </c>
      <c r="AN51" s="7">
        <f t="shared" si="56"/>
        <v>0</v>
      </c>
      <c r="AO51" s="7">
        <f t="shared" si="56"/>
        <v>0</v>
      </c>
      <c r="AP51" s="7">
        <f t="shared" si="56"/>
        <v>0</v>
      </c>
      <c r="AQ51" s="7">
        <f t="shared" si="56"/>
        <v>0</v>
      </c>
      <c r="AR51" s="7">
        <f t="shared" si="56"/>
        <v>0</v>
      </c>
      <c r="AS51" s="7">
        <f t="shared" si="56"/>
        <v>0</v>
      </c>
      <c r="AT51" s="7">
        <f t="shared" si="56"/>
        <v>0</v>
      </c>
      <c r="AU51" s="7">
        <f t="shared" si="57"/>
        <v>0</v>
      </c>
      <c r="AV51" s="7">
        <f t="shared" si="58"/>
        <v>0</v>
      </c>
      <c r="AW51" s="7">
        <f t="shared" si="58"/>
        <v>0</v>
      </c>
      <c r="AX51" s="7"/>
      <c r="AY51" s="7"/>
      <c r="AZ51" s="7">
        <f>SUM($B$51:B51)</f>
        <v>0</v>
      </c>
      <c r="BA51" s="7">
        <f>SUM($B$51:C51)</f>
        <v>0</v>
      </c>
      <c r="BB51" s="7">
        <f>SUM($B$51:D51)</f>
        <v>0</v>
      </c>
      <c r="BC51" s="7">
        <f>SUM($B$51:E51)</f>
        <v>0</v>
      </c>
      <c r="BD51" s="7">
        <f>SUM($B$51:F51)</f>
        <v>0</v>
      </c>
      <c r="BE51" s="7">
        <f>SUM($B$51:G51)</f>
        <v>0</v>
      </c>
      <c r="BF51" s="7">
        <f>SUM($B$51:H51)</f>
        <v>0</v>
      </c>
      <c r="BG51" s="7">
        <f>SUM($B$51:I51)</f>
        <v>0</v>
      </c>
      <c r="BH51" s="7">
        <f>SUM($B$51:J51)</f>
        <v>0</v>
      </c>
      <c r="BI51" s="7">
        <f>SUM($B$51:K51)</f>
        <v>0</v>
      </c>
      <c r="BJ51" s="7">
        <f>SUM($B$51:L51)</f>
        <v>0</v>
      </c>
      <c r="BK51" s="7">
        <f>SUM($B$51:M51)</f>
        <v>0</v>
      </c>
      <c r="BL51" s="7">
        <f>SUM($B$51:Q51)</f>
        <v>0</v>
      </c>
      <c r="BM51" s="7">
        <f>SUM($B$51:N51)</f>
        <v>0</v>
      </c>
      <c r="BN51" s="7">
        <f>SUM($B$51:O51)</f>
        <v>0</v>
      </c>
      <c r="BO51" s="7">
        <f>SUM($B$51:P51)</f>
        <v>0</v>
      </c>
      <c r="BP51" s="7">
        <f>SUM($B$51:R51)</f>
        <v>0</v>
      </c>
      <c r="BQ51" s="7">
        <f>SUM($B$51:S51)</f>
        <v>0</v>
      </c>
      <c r="BR51" s="7">
        <f>SUM($B$51:T51)</f>
        <v>0</v>
      </c>
      <c r="BS51" s="7">
        <f>SUM($B$51:V51)</f>
        <v>0</v>
      </c>
      <c r="BT51" s="7"/>
      <c r="BU51" s="7">
        <f>SUM($BS$46:BS51)</f>
        <v>0</v>
      </c>
      <c r="BV51">
        <f t="shared" si="15"/>
        <v>0</v>
      </c>
      <c r="BW51">
        <f>SUM($BV$46:BV51)</f>
        <v>0</v>
      </c>
    </row>
    <row r="52" spans="1:75" x14ac:dyDescent="0.35">
      <c r="A52" s="154" t="s">
        <v>28</v>
      </c>
      <c r="B52" s="7"/>
      <c r="C52" s="7"/>
      <c r="D52" s="7"/>
      <c r="E52" s="7"/>
      <c r="F52" s="7"/>
      <c r="G52" s="7"/>
      <c r="H52" s="7"/>
      <c r="I52" s="7"/>
      <c r="J52" s="7"/>
      <c r="K52" s="7"/>
      <c r="L52" s="7"/>
      <c r="M52" s="7"/>
      <c r="N52" s="7"/>
      <c r="O52" s="7"/>
      <c r="P52" s="7"/>
      <c r="Q52" s="7"/>
      <c r="R52" s="7"/>
      <c r="S52" s="7"/>
      <c r="T52" s="7"/>
      <c r="U52" s="7"/>
      <c r="V52" s="7"/>
      <c r="W52" s="7">
        <f t="shared" si="50"/>
        <v>0</v>
      </c>
      <c r="X52" s="7">
        <f t="shared" si="51"/>
        <v>0</v>
      </c>
      <c r="Y52" s="7">
        <f t="shared" si="52"/>
        <v>0</v>
      </c>
      <c r="Z52" s="39"/>
      <c r="AA52" s="190"/>
      <c r="AB52" s="7">
        <f t="shared" si="54"/>
        <v>0</v>
      </c>
      <c r="AC52" s="7" t="s">
        <v>28</v>
      </c>
      <c r="AD52" s="7">
        <f t="shared" si="55"/>
        <v>0</v>
      </c>
      <c r="AE52" s="7">
        <f t="shared" si="55"/>
        <v>0</v>
      </c>
      <c r="AF52" s="7">
        <f t="shared" si="55"/>
        <v>0</v>
      </c>
      <c r="AG52" s="7">
        <f t="shared" si="55"/>
        <v>0</v>
      </c>
      <c r="AH52" s="7">
        <f t="shared" si="55"/>
        <v>0</v>
      </c>
      <c r="AI52" s="7">
        <f t="shared" si="55"/>
        <v>0</v>
      </c>
      <c r="AJ52" s="7">
        <f t="shared" si="55"/>
        <v>0</v>
      </c>
      <c r="AK52" s="7">
        <f t="shared" si="55"/>
        <v>0</v>
      </c>
      <c r="AL52" s="7">
        <f t="shared" si="55"/>
        <v>0</v>
      </c>
      <c r="AM52" s="7">
        <f t="shared" si="55"/>
        <v>0</v>
      </c>
      <c r="AN52" s="7">
        <f t="shared" si="56"/>
        <v>0</v>
      </c>
      <c r="AO52" s="7">
        <f t="shared" si="56"/>
        <v>0</v>
      </c>
      <c r="AP52" s="7">
        <f t="shared" si="56"/>
        <v>0</v>
      </c>
      <c r="AQ52" s="7">
        <f t="shared" si="56"/>
        <v>0</v>
      </c>
      <c r="AR52" s="7">
        <f t="shared" si="56"/>
        <v>0</v>
      </c>
      <c r="AS52" s="7">
        <f t="shared" si="56"/>
        <v>0</v>
      </c>
      <c r="AT52" s="7">
        <f t="shared" si="56"/>
        <v>0</v>
      </c>
      <c r="AU52" s="7">
        <f t="shared" si="57"/>
        <v>0</v>
      </c>
      <c r="AV52" s="7">
        <f t="shared" si="58"/>
        <v>0</v>
      </c>
      <c r="AW52" s="7">
        <f t="shared" si="58"/>
        <v>0</v>
      </c>
      <c r="AX52" s="7"/>
      <c r="AY52" s="7"/>
      <c r="AZ52" s="7">
        <f>SUM($B$52:B52)</f>
        <v>0</v>
      </c>
      <c r="BA52" s="7">
        <f>SUM($B$52:C52)</f>
        <v>0</v>
      </c>
      <c r="BB52" s="7">
        <f>SUM($B$52:D52)</f>
        <v>0</v>
      </c>
      <c r="BC52" s="7">
        <f>SUM($B$52:E52)</f>
        <v>0</v>
      </c>
      <c r="BD52" s="7">
        <f>SUM($B$52:F52)</f>
        <v>0</v>
      </c>
      <c r="BE52" s="7">
        <f>SUM($B$52:G52)</f>
        <v>0</v>
      </c>
      <c r="BF52" s="7">
        <f>SUM($B$52:H52)</f>
        <v>0</v>
      </c>
      <c r="BG52" s="7">
        <f>SUM($B$52:I52)</f>
        <v>0</v>
      </c>
      <c r="BH52" s="7">
        <f>SUM($B$52:J52)</f>
        <v>0</v>
      </c>
      <c r="BI52" s="7">
        <f>SUM($B$52:K52)</f>
        <v>0</v>
      </c>
      <c r="BJ52" s="7">
        <f>SUM($B$52:L52)</f>
        <v>0</v>
      </c>
      <c r="BK52" s="7">
        <f>SUM($B$52:M52)</f>
        <v>0</v>
      </c>
      <c r="BL52" s="7">
        <f>SUM($B$52:Q52)</f>
        <v>0</v>
      </c>
      <c r="BM52" s="7">
        <f>SUM($B$52:N52)</f>
        <v>0</v>
      </c>
      <c r="BN52" s="7">
        <f>SUM($B$52:O52)</f>
        <v>0</v>
      </c>
      <c r="BO52" s="7">
        <f>SUM($B$52:P52)</f>
        <v>0</v>
      </c>
      <c r="BP52" s="7">
        <f>SUM($B$52:R52)</f>
        <v>0</v>
      </c>
      <c r="BQ52" s="7">
        <f>SUM($B$52:S52)</f>
        <v>0</v>
      </c>
      <c r="BR52" s="7">
        <f>SUM($B$52:T52)</f>
        <v>0</v>
      </c>
      <c r="BS52" s="7">
        <f>SUM($B$52:V52)</f>
        <v>0</v>
      </c>
      <c r="BT52" s="7"/>
      <c r="BU52" s="7">
        <f>SUM($BS$46:BS52)</f>
        <v>0</v>
      </c>
      <c r="BV52">
        <f t="shared" si="15"/>
        <v>0</v>
      </c>
      <c r="BW52">
        <f>SUM($BV$46:BV52)</f>
        <v>0</v>
      </c>
    </row>
    <row r="53" spans="1:75" ht="15" customHeight="1" x14ac:dyDescent="0.35">
      <c r="A53" s="35" t="s">
        <v>29</v>
      </c>
      <c r="B53" s="7">
        <f t="shared" ref="B53:T53" si="59">SUM(B46:B52)</f>
        <v>0</v>
      </c>
      <c r="C53" s="7">
        <f t="shared" si="59"/>
        <v>0</v>
      </c>
      <c r="D53" s="7">
        <f t="shared" si="59"/>
        <v>0</v>
      </c>
      <c r="E53" s="7">
        <f t="shared" si="59"/>
        <v>0</v>
      </c>
      <c r="F53" s="7">
        <f t="shared" si="59"/>
        <v>0</v>
      </c>
      <c r="G53" s="7">
        <f t="shared" si="59"/>
        <v>0</v>
      </c>
      <c r="H53" s="7">
        <f t="shared" si="59"/>
        <v>0</v>
      </c>
      <c r="I53" s="7">
        <f t="shared" si="59"/>
        <v>0</v>
      </c>
      <c r="J53" s="7">
        <f t="shared" si="59"/>
        <v>0</v>
      </c>
      <c r="K53" s="7">
        <f>SUM(K46:K52)</f>
        <v>0</v>
      </c>
      <c r="L53" s="7">
        <f t="shared" si="59"/>
        <v>0</v>
      </c>
      <c r="M53" s="7">
        <f t="shared" si="59"/>
        <v>0</v>
      </c>
      <c r="N53" s="7">
        <f t="shared" si="59"/>
        <v>0</v>
      </c>
      <c r="O53" s="7">
        <f t="shared" si="59"/>
        <v>0</v>
      </c>
      <c r="P53" s="7">
        <f t="shared" si="59"/>
        <v>0</v>
      </c>
      <c r="Q53" s="7">
        <f>SUM(Q46:Q52)</f>
        <v>0</v>
      </c>
      <c r="R53" s="7">
        <f t="shared" si="59"/>
        <v>0</v>
      </c>
      <c r="S53" s="7">
        <f t="shared" si="59"/>
        <v>0</v>
      </c>
      <c r="T53" s="7">
        <f t="shared" si="59"/>
        <v>0</v>
      </c>
      <c r="U53" s="7">
        <f t="shared" ref="U53" si="60">SUM(U46:U52)</f>
        <v>0</v>
      </c>
      <c r="V53" s="7">
        <f>SUM(V46:V52)</f>
        <v>0</v>
      </c>
      <c r="W53" s="31">
        <f>SUM(W46:W52)</f>
        <v>0</v>
      </c>
      <c r="X53" s="7"/>
      <c r="Y53" s="7"/>
      <c r="Z53" s="39" t="s">
        <v>173</v>
      </c>
      <c r="AA53" s="19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row>
    <row r="54" spans="1:75" ht="14.5" customHeight="1" x14ac:dyDescent="0.35">
      <c r="A54" s="35" t="s">
        <v>33</v>
      </c>
      <c r="B54" s="7">
        <f t="shared" ref="B54:T54" si="61">B53-B39</f>
        <v>0</v>
      </c>
      <c r="C54" s="7">
        <f t="shared" si="61"/>
        <v>0</v>
      </c>
      <c r="D54" s="7">
        <f t="shared" si="61"/>
        <v>0</v>
      </c>
      <c r="E54" s="7">
        <f t="shared" si="61"/>
        <v>0</v>
      </c>
      <c r="F54" s="7">
        <f t="shared" si="61"/>
        <v>0</v>
      </c>
      <c r="G54" s="7">
        <f t="shared" si="61"/>
        <v>0</v>
      </c>
      <c r="H54" s="7">
        <f t="shared" si="61"/>
        <v>0</v>
      </c>
      <c r="I54" s="7">
        <f t="shared" si="61"/>
        <v>0</v>
      </c>
      <c r="J54" s="7">
        <f t="shared" si="61"/>
        <v>0</v>
      </c>
      <c r="K54" s="7">
        <f>K53-K39</f>
        <v>0</v>
      </c>
      <c r="L54" s="7">
        <f t="shared" si="61"/>
        <v>0</v>
      </c>
      <c r="M54" s="7">
        <f t="shared" si="61"/>
        <v>0</v>
      </c>
      <c r="N54" s="7">
        <f t="shared" si="61"/>
        <v>0</v>
      </c>
      <c r="O54" s="7">
        <f t="shared" si="61"/>
        <v>0</v>
      </c>
      <c r="P54" s="7">
        <f t="shared" si="61"/>
        <v>0</v>
      </c>
      <c r="Q54" s="7">
        <f>Q53-Q39</f>
        <v>0</v>
      </c>
      <c r="R54" s="7">
        <f t="shared" si="61"/>
        <v>0</v>
      </c>
      <c r="S54" s="7">
        <f t="shared" si="61"/>
        <v>0</v>
      </c>
      <c r="T54" s="7">
        <f t="shared" si="61"/>
        <v>0</v>
      </c>
      <c r="U54" s="7">
        <f t="shared" ref="U54" si="62">U53-U39</f>
        <v>0</v>
      </c>
      <c r="V54" s="7">
        <f>V53-V39</f>
        <v>0</v>
      </c>
      <c r="W54" s="7">
        <f>SUM(B54:V54)</f>
        <v>0</v>
      </c>
      <c r="X54" s="7"/>
      <c r="Y54" s="7"/>
      <c r="Z54" s="39"/>
      <c r="AA54" s="19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row>
    <row r="55" spans="1:75" ht="14.5" customHeight="1" x14ac:dyDescent="0.35">
      <c r="A55" s="35" t="s">
        <v>110</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cm="1">
        <f t="array" ref="S55">IF(COUNTIF(AU46:AU52,0)=0,
    LOOKUP(2,1/(AU46:AU52&lt;&gt;""),AU46:AU52),
    MATCH(0,INDEX(AU46:AU52,MAX(ROW(AU46:AU52))-ROW(AU46:AU52)+1),0)-1
)</f>
        <v>0</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19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row>
    <row r="56" spans="1:75" ht="14.5" customHeight="1" x14ac:dyDescent="0.35">
      <c r="A56" s="35" t="s">
        <v>99</v>
      </c>
      <c r="B56" s="7">
        <f>B53+B42</f>
        <v>2</v>
      </c>
      <c r="C56" s="7">
        <f t="shared" ref="C56:T56" si="63">C53+C42</f>
        <v>0</v>
      </c>
      <c r="D56" s="7">
        <f t="shared" si="63"/>
        <v>5</v>
      </c>
      <c r="E56" s="7">
        <f t="shared" si="63"/>
        <v>9</v>
      </c>
      <c r="F56" s="7">
        <f t="shared" si="63"/>
        <v>4</v>
      </c>
      <c r="G56" s="7">
        <f t="shared" si="63"/>
        <v>0</v>
      </c>
      <c r="H56" s="7">
        <f t="shared" si="63"/>
        <v>0</v>
      </c>
      <c r="I56" s="7">
        <f t="shared" si="63"/>
        <v>3</v>
      </c>
      <c r="J56" s="7">
        <f t="shared" si="63"/>
        <v>0</v>
      </c>
      <c r="K56" s="7">
        <f>K53+K42</f>
        <v>0.75</v>
      </c>
      <c r="L56" s="7">
        <f t="shared" si="63"/>
        <v>2</v>
      </c>
      <c r="M56" s="7">
        <f t="shared" si="63"/>
        <v>1</v>
      </c>
      <c r="N56" s="7">
        <f t="shared" si="63"/>
        <v>2.5</v>
      </c>
      <c r="O56" s="7">
        <f t="shared" si="63"/>
        <v>2</v>
      </c>
      <c r="P56" s="7">
        <f t="shared" si="63"/>
        <v>0</v>
      </c>
      <c r="Q56" s="7">
        <f>Q53+Q42</f>
        <v>0</v>
      </c>
      <c r="R56" s="7">
        <f t="shared" si="63"/>
        <v>1</v>
      </c>
      <c r="S56" s="7">
        <f t="shared" si="63"/>
        <v>3</v>
      </c>
      <c r="T56" s="7">
        <f t="shared" si="63"/>
        <v>0</v>
      </c>
      <c r="U56" s="7">
        <f t="shared" ref="U56" si="64">U53+U42</f>
        <v>-1</v>
      </c>
      <c r="V56" s="7">
        <f>V53+V42</f>
        <v>2</v>
      </c>
      <c r="W56" s="7">
        <f>SUM(W42,W53)</f>
        <v>36.25</v>
      </c>
      <c r="X56" s="7"/>
      <c r="Y56" s="7">
        <f>SUM(Y46:Y52)</f>
        <v>0</v>
      </c>
      <c r="Z56" s="39"/>
      <c r="AA56" s="19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row>
    <row r="57" spans="1:75" x14ac:dyDescent="0.35">
      <c r="A57" s="35" t="s">
        <v>112</v>
      </c>
      <c r="B57" s="174">
        <f>(COUNTIF(B4:B10, "&gt;0")+COUNTIF(B18:B24, "&gt;0")+COUNTIF(B32:B38, "&gt;0") + COUNTIF(B46:B52, "&gt;0")) / 28</f>
        <v>3.5714285714285712E-2</v>
      </c>
      <c r="C57" s="174">
        <f t="shared" ref="C57:O57" si="65">(COUNTIF(C4:C10, "&gt;0")+COUNTIF(C18:C24, "&gt;0")+COUNTIF(C32:C38, "&gt;0") + COUNTIF(C46:C52, "&gt;0")) / 28</f>
        <v>0</v>
      </c>
      <c r="D57" s="174">
        <f t="shared" si="65"/>
        <v>3.5714285714285712E-2</v>
      </c>
      <c r="E57" s="174">
        <f t="shared" si="65"/>
        <v>3.5714285714285712E-2</v>
      </c>
      <c r="F57" s="174">
        <f t="shared" si="65"/>
        <v>3.5714285714285712E-2</v>
      </c>
      <c r="G57" s="174">
        <f t="shared" si="65"/>
        <v>0</v>
      </c>
      <c r="H57" s="174">
        <f t="shared" si="65"/>
        <v>0</v>
      </c>
      <c r="I57" s="174">
        <f t="shared" si="65"/>
        <v>3.5714285714285712E-2</v>
      </c>
      <c r="J57" s="174">
        <f t="shared" si="65"/>
        <v>0</v>
      </c>
      <c r="K57" s="174">
        <f t="shared" si="65"/>
        <v>3.5714285714285712E-2</v>
      </c>
      <c r="L57" s="174">
        <f t="shared" si="65"/>
        <v>3.5714285714285712E-2</v>
      </c>
      <c r="M57" s="174">
        <f t="shared" si="65"/>
        <v>3.5714285714285712E-2</v>
      </c>
      <c r="N57" s="174">
        <f t="shared" si="65"/>
        <v>3.5714285714285712E-2</v>
      </c>
      <c r="O57" s="174">
        <f t="shared" si="65"/>
        <v>3.5714285714285712E-2</v>
      </c>
      <c r="P57" s="7"/>
      <c r="Q57" s="7"/>
      <c r="R57" s="7"/>
      <c r="S57" s="7"/>
      <c r="T57" s="7"/>
      <c r="U57" s="35" t="s">
        <v>31</v>
      </c>
      <c r="V57" s="7">
        <f>SUMIF(B53:V53,"&lt;0",B53:V53)</f>
        <v>0</v>
      </c>
      <c r="W57" s="7">
        <f>SUMIF(B53:V53,"&gt;0",B53:V53)</f>
        <v>0</v>
      </c>
      <c r="Y57" s="7"/>
      <c r="Z57" s="39"/>
      <c r="AA57" s="19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row>
    <row r="58" spans="1:75"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c r="AZ58" s="7" t="s">
        <v>124</v>
      </c>
      <c r="BA58" s="7"/>
      <c r="BB58" s="7"/>
      <c r="BC58" s="7"/>
      <c r="BD58" s="7"/>
      <c r="BE58" s="7"/>
      <c r="BF58" s="7"/>
      <c r="BG58" s="7"/>
      <c r="BH58" s="7"/>
      <c r="BI58" s="7"/>
      <c r="BJ58" s="7"/>
      <c r="BK58" s="7"/>
      <c r="BL58" s="7"/>
      <c r="BM58" s="7"/>
      <c r="BN58" s="7"/>
      <c r="BO58" s="7"/>
      <c r="BP58" s="7"/>
      <c r="BQ58" s="7"/>
      <c r="BR58" s="7"/>
      <c r="BS58" s="7"/>
      <c r="BT58" s="7"/>
      <c r="BU58" s="7"/>
    </row>
    <row r="59" spans="1:75" x14ac:dyDescent="0.35">
      <c r="A59" s="100" t="s">
        <v>37</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66</v>
      </c>
      <c r="AD59" s="7"/>
      <c r="AE59" s="7"/>
      <c r="AF59" s="7"/>
      <c r="AG59" s="7"/>
      <c r="AH59" s="7"/>
      <c r="AI59" s="7"/>
      <c r="AJ59" s="7"/>
      <c r="AK59" s="7"/>
      <c r="AL59" s="7"/>
      <c r="AM59" s="7"/>
      <c r="AN59" s="7"/>
      <c r="AO59" s="7"/>
      <c r="AP59" s="7"/>
      <c r="AQ59" s="7"/>
      <c r="AR59" s="7"/>
      <c r="AS59" s="7"/>
      <c r="AT59" s="7"/>
      <c r="AU59" s="7"/>
      <c r="AV59" s="7"/>
      <c r="AW59" s="7"/>
      <c r="AX59" s="7"/>
      <c r="AY59" s="7"/>
      <c r="AZ59" s="12"/>
      <c r="BA59" s="12"/>
      <c r="BB59" s="12"/>
      <c r="BC59" s="12"/>
      <c r="BD59" s="12"/>
      <c r="BE59" s="12"/>
      <c r="BF59" s="12"/>
      <c r="BG59" s="12"/>
      <c r="BH59" s="12"/>
      <c r="BI59" s="12"/>
      <c r="BJ59" s="12"/>
      <c r="BK59" s="12"/>
      <c r="BL59" s="12"/>
      <c r="BM59" s="12"/>
      <c r="BN59" s="12"/>
      <c r="BO59" s="12"/>
      <c r="BP59" s="12"/>
      <c r="BQ59" s="12"/>
      <c r="BR59" s="12"/>
      <c r="BS59" s="12"/>
      <c r="BT59" s="203"/>
      <c r="BU59" s="12">
        <v>0</v>
      </c>
      <c r="BW59">
        <v>0</v>
      </c>
    </row>
    <row r="60" spans="1:75" x14ac:dyDescent="0.35">
      <c r="A60" s="78" t="s">
        <v>22</v>
      </c>
      <c r="B60" s="7"/>
      <c r="C60" s="7"/>
      <c r="D60" s="7"/>
      <c r="E60" s="7"/>
      <c r="F60" s="7"/>
      <c r="G60" s="7"/>
      <c r="H60" s="7"/>
      <c r="I60" s="7"/>
      <c r="J60" s="7"/>
      <c r="K60" s="7"/>
      <c r="L60" s="7"/>
      <c r="M60" s="7"/>
      <c r="N60" s="7"/>
      <c r="O60" s="7"/>
      <c r="P60" s="7"/>
      <c r="Q60" s="7"/>
      <c r="R60" s="7"/>
      <c r="S60" s="7"/>
      <c r="T60" s="7"/>
      <c r="U60" s="7"/>
      <c r="V60" s="7"/>
      <c r="W60" s="7">
        <f t="shared" ref="W60:W66" si="66">SUM(B60:V60)</f>
        <v>0</v>
      </c>
      <c r="X60" s="7">
        <f t="shared" ref="X60:X66" si="67">SUM(AD60:AW60)*0.1</f>
        <v>0</v>
      </c>
      <c r="Y60" s="7">
        <f t="shared" ref="Y60:Y66" si="68">W60+X60</f>
        <v>0</v>
      </c>
      <c r="Z60" s="49"/>
      <c r="AA60" s="191"/>
      <c r="AB60" s="7">
        <f t="shared" ref="AB60:AB66" si="69">AB46+W60</f>
        <v>36.25</v>
      </c>
      <c r="AC60" s="7" t="s">
        <v>22</v>
      </c>
      <c r="AD60" s="7">
        <f t="shared" ref="AD60:AW60" si="70">IF(B60 &gt; 0, IF(AD52&gt; 0, AD52+ 1, 0.1), 0)</f>
        <v>0</v>
      </c>
      <c r="AE60" s="7">
        <f t="shared" si="70"/>
        <v>0</v>
      </c>
      <c r="AF60" s="7">
        <f t="shared" si="70"/>
        <v>0</v>
      </c>
      <c r="AG60" s="7">
        <f t="shared" si="70"/>
        <v>0</v>
      </c>
      <c r="AH60" s="7">
        <f t="shared" si="70"/>
        <v>0</v>
      </c>
      <c r="AI60" s="7">
        <f t="shared" si="70"/>
        <v>0</v>
      </c>
      <c r="AJ60" s="7">
        <f t="shared" si="70"/>
        <v>0</v>
      </c>
      <c r="AK60" s="7">
        <f t="shared" si="70"/>
        <v>0</v>
      </c>
      <c r="AL60" s="7">
        <f t="shared" si="70"/>
        <v>0</v>
      </c>
      <c r="AM60" s="7">
        <f t="shared" si="70"/>
        <v>0</v>
      </c>
      <c r="AN60" s="7">
        <f t="shared" si="70"/>
        <v>0</v>
      </c>
      <c r="AO60" s="7">
        <f t="shared" si="70"/>
        <v>0</v>
      </c>
      <c r="AP60" s="7">
        <f t="shared" si="70"/>
        <v>0</v>
      </c>
      <c r="AQ60" s="7">
        <f t="shared" si="70"/>
        <v>0</v>
      </c>
      <c r="AR60" s="7">
        <f t="shared" si="70"/>
        <v>0</v>
      </c>
      <c r="AS60" s="7">
        <f t="shared" si="70"/>
        <v>0</v>
      </c>
      <c r="AT60" s="7">
        <f t="shared" si="70"/>
        <v>0</v>
      </c>
      <c r="AU60" s="7">
        <f t="shared" si="70"/>
        <v>0</v>
      </c>
      <c r="AV60" s="7">
        <f t="shared" si="70"/>
        <v>0</v>
      </c>
      <c r="AW60" s="7">
        <f t="shared" si="70"/>
        <v>0</v>
      </c>
      <c r="AX60" s="7"/>
      <c r="AY60" s="7"/>
      <c r="AZ60" s="7">
        <f>SUM($B$60:B60)</f>
        <v>0</v>
      </c>
      <c r="BA60" s="7">
        <f>SUM($B$60:C60)</f>
        <v>0</v>
      </c>
      <c r="BB60" s="7">
        <f>SUM($B$60:D60)</f>
        <v>0</v>
      </c>
      <c r="BC60" s="7">
        <f>SUM($B$60:E60)</f>
        <v>0</v>
      </c>
      <c r="BD60" s="7">
        <f>SUM($B$60:F60)</f>
        <v>0</v>
      </c>
      <c r="BE60" s="7">
        <f>SUM($B$60:G60)</f>
        <v>0</v>
      </c>
      <c r="BF60" s="7">
        <f>SUM($B$60:H60)</f>
        <v>0</v>
      </c>
      <c r="BG60" s="7">
        <f>SUM($B$60:I60)</f>
        <v>0</v>
      </c>
      <c r="BH60" s="7">
        <f>SUM($B$60:J60)</f>
        <v>0</v>
      </c>
      <c r="BI60" s="7">
        <f>SUM($B$60:K60)</f>
        <v>0</v>
      </c>
      <c r="BJ60" s="7">
        <f>SUM($B$60:L60)</f>
        <v>0</v>
      </c>
      <c r="BK60" s="7">
        <f>SUM($B$60:M60)</f>
        <v>0</v>
      </c>
      <c r="BL60" s="7">
        <f>SUM($B$60:Q60)</f>
        <v>0</v>
      </c>
      <c r="BM60" s="7">
        <f>SUM($B$60:N60)</f>
        <v>0</v>
      </c>
      <c r="BN60" s="7">
        <f>SUM($B$60:O60)</f>
        <v>0</v>
      </c>
      <c r="BO60" s="7">
        <f>SUM($B$60:P60)</f>
        <v>0</v>
      </c>
      <c r="BP60" s="7">
        <f>SUM($B$60:R60)</f>
        <v>0</v>
      </c>
      <c r="BQ60" s="7">
        <f>SUM($B$60:S60)</f>
        <v>0</v>
      </c>
      <c r="BR60" s="7">
        <f>SUM($B$60:T60)</f>
        <v>0</v>
      </c>
      <c r="BS60" s="7">
        <f>SUM($B$60:V60)</f>
        <v>0</v>
      </c>
      <c r="BT60" s="7"/>
      <c r="BU60" s="7">
        <f>SUM($BS$60:BS60)</f>
        <v>0</v>
      </c>
      <c r="BV60">
        <f t="shared" si="15"/>
        <v>0</v>
      </c>
      <c r="BW60">
        <f>SUM($BV$60:BV60)</f>
        <v>0</v>
      </c>
    </row>
    <row r="61" spans="1:75" x14ac:dyDescent="0.35">
      <c r="A61" s="89" t="s">
        <v>23</v>
      </c>
      <c r="B61" s="7"/>
      <c r="C61" s="7"/>
      <c r="D61" s="7"/>
      <c r="E61" s="7"/>
      <c r="F61" s="7"/>
      <c r="G61" s="7"/>
      <c r="H61" s="7"/>
      <c r="I61" s="7"/>
      <c r="J61" s="7"/>
      <c r="K61" s="7"/>
      <c r="L61" s="7"/>
      <c r="M61" s="7"/>
      <c r="N61" s="7"/>
      <c r="O61" s="7"/>
      <c r="P61" s="7"/>
      <c r="Q61" s="7"/>
      <c r="R61" s="7"/>
      <c r="S61" s="7"/>
      <c r="T61" s="7"/>
      <c r="U61" s="7"/>
      <c r="V61" s="7"/>
      <c r="W61" s="7">
        <f t="shared" si="66"/>
        <v>0</v>
      </c>
      <c r="X61" s="7">
        <f t="shared" si="67"/>
        <v>0</v>
      </c>
      <c r="Y61" s="7">
        <f t="shared" si="68"/>
        <v>0</v>
      </c>
      <c r="Z61" s="49"/>
      <c r="AA61" s="191"/>
      <c r="AB61" s="7">
        <f t="shared" si="69"/>
        <v>0</v>
      </c>
      <c r="AC61" s="7" t="s">
        <v>23</v>
      </c>
      <c r="AD61" s="7">
        <f t="shared" ref="AD61:AM66" si="71">IF(B61 &gt; 0, IF(AD60 &gt; 0, AD60 + 1, 0.1), 0)</f>
        <v>0</v>
      </c>
      <c r="AE61" s="7">
        <f t="shared" si="71"/>
        <v>0</v>
      </c>
      <c r="AF61" s="7">
        <f t="shared" si="71"/>
        <v>0</v>
      </c>
      <c r="AG61" s="7">
        <f t="shared" si="71"/>
        <v>0</v>
      </c>
      <c r="AH61" s="7">
        <f t="shared" si="71"/>
        <v>0</v>
      </c>
      <c r="AI61" s="7">
        <f t="shared" si="71"/>
        <v>0</v>
      </c>
      <c r="AJ61" s="7">
        <f t="shared" si="71"/>
        <v>0</v>
      </c>
      <c r="AK61" s="7">
        <f t="shared" si="71"/>
        <v>0</v>
      </c>
      <c r="AL61" s="7">
        <f t="shared" si="71"/>
        <v>0</v>
      </c>
      <c r="AM61" s="7">
        <f t="shared" si="71"/>
        <v>0</v>
      </c>
      <c r="AN61" s="7">
        <f t="shared" ref="AN61:AT66" si="72">IF(L61 &gt; 0, IF(AN60 &gt; 0, AN60 + 1, 0.1), 0)</f>
        <v>0</v>
      </c>
      <c r="AO61" s="7">
        <f t="shared" si="72"/>
        <v>0</v>
      </c>
      <c r="AP61" s="7">
        <f t="shared" si="72"/>
        <v>0</v>
      </c>
      <c r="AQ61" s="7">
        <f t="shared" si="72"/>
        <v>0</v>
      </c>
      <c r="AR61" s="7">
        <f t="shared" si="72"/>
        <v>0</v>
      </c>
      <c r="AS61" s="7">
        <f t="shared" si="72"/>
        <v>0</v>
      </c>
      <c r="AT61" s="7">
        <f t="shared" si="72"/>
        <v>0</v>
      </c>
      <c r="AU61" s="7">
        <f t="shared" ref="AU61:AU66" si="73">IF(S61 &gt; 0, IF(AU53&gt; 0, AU53+ 1, 0.1), 0)</f>
        <v>0</v>
      </c>
      <c r="AV61" s="7">
        <f t="shared" ref="AV61:AW66" si="74">IF(T61 &gt; 0, IF(AV60 &gt; 0, AV60 + 1, 0.1), 0)</f>
        <v>0</v>
      </c>
      <c r="AW61" s="7">
        <f t="shared" si="74"/>
        <v>0</v>
      </c>
      <c r="AX61" s="7"/>
      <c r="AY61" s="7"/>
      <c r="AZ61" s="7">
        <f>SUM($B$61:B61)</f>
        <v>0</v>
      </c>
      <c r="BA61" s="7">
        <f>SUM($B$61:C61)</f>
        <v>0</v>
      </c>
      <c r="BB61" s="7">
        <f>SUM($B$61:D61)</f>
        <v>0</v>
      </c>
      <c r="BC61" s="7">
        <f>SUM($B$61:E61)</f>
        <v>0</v>
      </c>
      <c r="BD61" s="7">
        <f>SUM($B$61:F61)</f>
        <v>0</v>
      </c>
      <c r="BE61" s="7">
        <f>SUM($B$61:G61)</f>
        <v>0</v>
      </c>
      <c r="BF61" s="7">
        <f>SUM($B$61:H61)</f>
        <v>0</v>
      </c>
      <c r="BG61" s="7">
        <f>SUM($B$61:I61)</f>
        <v>0</v>
      </c>
      <c r="BH61" s="7">
        <f>SUM($B$61:J61)</f>
        <v>0</v>
      </c>
      <c r="BI61" s="7">
        <f>SUM($B$61:K61)</f>
        <v>0</v>
      </c>
      <c r="BJ61" s="7">
        <f>SUM($B$61:L61)</f>
        <v>0</v>
      </c>
      <c r="BK61" s="7">
        <f>SUM($B$61:M61)</f>
        <v>0</v>
      </c>
      <c r="BL61" s="7">
        <f>SUM($B$61:Q61)</f>
        <v>0</v>
      </c>
      <c r="BM61" s="7">
        <f>SUM($B$61:N61)</f>
        <v>0</v>
      </c>
      <c r="BN61" s="7">
        <f>SUM($B$61:O61)</f>
        <v>0</v>
      </c>
      <c r="BO61" s="7">
        <f>SUM($B$61:P61)</f>
        <v>0</v>
      </c>
      <c r="BP61" s="7">
        <f>SUM($B$61:R61)</f>
        <v>0</v>
      </c>
      <c r="BQ61" s="7">
        <f>SUM($B$61:S61)</f>
        <v>0</v>
      </c>
      <c r="BR61" s="7">
        <f>SUM($B$61:T61)</f>
        <v>0</v>
      </c>
      <c r="BS61" s="7">
        <f>SUM($B$61:V61)</f>
        <v>0</v>
      </c>
      <c r="BT61" s="7"/>
      <c r="BU61" s="7">
        <f>SUM($BS$60:BS61)</f>
        <v>0</v>
      </c>
      <c r="BV61">
        <f t="shared" si="15"/>
        <v>0</v>
      </c>
      <c r="BW61">
        <f>SUM($BV$60:BV61)</f>
        <v>0</v>
      </c>
    </row>
    <row r="62" spans="1:75" x14ac:dyDescent="0.35">
      <c r="A62" s="112" t="s">
        <v>24</v>
      </c>
      <c r="B62" s="7"/>
      <c r="C62" s="7"/>
      <c r="D62" s="7"/>
      <c r="E62" s="7"/>
      <c r="F62" s="7"/>
      <c r="G62" s="7"/>
      <c r="H62" s="7"/>
      <c r="I62" s="7"/>
      <c r="J62" s="7"/>
      <c r="K62" s="7"/>
      <c r="L62" s="7"/>
      <c r="M62" s="7"/>
      <c r="N62" s="7"/>
      <c r="O62" s="7"/>
      <c r="P62" s="7"/>
      <c r="Q62" s="7"/>
      <c r="R62" s="7"/>
      <c r="S62" s="7"/>
      <c r="T62" s="7"/>
      <c r="U62" s="7"/>
      <c r="V62" s="7"/>
      <c r="W62" s="7">
        <f t="shared" si="66"/>
        <v>0</v>
      </c>
      <c r="X62" s="7">
        <f t="shared" si="67"/>
        <v>0</v>
      </c>
      <c r="Y62" s="7">
        <f t="shared" si="68"/>
        <v>0</v>
      </c>
      <c r="Z62" s="49"/>
      <c r="AA62" s="191"/>
      <c r="AB62" s="7">
        <f t="shared" si="69"/>
        <v>0</v>
      </c>
      <c r="AC62" s="7" t="s">
        <v>24</v>
      </c>
      <c r="AD62" s="7">
        <f t="shared" si="71"/>
        <v>0</v>
      </c>
      <c r="AE62" s="7">
        <f t="shared" si="71"/>
        <v>0</v>
      </c>
      <c r="AF62" s="7">
        <f t="shared" si="71"/>
        <v>0</v>
      </c>
      <c r="AG62" s="7">
        <f t="shared" si="71"/>
        <v>0</v>
      </c>
      <c r="AH62" s="7">
        <f t="shared" si="71"/>
        <v>0</v>
      </c>
      <c r="AI62" s="7">
        <f t="shared" si="71"/>
        <v>0</v>
      </c>
      <c r="AJ62" s="7">
        <f t="shared" si="71"/>
        <v>0</v>
      </c>
      <c r="AK62" s="7">
        <f t="shared" si="71"/>
        <v>0</v>
      </c>
      <c r="AL62" s="7">
        <f t="shared" si="71"/>
        <v>0</v>
      </c>
      <c r="AM62" s="7">
        <f t="shared" si="71"/>
        <v>0</v>
      </c>
      <c r="AN62" s="7">
        <f t="shared" si="72"/>
        <v>0</v>
      </c>
      <c r="AO62" s="7">
        <f t="shared" si="72"/>
        <v>0</v>
      </c>
      <c r="AP62" s="7">
        <f t="shared" si="72"/>
        <v>0</v>
      </c>
      <c r="AQ62" s="7">
        <f t="shared" si="72"/>
        <v>0</v>
      </c>
      <c r="AR62" s="7">
        <f t="shared" si="72"/>
        <v>0</v>
      </c>
      <c r="AS62" s="7">
        <f t="shared" si="72"/>
        <v>0</v>
      </c>
      <c r="AT62" s="7">
        <f t="shared" si="72"/>
        <v>0</v>
      </c>
      <c r="AU62" s="7">
        <f t="shared" si="73"/>
        <v>0</v>
      </c>
      <c r="AV62" s="7">
        <f t="shared" si="74"/>
        <v>0</v>
      </c>
      <c r="AW62" s="7">
        <f t="shared" si="74"/>
        <v>0</v>
      </c>
      <c r="AX62" s="7"/>
      <c r="AY62" s="7"/>
      <c r="AZ62" s="7">
        <f>+SUM($B$62:B62)</f>
        <v>0</v>
      </c>
      <c r="BA62" s="7">
        <f>+SUM($B$62:C62)</f>
        <v>0</v>
      </c>
      <c r="BB62" s="7">
        <f>+SUM($B$62:D62)</f>
        <v>0</v>
      </c>
      <c r="BC62" s="7">
        <f>+SUM($B$62:E62)</f>
        <v>0</v>
      </c>
      <c r="BD62" s="7">
        <f>+SUM($B$62:F62)</f>
        <v>0</v>
      </c>
      <c r="BE62" s="7">
        <f>+SUM($B$62:G62)</f>
        <v>0</v>
      </c>
      <c r="BF62" s="7">
        <f>+SUM($B$62:H62)</f>
        <v>0</v>
      </c>
      <c r="BG62" s="7">
        <f>+SUM($B$62:I62)</f>
        <v>0</v>
      </c>
      <c r="BH62" s="7">
        <f>+SUM($B$62:J62)</f>
        <v>0</v>
      </c>
      <c r="BI62" s="7">
        <f>+SUM($B$62:K62)</f>
        <v>0</v>
      </c>
      <c r="BJ62" s="7">
        <f>+SUM($B$62:L62)</f>
        <v>0</v>
      </c>
      <c r="BK62" s="7">
        <f>+SUM($B$62:M62)</f>
        <v>0</v>
      </c>
      <c r="BL62" s="7">
        <f>+SUM($B$62:Q62)</f>
        <v>0</v>
      </c>
      <c r="BM62" s="7">
        <f>+SUM($B$62:N62)</f>
        <v>0</v>
      </c>
      <c r="BN62" s="7">
        <f>+SUM($B$62:O62)</f>
        <v>0</v>
      </c>
      <c r="BO62" s="7">
        <f>+SUM($B$62:P62)</f>
        <v>0</v>
      </c>
      <c r="BP62" s="7">
        <f>+SUM($B$62:R62)</f>
        <v>0</v>
      </c>
      <c r="BQ62" s="7">
        <f>+SUM($B$62:S62)</f>
        <v>0</v>
      </c>
      <c r="BR62" s="7">
        <f>+SUM($B$62:T62)</f>
        <v>0</v>
      </c>
      <c r="BS62" s="7">
        <f>+SUM($B$62:V62)</f>
        <v>0</v>
      </c>
      <c r="BT62" s="7"/>
      <c r="BU62" s="7">
        <f>SUM($BS$60:BS62)</f>
        <v>0</v>
      </c>
      <c r="BV62">
        <f t="shared" si="15"/>
        <v>0</v>
      </c>
      <c r="BW62">
        <f>SUM($BV$60:BV62)</f>
        <v>0</v>
      </c>
    </row>
    <row r="63" spans="1:75" x14ac:dyDescent="0.35">
      <c r="A63" s="123" t="s">
        <v>25</v>
      </c>
      <c r="B63" s="7"/>
      <c r="C63" s="7"/>
      <c r="D63" s="7"/>
      <c r="E63" s="7"/>
      <c r="F63" s="7"/>
      <c r="G63" s="7"/>
      <c r="H63" s="7"/>
      <c r="I63" s="7"/>
      <c r="J63" s="7"/>
      <c r="K63" s="7"/>
      <c r="L63" s="7"/>
      <c r="M63" s="7"/>
      <c r="N63" s="7"/>
      <c r="O63" s="7"/>
      <c r="P63" s="7"/>
      <c r="Q63" s="7"/>
      <c r="R63" s="7"/>
      <c r="S63" s="7"/>
      <c r="T63" s="7"/>
      <c r="U63" s="7"/>
      <c r="V63" s="7"/>
      <c r="W63" s="7">
        <f t="shared" si="66"/>
        <v>0</v>
      </c>
      <c r="X63" s="7">
        <f t="shared" si="67"/>
        <v>0</v>
      </c>
      <c r="Y63" s="7">
        <f t="shared" si="68"/>
        <v>0</v>
      </c>
      <c r="Z63" s="49"/>
      <c r="AA63" s="191"/>
      <c r="AB63" s="7">
        <f t="shared" si="69"/>
        <v>0</v>
      </c>
      <c r="AC63" s="7" t="s">
        <v>25</v>
      </c>
      <c r="AD63" s="7">
        <f t="shared" si="71"/>
        <v>0</v>
      </c>
      <c r="AE63" s="7">
        <f t="shared" si="71"/>
        <v>0</v>
      </c>
      <c r="AF63" s="7">
        <f t="shared" si="71"/>
        <v>0</v>
      </c>
      <c r="AG63" s="7">
        <f t="shared" si="71"/>
        <v>0</v>
      </c>
      <c r="AH63" s="7">
        <f t="shared" si="71"/>
        <v>0</v>
      </c>
      <c r="AI63" s="7">
        <f t="shared" si="71"/>
        <v>0</v>
      </c>
      <c r="AJ63" s="7">
        <f t="shared" si="71"/>
        <v>0</v>
      </c>
      <c r="AK63" s="7">
        <f t="shared" si="71"/>
        <v>0</v>
      </c>
      <c r="AL63" s="7">
        <f t="shared" si="71"/>
        <v>0</v>
      </c>
      <c r="AM63" s="7">
        <f t="shared" si="71"/>
        <v>0</v>
      </c>
      <c r="AN63" s="7">
        <f t="shared" si="72"/>
        <v>0</v>
      </c>
      <c r="AO63" s="7">
        <f t="shared" si="72"/>
        <v>0</v>
      </c>
      <c r="AP63" s="7">
        <f t="shared" si="72"/>
        <v>0</v>
      </c>
      <c r="AQ63" s="7">
        <f t="shared" si="72"/>
        <v>0</v>
      </c>
      <c r="AR63" s="7">
        <f t="shared" si="72"/>
        <v>0</v>
      </c>
      <c r="AS63" s="7">
        <f t="shared" si="72"/>
        <v>0</v>
      </c>
      <c r="AT63" s="7">
        <f t="shared" si="72"/>
        <v>0</v>
      </c>
      <c r="AU63" s="7">
        <f t="shared" si="73"/>
        <v>0</v>
      </c>
      <c r="AV63" s="7">
        <f t="shared" si="74"/>
        <v>0</v>
      </c>
      <c r="AW63" s="7">
        <f t="shared" si="74"/>
        <v>0</v>
      </c>
      <c r="AX63" s="7"/>
      <c r="AY63" s="7"/>
      <c r="AZ63" s="7">
        <f>SUM($B$63:B63)</f>
        <v>0</v>
      </c>
      <c r="BA63" s="7">
        <f>SUM($B$63:C63)</f>
        <v>0</v>
      </c>
      <c r="BB63" s="7">
        <f>SUM($B$63:D63)</f>
        <v>0</v>
      </c>
      <c r="BC63" s="7">
        <f>SUM($B$63:E63)</f>
        <v>0</v>
      </c>
      <c r="BD63" s="7">
        <f>SUM($B$63:F63)</f>
        <v>0</v>
      </c>
      <c r="BE63" s="7">
        <f>SUM($B$63:G63)</f>
        <v>0</v>
      </c>
      <c r="BF63" s="7">
        <f>SUM($B$63:H63)</f>
        <v>0</v>
      </c>
      <c r="BG63" s="7">
        <f>SUM($B$63:I63)</f>
        <v>0</v>
      </c>
      <c r="BH63" s="7">
        <f>SUM($B$63:J63)</f>
        <v>0</v>
      </c>
      <c r="BI63" s="7">
        <f>SUM($B$63:K63)</f>
        <v>0</v>
      </c>
      <c r="BJ63" s="7">
        <f>SUM($B$63:L63)</f>
        <v>0</v>
      </c>
      <c r="BK63" s="7">
        <f>SUM($B$63:M63)</f>
        <v>0</v>
      </c>
      <c r="BL63" s="7">
        <f>SUM($B$63:Q63)</f>
        <v>0</v>
      </c>
      <c r="BM63" s="7">
        <f>SUM($B$63:N63)</f>
        <v>0</v>
      </c>
      <c r="BN63" s="7">
        <f>SUM($B$63:O63)</f>
        <v>0</v>
      </c>
      <c r="BO63" s="7">
        <f>SUM($B$63:P63)</f>
        <v>0</v>
      </c>
      <c r="BP63" s="7">
        <f>SUM($B$63:R63)</f>
        <v>0</v>
      </c>
      <c r="BQ63" s="7">
        <f>SUM($B$63:S63)</f>
        <v>0</v>
      </c>
      <c r="BR63" s="7">
        <f>SUM($B$63:T63)</f>
        <v>0</v>
      </c>
      <c r="BS63" s="7">
        <f>SUM($B$63:V63)</f>
        <v>0</v>
      </c>
      <c r="BT63" s="7"/>
      <c r="BU63" s="7">
        <f>SUM($BS$60:BS63)</f>
        <v>0</v>
      </c>
      <c r="BV63">
        <f t="shared" si="15"/>
        <v>0</v>
      </c>
      <c r="BW63">
        <f>SUM($BV$60:BV63)</f>
        <v>0</v>
      </c>
    </row>
    <row r="64" spans="1:75" x14ac:dyDescent="0.35">
      <c r="A64" s="134" t="s">
        <v>26</v>
      </c>
      <c r="B64" s="7"/>
      <c r="C64" s="7"/>
      <c r="D64" s="7"/>
      <c r="E64" s="7"/>
      <c r="F64" s="7"/>
      <c r="G64" s="7"/>
      <c r="H64" s="7"/>
      <c r="I64" s="7"/>
      <c r="J64" s="7"/>
      <c r="K64" s="7"/>
      <c r="L64" s="7"/>
      <c r="M64" s="7"/>
      <c r="N64" s="7"/>
      <c r="O64" s="7"/>
      <c r="P64" s="7"/>
      <c r="Q64" s="7"/>
      <c r="R64" s="7"/>
      <c r="S64" s="7"/>
      <c r="T64" s="7"/>
      <c r="U64" s="7"/>
      <c r="V64" s="7"/>
      <c r="W64" s="7">
        <f t="shared" si="66"/>
        <v>0</v>
      </c>
      <c r="X64" s="7">
        <f t="shared" si="67"/>
        <v>0</v>
      </c>
      <c r="Y64" s="7">
        <f t="shared" si="68"/>
        <v>0</v>
      </c>
      <c r="Z64" s="49"/>
      <c r="AA64" s="191"/>
      <c r="AB64" s="7">
        <f t="shared" si="69"/>
        <v>0</v>
      </c>
      <c r="AC64" s="7" t="s">
        <v>26</v>
      </c>
      <c r="AD64" s="7">
        <f t="shared" si="71"/>
        <v>0</v>
      </c>
      <c r="AE64" s="7">
        <f t="shared" si="71"/>
        <v>0</v>
      </c>
      <c r="AF64" s="7">
        <f t="shared" si="71"/>
        <v>0</v>
      </c>
      <c r="AG64" s="7">
        <f t="shared" si="71"/>
        <v>0</v>
      </c>
      <c r="AH64" s="7">
        <f t="shared" si="71"/>
        <v>0</v>
      </c>
      <c r="AI64" s="7">
        <f t="shared" si="71"/>
        <v>0</v>
      </c>
      <c r="AJ64" s="7">
        <f t="shared" si="71"/>
        <v>0</v>
      </c>
      <c r="AK64" s="7">
        <f t="shared" si="71"/>
        <v>0</v>
      </c>
      <c r="AL64" s="7">
        <f t="shared" si="71"/>
        <v>0</v>
      </c>
      <c r="AM64" s="7">
        <f t="shared" si="71"/>
        <v>0</v>
      </c>
      <c r="AN64" s="7">
        <f t="shared" si="72"/>
        <v>0</v>
      </c>
      <c r="AO64" s="7">
        <f t="shared" si="72"/>
        <v>0</v>
      </c>
      <c r="AP64" s="7">
        <f t="shared" si="72"/>
        <v>0</v>
      </c>
      <c r="AQ64" s="7">
        <f t="shared" si="72"/>
        <v>0</v>
      </c>
      <c r="AR64" s="7">
        <f t="shared" si="72"/>
        <v>0</v>
      </c>
      <c r="AS64" s="7">
        <f t="shared" si="72"/>
        <v>0</v>
      </c>
      <c r="AT64" s="7">
        <f t="shared" si="72"/>
        <v>0</v>
      </c>
      <c r="AU64" s="7">
        <f t="shared" si="73"/>
        <v>0</v>
      </c>
      <c r="AV64" s="7">
        <f t="shared" si="74"/>
        <v>0</v>
      </c>
      <c r="AW64" s="7">
        <f t="shared" si="74"/>
        <v>0</v>
      </c>
      <c r="AX64" s="7"/>
      <c r="AY64" s="7"/>
      <c r="AZ64" s="7">
        <f>SUM($B$64:B64)</f>
        <v>0</v>
      </c>
      <c r="BA64" s="7">
        <f>SUM($B$64:C64)</f>
        <v>0</v>
      </c>
      <c r="BB64" s="7">
        <f>SUM($B$64:D64)</f>
        <v>0</v>
      </c>
      <c r="BC64" s="7">
        <f>SUM($B$64:E64)</f>
        <v>0</v>
      </c>
      <c r="BD64" s="7">
        <f>SUM($B$64:F64)</f>
        <v>0</v>
      </c>
      <c r="BE64" s="7">
        <f>SUM($B$64:G64)</f>
        <v>0</v>
      </c>
      <c r="BF64" s="7">
        <f>SUM($B$64:H64)</f>
        <v>0</v>
      </c>
      <c r="BG64" s="7">
        <f>SUM($B$64:I64)</f>
        <v>0</v>
      </c>
      <c r="BH64" s="7">
        <f>SUM($B$64:J64)</f>
        <v>0</v>
      </c>
      <c r="BI64" s="7">
        <f>SUM($B$64:K64)</f>
        <v>0</v>
      </c>
      <c r="BJ64" s="7">
        <f>SUM($B$64:L64)</f>
        <v>0</v>
      </c>
      <c r="BK64" s="7">
        <f>SUM($B$64:M64)</f>
        <v>0</v>
      </c>
      <c r="BL64" s="7">
        <f>SUM($B$64:Q64)</f>
        <v>0</v>
      </c>
      <c r="BM64" s="7">
        <f>SUM($B$64:N64)</f>
        <v>0</v>
      </c>
      <c r="BN64" s="7">
        <f>SUM($B$64:O64)</f>
        <v>0</v>
      </c>
      <c r="BO64" s="7">
        <f>SUM($B$64:P64)</f>
        <v>0</v>
      </c>
      <c r="BP64" s="7">
        <f>SUM($B$64:R64)</f>
        <v>0</v>
      </c>
      <c r="BQ64" s="7">
        <f>SUM($B$64:S64)</f>
        <v>0</v>
      </c>
      <c r="BR64" s="7">
        <f>SUM($B$64:T64)</f>
        <v>0</v>
      </c>
      <c r="BS64" s="7">
        <f>SUM($B$64:V64)</f>
        <v>0</v>
      </c>
      <c r="BT64" s="7"/>
      <c r="BU64" s="7">
        <f>SUM($BS$60:BS64)</f>
        <v>0</v>
      </c>
      <c r="BV64">
        <f t="shared" si="15"/>
        <v>0</v>
      </c>
      <c r="BW64">
        <f>SUM($BV$60:BV64)</f>
        <v>0</v>
      </c>
    </row>
    <row r="65" spans="1:75" x14ac:dyDescent="0.35">
      <c r="A65" s="145" t="s">
        <v>27</v>
      </c>
      <c r="B65" s="7"/>
      <c r="C65" s="7"/>
      <c r="D65" s="7"/>
      <c r="E65" s="7"/>
      <c r="F65" s="7"/>
      <c r="G65" s="7"/>
      <c r="H65" s="7"/>
      <c r="I65" s="7"/>
      <c r="J65" s="7"/>
      <c r="K65" s="7"/>
      <c r="L65" s="7"/>
      <c r="M65" s="7"/>
      <c r="N65" s="7"/>
      <c r="O65" s="7"/>
      <c r="P65" s="7"/>
      <c r="Q65" s="7"/>
      <c r="R65" s="7"/>
      <c r="S65" s="7"/>
      <c r="T65" s="7"/>
      <c r="U65" s="7"/>
      <c r="V65" s="7"/>
      <c r="W65" s="7">
        <f t="shared" si="66"/>
        <v>0</v>
      </c>
      <c r="X65" s="7">
        <f t="shared" si="67"/>
        <v>0</v>
      </c>
      <c r="Y65" s="7">
        <f t="shared" si="68"/>
        <v>0</v>
      </c>
      <c r="Z65" s="49"/>
      <c r="AA65" s="191"/>
      <c r="AB65" s="7">
        <f t="shared" si="69"/>
        <v>0</v>
      </c>
      <c r="AC65" s="7" t="s">
        <v>27</v>
      </c>
      <c r="AD65" s="7">
        <f t="shared" si="71"/>
        <v>0</v>
      </c>
      <c r="AE65" s="7">
        <f t="shared" si="71"/>
        <v>0</v>
      </c>
      <c r="AF65" s="7">
        <f t="shared" si="71"/>
        <v>0</v>
      </c>
      <c r="AG65" s="7">
        <f t="shared" si="71"/>
        <v>0</v>
      </c>
      <c r="AH65" s="7">
        <f t="shared" si="71"/>
        <v>0</v>
      </c>
      <c r="AI65" s="7">
        <f t="shared" si="71"/>
        <v>0</v>
      </c>
      <c r="AJ65" s="7">
        <f t="shared" si="71"/>
        <v>0</v>
      </c>
      <c r="AK65" s="7">
        <f t="shared" si="71"/>
        <v>0</v>
      </c>
      <c r="AL65" s="7">
        <f t="shared" si="71"/>
        <v>0</v>
      </c>
      <c r="AM65" s="7">
        <f t="shared" si="71"/>
        <v>0</v>
      </c>
      <c r="AN65" s="7">
        <f t="shared" si="72"/>
        <v>0</v>
      </c>
      <c r="AO65" s="7">
        <f t="shared" si="72"/>
        <v>0</v>
      </c>
      <c r="AP65" s="7">
        <f t="shared" si="72"/>
        <v>0</v>
      </c>
      <c r="AQ65" s="7">
        <f t="shared" si="72"/>
        <v>0</v>
      </c>
      <c r="AR65" s="7">
        <f t="shared" si="72"/>
        <v>0</v>
      </c>
      <c r="AS65" s="7">
        <f t="shared" si="72"/>
        <v>0</v>
      </c>
      <c r="AT65" s="7">
        <f t="shared" si="72"/>
        <v>0</v>
      </c>
      <c r="AU65" s="7">
        <f t="shared" si="73"/>
        <v>0</v>
      </c>
      <c r="AV65" s="7">
        <f t="shared" si="74"/>
        <v>0</v>
      </c>
      <c r="AW65" s="7">
        <f t="shared" si="74"/>
        <v>0</v>
      </c>
      <c r="AX65" s="7"/>
      <c r="AY65" s="7"/>
      <c r="AZ65" s="7">
        <f>SUM($B$65:B65)</f>
        <v>0</v>
      </c>
      <c r="BA65" s="7">
        <f>SUM($B$65:C65)</f>
        <v>0</v>
      </c>
      <c r="BB65" s="7">
        <f>SUM($B$65:D65)</f>
        <v>0</v>
      </c>
      <c r="BC65" s="7">
        <f>SUM($B$65:E65)</f>
        <v>0</v>
      </c>
      <c r="BD65" s="7">
        <f>SUM($B$65:F65)</f>
        <v>0</v>
      </c>
      <c r="BE65" s="7">
        <f>SUM($B$65:G65)</f>
        <v>0</v>
      </c>
      <c r="BF65" s="7">
        <f>SUM($B$65:H65)</f>
        <v>0</v>
      </c>
      <c r="BG65" s="7">
        <f>SUM($B$65:I65)</f>
        <v>0</v>
      </c>
      <c r="BH65" s="7">
        <f>SUM($B$65:J65)</f>
        <v>0</v>
      </c>
      <c r="BI65" s="7">
        <f>SUM($B$65:K65)</f>
        <v>0</v>
      </c>
      <c r="BJ65" s="7">
        <f>SUM($B$65:L65)</f>
        <v>0</v>
      </c>
      <c r="BK65" s="7">
        <f>SUM($B$65:M65)</f>
        <v>0</v>
      </c>
      <c r="BL65" s="7">
        <f>SUM($B$65:Q65)</f>
        <v>0</v>
      </c>
      <c r="BM65" s="7">
        <f>SUM($B$65:N65)</f>
        <v>0</v>
      </c>
      <c r="BN65" s="7">
        <f>SUM($B$65:O65)</f>
        <v>0</v>
      </c>
      <c r="BO65" s="7">
        <f>SUM($B$65:P65)</f>
        <v>0</v>
      </c>
      <c r="BP65" s="7">
        <f>SUM($B$65:R65)</f>
        <v>0</v>
      </c>
      <c r="BQ65" s="7">
        <f>SUM($B$65:S65)</f>
        <v>0</v>
      </c>
      <c r="BR65" s="7">
        <f>SUM($B$65:T65)</f>
        <v>0</v>
      </c>
      <c r="BS65" s="7">
        <f>SUM($B$65:V65)</f>
        <v>0</v>
      </c>
      <c r="BT65" s="7"/>
      <c r="BU65" s="7">
        <f>SUM($BS$60:BS65)</f>
        <v>0</v>
      </c>
      <c r="BV65">
        <f t="shared" si="15"/>
        <v>0</v>
      </c>
      <c r="BW65">
        <f>SUM($BV$60:BV65)</f>
        <v>0</v>
      </c>
    </row>
    <row r="66" spans="1:75" x14ac:dyDescent="0.35">
      <c r="A66" s="155" t="s">
        <v>28</v>
      </c>
      <c r="B66" s="7"/>
      <c r="C66" s="7"/>
      <c r="D66" s="7"/>
      <c r="E66" s="7"/>
      <c r="F66" s="7"/>
      <c r="G66" s="7"/>
      <c r="H66" s="7"/>
      <c r="I66" s="7"/>
      <c r="J66" s="7"/>
      <c r="K66" s="7"/>
      <c r="L66" s="7"/>
      <c r="M66" s="7"/>
      <c r="N66" s="7"/>
      <c r="O66" s="7"/>
      <c r="P66" s="7"/>
      <c r="Q66" s="7"/>
      <c r="R66" s="7"/>
      <c r="S66" s="7"/>
      <c r="T66" s="7"/>
      <c r="U66" s="7"/>
      <c r="V66" s="7"/>
      <c r="W66" s="7">
        <f t="shared" si="66"/>
        <v>0</v>
      </c>
      <c r="X66" s="7">
        <f t="shared" si="67"/>
        <v>0</v>
      </c>
      <c r="Y66" s="7">
        <f t="shared" si="68"/>
        <v>0</v>
      </c>
      <c r="Z66" s="49"/>
      <c r="AA66" s="191"/>
      <c r="AB66" s="7">
        <f t="shared" si="69"/>
        <v>0</v>
      </c>
      <c r="AC66" s="7" t="s">
        <v>28</v>
      </c>
      <c r="AD66" s="7">
        <f t="shared" si="71"/>
        <v>0</v>
      </c>
      <c r="AE66" s="7">
        <f t="shared" si="71"/>
        <v>0</v>
      </c>
      <c r="AF66" s="7">
        <f t="shared" si="71"/>
        <v>0</v>
      </c>
      <c r="AG66" s="7">
        <f t="shared" si="71"/>
        <v>0</v>
      </c>
      <c r="AH66" s="7">
        <f t="shared" si="71"/>
        <v>0</v>
      </c>
      <c r="AI66" s="7">
        <f t="shared" si="71"/>
        <v>0</v>
      </c>
      <c r="AJ66" s="7">
        <f t="shared" si="71"/>
        <v>0</v>
      </c>
      <c r="AK66" s="7">
        <f t="shared" si="71"/>
        <v>0</v>
      </c>
      <c r="AL66" s="7">
        <f t="shared" si="71"/>
        <v>0</v>
      </c>
      <c r="AM66" s="7">
        <f t="shared" si="71"/>
        <v>0</v>
      </c>
      <c r="AN66" s="7">
        <f t="shared" si="72"/>
        <v>0</v>
      </c>
      <c r="AO66" s="7">
        <f t="shared" si="72"/>
        <v>0</v>
      </c>
      <c r="AP66" s="7">
        <f t="shared" si="72"/>
        <v>0</v>
      </c>
      <c r="AQ66" s="7">
        <f t="shared" si="72"/>
        <v>0</v>
      </c>
      <c r="AR66" s="7">
        <f t="shared" si="72"/>
        <v>0</v>
      </c>
      <c r="AS66" s="7">
        <f t="shared" si="72"/>
        <v>0</v>
      </c>
      <c r="AT66" s="7">
        <f t="shared" si="72"/>
        <v>0</v>
      </c>
      <c r="AU66" s="7">
        <f t="shared" si="73"/>
        <v>0</v>
      </c>
      <c r="AV66" s="7">
        <f t="shared" si="74"/>
        <v>0</v>
      </c>
      <c r="AW66" s="7">
        <f t="shared" si="74"/>
        <v>0</v>
      </c>
      <c r="AX66" s="7"/>
      <c r="AY66" s="7"/>
      <c r="AZ66" s="7">
        <f>SUM($B$66:B66)</f>
        <v>0</v>
      </c>
      <c r="BA66" s="7">
        <f>SUM($B$66:C66)</f>
        <v>0</v>
      </c>
      <c r="BB66" s="7">
        <f>SUM($B$66:D66)</f>
        <v>0</v>
      </c>
      <c r="BC66" s="7">
        <f>SUM($B$66:E66)</f>
        <v>0</v>
      </c>
      <c r="BD66" s="7">
        <f>SUM($B$66:F66)</f>
        <v>0</v>
      </c>
      <c r="BE66" s="7">
        <f>SUM($B$66:G66)</f>
        <v>0</v>
      </c>
      <c r="BF66" s="7">
        <f>SUM($B$66:H66)</f>
        <v>0</v>
      </c>
      <c r="BG66" s="7">
        <f>SUM($B$66:I66)</f>
        <v>0</v>
      </c>
      <c r="BH66" s="7">
        <f>SUM($B$66:J66)</f>
        <v>0</v>
      </c>
      <c r="BI66" s="7">
        <f>SUM($B$66:K66)</f>
        <v>0</v>
      </c>
      <c r="BJ66" s="7">
        <f>SUM($B$66:L66)</f>
        <v>0</v>
      </c>
      <c r="BK66" s="7">
        <f>SUM($B$66:M66)</f>
        <v>0</v>
      </c>
      <c r="BL66" s="7">
        <f>SUM($B$66:Q66)</f>
        <v>0</v>
      </c>
      <c r="BM66" s="7">
        <f>SUM($B$66:N66)</f>
        <v>0</v>
      </c>
      <c r="BN66" s="7">
        <f>SUM($B$66:O66)</f>
        <v>0</v>
      </c>
      <c r="BO66" s="7">
        <f>SUM($B$66:P66)</f>
        <v>0</v>
      </c>
      <c r="BP66" s="7">
        <f>SUM($B$66:R66)</f>
        <v>0</v>
      </c>
      <c r="BQ66" s="7">
        <f>SUM($B$66:S66)</f>
        <v>0</v>
      </c>
      <c r="BR66" s="7">
        <f>SUM($B$66:T66)</f>
        <v>0</v>
      </c>
      <c r="BS66" s="7">
        <f>SUM($B$66:V66)</f>
        <v>0</v>
      </c>
      <c r="BT66" s="7"/>
      <c r="BU66" s="7">
        <f>SUM($BS$60:BS66)</f>
        <v>0</v>
      </c>
      <c r="BV66">
        <f t="shared" si="15"/>
        <v>0</v>
      </c>
      <c r="BW66">
        <f>SUM($BV$60:BV66)</f>
        <v>0</v>
      </c>
    </row>
    <row r="67" spans="1:75" x14ac:dyDescent="0.35">
      <c r="A67" s="41" t="s">
        <v>29</v>
      </c>
      <c r="B67" s="7">
        <f>SUM(B60:B66)</f>
        <v>0</v>
      </c>
      <c r="C67" s="7">
        <f t="shared" ref="C67:T67" si="75">SUM(C60:C66)</f>
        <v>0</v>
      </c>
      <c r="D67" s="7">
        <f t="shared" si="75"/>
        <v>0</v>
      </c>
      <c r="E67" s="7">
        <f t="shared" si="75"/>
        <v>0</v>
      </c>
      <c r="F67" s="7">
        <f t="shared" si="75"/>
        <v>0</v>
      </c>
      <c r="G67" s="7">
        <f t="shared" si="75"/>
        <v>0</v>
      </c>
      <c r="H67" s="7">
        <f t="shared" si="75"/>
        <v>0</v>
      </c>
      <c r="I67" s="7">
        <f t="shared" si="75"/>
        <v>0</v>
      </c>
      <c r="J67" s="7">
        <f t="shared" si="75"/>
        <v>0</v>
      </c>
      <c r="K67" s="7">
        <f>SUM(K60:K66)</f>
        <v>0</v>
      </c>
      <c r="L67" s="7">
        <f t="shared" si="75"/>
        <v>0</v>
      </c>
      <c r="M67" s="7">
        <f t="shared" si="75"/>
        <v>0</v>
      </c>
      <c r="N67" s="7">
        <f t="shared" si="75"/>
        <v>0</v>
      </c>
      <c r="O67" s="7">
        <f t="shared" si="75"/>
        <v>0</v>
      </c>
      <c r="P67" s="7">
        <f t="shared" si="75"/>
        <v>0</v>
      </c>
      <c r="Q67" s="7">
        <f>SUM(Q60:Q66)</f>
        <v>0</v>
      </c>
      <c r="R67" s="7">
        <f t="shared" si="75"/>
        <v>0</v>
      </c>
      <c r="S67" s="7">
        <f t="shared" si="75"/>
        <v>0</v>
      </c>
      <c r="T67" s="7">
        <f t="shared" si="75"/>
        <v>0</v>
      </c>
      <c r="U67" s="7">
        <f t="shared" ref="U67" si="76">SUM(U60:U66)</f>
        <v>0</v>
      </c>
      <c r="V67" s="7">
        <f>SUM(V60:V66)</f>
        <v>0</v>
      </c>
      <c r="W67" s="31">
        <f>SUM(W60:W66)</f>
        <v>0</v>
      </c>
      <c r="X67" s="7"/>
      <c r="Y67" s="7"/>
      <c r="Z67" s="49" t="s">
        <v>173</v>
      </c>
      <c r="AA67" s="19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row>
    <row r="68" spans="1:75" x14ac:dyDescent="0.35">
      <c r="A68" s="41" t="s">
        <v>33</v>
      </c>
      <c r="B68" s="7">
        <f t="shared" ref="B68:U68" si="77">B67-B53</f>
        <v>0</v>
      </c>
      <c r="C68" s="7">
        <f t="shared" si="77"/>
        <v>0</v>
      </c>
      <c r="D68" s="7">
        <f t="shared" si="77"/>
        <v>0</v>
      </c>
      <c r="E68" s="7">
        <f t="shared" si="77"/>
        <v>0</v>
      </c>
      <c r="F68" s="7">
        <f t="shared" si="77"/>
        <v>0</v>
      </c>
      <c r="G68" s="7">
        <f t="shared" si="77"/>
        <v>0</v>
      </c>
      <c r="H68" s="7">
        <f t="shared" si="77"/>
        <v>0</v>
      </c>
      <c r="I68" s="7">
        <f t="shared" si="77"/>
        <v>0</v>
      </c>
      <c r="J68" s="7">
        <f t="shared" si="77"/>
        <v>0</v>
      </c>
      <c r="K68" s="7">
        <f t="shared" si="77"/>
        <v>0</v>
      </c>
      <c r="L68" s="7">
        <f t="shared" si="77"/>
        <v>0</v>
      </c>
      <c r="M68" s="7">
        <f t="shared" si="77"/>
        <v>0</v>
      </c>
      <c r="N68" s="7">
        <f t="shared" si="77"/>
        <v>0</v>
      </c>
      <c r="O68" s="7">
        <f t="shared" si="77"/>
        <v>0</v>
      </c>
      <c r="P68" s="7">
        <f t="shared" si="77"/>
        <v>0</v>
      </c>
      <c r="Q68" s="7">
        <f t="shared" si="77"/>
        <v>0</v>
      </c>
      <c r="R68" s="7">
        <f t="shared" si="77"/>
        <v>0</v>
      </c>
      <c r="S68" s="7">
        <f t="shared" si="77"/>
        <v>0</v>
      </c>
      <c r="T68" s="7">
        <f t="shared" si="77"/>
        <v>0</v>
      </c>
      <c r="U68" s="7">
        <f t="shared" si="77"/>
        <v>0</v>
      </c>
      <c r="V68" s="7">
        <f>V67-V53</f>
        <v>0</v>
      </c>
      <c r="W68" s="7">
        <f>SUM(B68:V68)</f>
        <v>0</v>
      </c>
      <c r="X68" s="7"/>
      <c r="Y68" s="7"/>
      <c r="Z68" s="49"/>
      <c r="AA68" s="19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row>
    <row r="69" spans="1:75" x14ac:dyDescent="0.35">
      <c r="A69" s="41" t="s">
        <v>110</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cm="1">
        <f t="array" ref="S69">IF(COUNTIF(AU59:AU65,0)=0,
    LOOKUP(2,1/(AU59:AU65&lt;&gt;""),AU59:AU65),
    MATCH(0,INDEX(AU59:AU65,MAX(ROW(AU59:AU65))-ROW(AU59:AU65)+1),0)-1
)</f>
        <v>0</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19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row>
    <row r="70" spans="1:75" x14ac:dyDescent="0.35">
      <c r="A70" s="41" t="s">
        <v>99</v>
      </c>
      <c r="B70" s="7">
        <f t="shared" ref="B70:U70" si="78">B67+B56</f>
        <v>2</v>
      </c>
      <c r="C70" s="7">
        <f t="shared" si="78"/>
        <v>0</v>
      </c>
      <c r="D70" s="7">
        <f t="shared" si="78"/>
        <v>5</v>
      </c>
      <c r="E70" s="7">
        <f t="shared" si="78"/>
        <v>9</v>
      </c>
      <c r="F70" s="7">
        <f t="shared" si="78"/>
        <v>4</v>
      </c>
      <c r="G70" s="7">
        <f t="shared" si="78"/>
        <v>0</v>
      </c>
      <c r="H70" s="7">
        <f t="shared" si="78"/>
        <v>0</v>
      </c>
      <c r="I70" s="7">
        <f t="shared" si="78"/>
        <v>3</v>
      </c>
      <c r="J70" s="7">
        <f t="shared" si="78"/>
        <v>0</v>
      </c>
      <c r="K70" s="7">
        <f t="shared" si="78"/>
        <v>0.75</v>
      </c>
      <c r="L70" s="7">
        <f t="shared" si="78"/>
        <v>2</v>
      </c>
      <c r="M70" s="7">
        <f t="shared" si="78"/>
        <v>1</v>
      </c>
      <c r="N70" s="7">
        <f t="shared" si="78"/>
        <v>2.5</v>
      </c>
      <c r="O70" s="7">
        <f t="shared" si="78"/>
        <v>2</v>
      </c>
      <c r="P70" s="7">
        <f t="shared" si="78"/>
        <v>0</v>
      </c>
      <c r="Q70" s="7">
        <f t="shared" si="78"/>
        <v>0</v>
      </c>
      <c r="R70" s="7">
        <f t="shared" si="78"/>
        <v>1</v>
      </c>
      <c r="S70" s="7">
        <f t="shared" si="78"/>
        <v>3</v>
      </c>
      <c r="T70" s="7">
        <f t="shared" si="78"/>
        <v>0</v>
      </c>
      <c r="U70" s="7">
        <f t="shared" si="78"/>
        <v>-1</v>
      </c>
      <c r="V70" s="7">
        <f>V67+V56</f>
        <v>2</v>
      </c>
      <c r="W70" s="7">
        <f>SUM(W56,W67)</f>
        <v>36.25</v>
      </c>
      <c r="X70" s="7"/>
      <c r="Y70" s="7">
        <f>SUM(Y60:Y66)</f>
        <v>0</v>
      </c>
      <c r="Z70" s="49"/>
      <c r="AA70" s="19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row>
    <row r="71" spans="1:75" x14ac:dyDescent="0.35">
      <c r="A71" s="41" t="s">
        <v>112</v>
      </c>
      <c r="B71" s="174">
        <f>(COUNTIF(B4:B10, "&gt;0")+COUNTIF(B18:B24, "&gt;0")+COUNTIF(B32:B38, "&gt;0")+COUNTIF(B46:B52, "&gt;0") + COUNTIF(B60:B66, "&gt;0")) / 35</f>
        <v>2.8571428571428571E-2</v>
      </c>
      <c r="C71" s="174">
        <f t="shared" ref="C71:O71" si="79">(COUNTIF(C4:C10, "&gt;0")+COUNTIF(C18:C24, "&gt;0")+COUNTIF(C32:C38, "&gt;0")+COUNTIF(C46:C52, "&gt;0") + COUNTIF(C60:C66, "&gt;0")) / 35</f>
        <v>0</v>
      </c>
      <c r="D71" s="174">
        <f t="shared" si="79"/>
        <v>2.8571428571428571E-2</v>
      </c>
      <c r="E71" s="174">
        <f t="shared" si="79"/>
        <v>2.8571428571428571E-2</v>
      </c>
      <c r="F71" s="174">
        <f t="shared" si="79"/>
        <v>2.8571428571428571E-2</v>
      </c>
      <c r="G71" s="174">
        <f t="shared" si="79"/>
        <v>0</v>
      </c>
      <c r="H71" s="174">
        <f t="shared" si="79"/>
        <v>0</v>
      </c>
      <c r="I71" s="174">
        <f t="shared" si="79"/>
        <v>2.8571428571428571E-2</v>
      </c>
      <c r="J71" s="174">
        <f t="shared" si="79"/>
        <v>0</v>
      </c>
      <c r="K71" s="174">
        <f t="shared" si="79"/>
        <v>2.8571428571428571E-2</v>
      </c>
      <c r="L71" s="174">
        <f t="shared" si="79"/>
        <v>2.8571428571428571E-2</v>
      </c>
      <c r="M71" s="174">
        <f t="shared" si="79"/>
        <v>2.8571428571428571E-2</v>
      </c>
      <c r="N71" s="174">
        <f t="shared" si="79"/>
        <v>2.8571428571428571E-2</v>
      </c>
      <c r="O71" s="174">
        <f t="shared" si="79"/>
        <v>2.8571428571428571E-2</v>
      </c>
      <c r="P71" s="7"/>
      <c r="Q71" s="7"/>
      <c r="R71" s="7"/>
      <c r="S71" s="7"/>
      <c r="T71" s="7"/>
      <c r="U71" s="41" t="s">
        <v>31</v>
      </c>
      <c r="V71" s="7">
        <f>SUMIF(B67:V67,"&lt;0",B67:V67)</f>
        <v>0</v>
      </c>
      <c r="W71" s="7">
        <f>SUMIF(B67:V67,"&gt;0",B67:V67)</f>
        <v>0</v>
      </c>
      <c r="Y71" s="7"/>
      <c r="Z71" s="49"/>
      <c r="AA71" s="19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row>
    <row r="72" spans="1:75"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c r="AZ72" s="7" t="s">
        <v>125</v>
      </c>
      <c r="BA72" s="7"/>
      <c r="BB72" s="7"/>
      <c r="BC72" s="7"/>
      <c r="BD72" s="7"/>
      <c r="BE72" s="7"/>
      <c r="BF72" s="7"/>
      <c r="BG72" s="7"/>
      <c r="BH72" s="7"/>
      <c r="BI72" s="7"/>
      <c r="BJ72" s="7"/>
      <c r="BK72" s="7"/>
      <c r="BL72" s="7"/>
      <c r="BM72" s="7"/>
      <c r="BN72" s="7"/>
      <c r="BO72" s="7"/>
      <c r="BP72" s="7"/>
      <c r="BQ72" s="7"/>
      <c r="BR72" s="7"/>
      <c r="BS72" s="7"/>
      <c r="BT72" s="7"/>
      <c r="BU72" s="7"/>
    </row>
    <row r="73" spans="1:75" x14ac:dyDescent="0.35">
      <c r="A73" s="101" t="s">
        <v>38</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67</v>
      </c>
      <c r="AD73" s="7"/>
      <c r="AE73" s="7"/>
      <c r="AF73" s="7"/>
      <c r="AG73" s="7"/>
      <c r="AH73" s="7"/>
      <c r="AI73" s="7"/>
      <c r="AJ73" s="7"/>
      <c r="AK73" s="7"/>
      <c r="AL73" s="7"/>
      <c r="AM73" s="7"/>
      <c r="AN73" s="7"/>
      <c r="AO73" s="7"/>
      <c r="AP73" s="7"/>
      <c r="AQ73" s="7"/>
      <c r="AR73" s="7"/>
      <c r="AS73" s="7"/>
      <c r="AT73" s="7"/>
      <c r="AU73" s="7"/>
      <c r="AV73" s="7"/>
      <c r="AW73" s="7"/>
      <c r="AX73" s="7"/>
      <c r="AY73" s="7"/>
      <c r="AZ73" s="12"/>
      <c r="BA73" s="12"/>
      <c r="BB73" s="12"/>
      <c r="BC73" s="12"/>
      <c r="BD73" s="12"/>
      <c r="BE73" s="12"/>
      <c r="BF73" s="12"/>
      <c r="BG73" s="12"/>
      <c r="BH73" s="12"/>
      <c r="BI73" s="12"/>
      <c r="BJ73" s="12"/>
      <c r="BK73" s="12"/>
      <c r="BL73" s="12"/>
      <c r="BM73" s="12"/>
      <c r="BN73" s="12"/>
      <c r="BO73" s="12"/>
      <c r="BP73" s="12"/>
      <c r="BQ73" s="12"/>
      <c r="BR73" s="12"/>
      <c r="BS73" s="12"/>
      <c r="BT73" s="203"/>
      <c r="BU73" s="12">
        <v>0</v>
      </c>
      <c r="BW73">
        <v>0</v>
      </c>
    </row>
    <row r="74" spans="1:75" x14ac:dyDescent="0.35">
      <c r="A74" s="79" t="s">
        <v>22</v>
      </c>
      <c r="B74" s="8"/>
      <c r="C74" s="8"/>
      <c r="D74" s="8"/>
      <c r="E74" s="8"/>
      <c r="F74" s="8"/>
      <c r="G74" s="8"/>
      <c r="H74" s="8"/>
      <c r="I74" s="8"/>
      <c r="J74" s="8"/>
      <c r="K74" s="8"/>
      <c r="L74" s="8"/>
      <c r="M74" s="8"/>
      <c r="N74" s="8"/>
      <c r="O74" s="8"/>
      <c r="P74" s="8"/>
      <c r="Q74" s="8"/>
      <c r="R74" s="8"/>
      <c r="S74" s="8"/>
      <c r="T74" s="8"/>
      <c r="U74" s="8"/>
      <c r="V74" s="8"/>
      <c r="W74" s="7">
        <f t="shared" ref="W74:W80" si="80">SUM(B74:V74)</f>
        <v>0</v>
      </c>
      <c r="X74" s="8">
        <f t="shared" ref="X74:X80" si="81">SUM(AD74:AW74)*0.1</f>
        <v>0</v>
      </c>
      <c r="Y74" s="7">
        <f t="shared" ref="Y74:Y80" si="82">W74+X74</f>
        <v>0</v>
      </c>
      <c r="Z74" s="50"/>
      <c r="AA74" s="43"/>
      <c r="AB74" s="44">
        <f t="shared" ref="AB74:AB80" si="83">AB60+W74</f>
        <v>36.25</v>
      </c>
      <c r="AC74" s="7" t="s">
        <v>22</v>
      </c>
      <c r="AD74" s="7">
        <f t="shared" ref="AD74:AW74" si="84">IF(B74 &gt; 0, IF(AD66&gt; 0, AD66+ 1, 0.1), 0)</f>
        <v>0</v>
      </c>
      <c r="AE74" s="7">
        <f t="shared" si="84"/>
        <v>0</v>
      </c>
      <c r="AF74" s="7">
        <f t="shared" si="84"/>
        <v>0</v>
      </c>
      <c r="AG74" s="7">
        <f t="shared" si="84"/>
        <v>0</v>
      </c>
      <c r="AH74" s="7">
        <f t="shared" si="84"/>
        <v>0</v>
      </c>
      <c r="AI74" s="7">
        <f t="shared" si="84"/>
        <v>0</v>
      </c>
      <c r="AJ74" s="7">
        <f t="shared" si="84"/>
        <v>0</v>
      </c>
      <c r="AK74" s="7">
        <f t="shared" si="84"/>
        <v>0</v>
      </c>
      <c r="AL74" s="7">
        <f t="shared" si="84"/>
        <v>0</v>
      </c>
      <c r="AM74" s="7">
        <f t="shared" si="84"/>
        <v>0</v>
      </c>
      <c r="AN74" s="7">
        <f t="shared" si="84"/>
        <v>0</v>
      </c>
      <c r="AO74" s="7">
        <f t="shared" si="84"/>
        <v>0</v>
      </c>
      <c r="AP74" s="7">
        <f t="shared" si="84"/>
        <v>0</v>
      </c>
      <c r="AQ74" s="7">
        <f t="shared" si="84"/>
        <v>0</v>
      </c>
      <c r="AR74" s="7">
        <f t="shared" si="84"/>
        <v>0</v>
      </c>
      <c r="AS74" s="7">
        <f t="shared" si="84"/>
        <v>0</v>
      </c>
      <c r="AT74" s="7">
        <f t="shared" si="84"/>
        <v>0</v>
      </c>
      <c r="AU74" s="7">
        <f t="shared" si="84"/>
        <v>0</v>
      </c>
      <c r="AV74" s="7">
        <f t="shared" si="84"/>
        <v>0</v>
      </c>
      <c r="AW74" s="7">
        <f t="shared" si="84"/>
        <v>0</v>
      </c>
      <c r="AX74" s="7"/>
      <c r="AY74" s="7"/>
      <c r="AZ74" s="7">
        <f>SUM($B$74:B74)</f>
        <v>0</v>
      </c>
      <c r="BA74" s="7">
        <f>SUM($B$74:C74)</f>
        <v>0</v>
      </c>
      <c r="BB74" s="7">
        <f>SUM($B$74:D74)</f>
        <v>0</v>
      </c>
      <c r="BC74" s="7">
        <f>SUM($B$74:E74)</f>
        <v>0</v>
      </c>
      <c r="BD74" s="7">
        <f>SUM($B$74:F74)</f>
        <v>0</v>
      </c>
      <c r="BE74" s="7">
        <f>SUM($B$74:G74)</f>
        <v>0</v>
      </c>
      <c r="BF74" s="7">
        <f>SUM($B$74:H74)</f>
        <v>0</v>
      </c>
      <c r="BG74" s="7">
        <f>SUM($B$74:I74)</f>
        <v>0</v>
      </c>
      <c r="BH74" s="7">
        <f>SUM($B$74:J74)</f>
        <v>0</v>
      </c>
      <c r="BI74" s="7">
        <f>SUM($B$74:K74)</f>
        <v>0</v>
      </c>
      <c r="BJ74" s="7">
        <f>SUM($B$74:L74)</f>
        <v>0</v>
      </c>
      <c r="BK74" s="7">
        <f>SUM($B$74:M74)</f>
        <v>0</v>
      </c>
      <c r="BL74" s="7">
        <f>SUM($B$74:Q74)</f>
        <v>0</v>
      </c>
      <c r="BM74" s="7">
        <f>SUM($B$74:N74)</f>
        <v>0</v>
      </c>
      <c r="BN74" s="7">
        <f>SUM($B$74:O74)</f>
        <v>0</v>
      </c>
      <c r="BO74" s="7">
        <f>SUM($B$74:P74)</f>
        <v>0</v>
      </c>
      <c r="BP74" s="7">
        <f>SUM($B$74:R74)</f>
        <v>0</v>
      </c>
      <c r="BQ74" s="7">
        <f>SUM($B$74:S74)</f>
        <v>0</v>
      </c>
      <c r="BR74" s="7">
        <f>SUM($B$74:T74)</f>
        <v>0</v>
      </c>
      <c r="BS74" s="7">
        <f>SUM($B$74:V74)</f>
        <v>0</v>
      </c>
      <c r="BT74" s="7"/>
      <c r="BU74" s="7">
        <f>SUM($BS$74:BS74)</f>
        <v>0</v>
      </c>
      <c r="BV74">
        <f t="shared" ref="BV74:BV132" si="85">BS74+X74</f>
        <v>0</v>
      </c>
      <c r="BW74">
        <f>SUM($BV$74:BV74)</f>
        <v>0</v>
      </c>
    </row>
    <row r="75" spans="1:75" x14ac:dyDescent="0.35">
      <c r="A75" s="90" t="s">
        <v>23</v>
      </c>
      <c r="B75" s="8"/>
      <c r="C75" s="8"/>
      <c r="D75" s="8"/>
      <c r="E75" s="8"/>
      <c r="F75" s="8"/>
      <c r="G75" s="8"/>
      <c r="H75" s="8"/>
      <c r="I75" s="8"/>
      <c r="J75" s="8"/>
      <c r="K75" s="8"/>
      <c r="L75" s="8"/>
      <c r="M75" s="8"/>
      <c r="N75" s="8"/>
      <c r="O75" s="8"/>
      <c r="P75" s="8"/>
      <c r="Q75" s="8"/>
      <c r="R75" s="8"/>
      <c r="S75" s="8"/>
      <c r="T75" s="8"/>
      <c r="U75" s="8"/>
      <c r="V75" s="8"/>
      <c r="W75" s="7">
        <f t="shared" si="80"/>
        <v>0</v>
      </c>
      <c r="X75" s="8">
        <f t="shared" si="81"/>
        <v>0</v>
      </c>
      <c r="Y75" s="7">
        <f t="shared" si="82"/>
        <v>0</v>
      </c>
      <c r="Z75" s="50"/>
      <c r="AA75" s="43"/>
      <c r="AB75" s="44">
        <f t="shared" si="83"/>
        <v>0</v>
      </c>
      <c r="AC75" s="7" t="s">
        <v>23</v>
      </c>
      <c r="AD75" s="7">
        <f t="shared" ref="AD75:AM80" si="86">IF(B75 &gt; 0, IF(AD74 &gt; 0, AD74 + 1, 0.1), 0)</f>
        <v>0</v>
      </c>
      <c r="AE75" s="7">
        <f t="shared" si="86"/>
        <v>0</v>
      </c>
      <c r="AF75" s="7">
        <f t="shared" si="86"/>
        <v>0</v>
      </c>
      <c r="AG75" s="7">
        <f t="shared" si="86"/>
        <v>0</v>
      </c>
      <c r="AH75" s="7">
        <f t="shared" si="86"/>
        <v>0</v>
      </c>
      <c r="AI75" s="7">
        <f t="shared" si="86"/>
        <v>0</v>
      </c>
      <c r="AJ75" s="7">
        <f t="shared" si="86"/>
        <v>0</v>
      </c>
      <c r="AK75" s="7">
        <f t="shared" si="86"/>
        <v>0</v>
      </c>
      <c r="AL75" s="7">
        <f t="shared" si="86"/>
        <v>0</v>
      </c>
      <c r="AM75" s="7">
        <f t="shared" si="86"/>
        <v>0</v>
      </c>
      <c r="AN75" s="7">
        <f t="shared" ref="AN75:AT80" si="87">IF(L75 &gt; 0, IF(AN74 &gt; 0, AN74 + 1, 0.1), 0)</f>
        <v>0</v>
      </c>
      <c r="AO75" s="7">
        <f t="shared" si="87"/>
        <v>0</v>
      </c>
      <c r="AP75" s="7">
        <f t="shared" si="87"/>
        <v>0</v>
      </c>
      <c r="AQ75" s="7">
        <f t="shared" si="87"/>
        <v>0</v>
      </c>
      <c r="AR75" s="7">
        <f t="shared" si="87"/>
        <v>0</v>
      </c>
      <c r="AS75" s="7">
        <f t="shared" si="87"/>
        <v>0</v>
      </c>
      <c r="AT75" s="7">
        <f t="shared" si="87"/>
        <v>0</v>
      </c>
      <c r="AU75" s="7">
        <f t="shared" ref="AU75:AU80" si="88">IF(S75 &gt; 0, IF(AU67&gt; 0, AU67+ 1, 0.1), 0)</f>
        <v>0</v>
      </c>
      <c r="AV75" s="7">
        <f t="shared" ref="AV75:AW80" si="89">IF(T75 &gt; 0, IF(AV74 &gt; 0, AV74 + 1, 0.1), 0)</f>
        <v>0</v>
      </c>
      <c r="AW75" s="7">
        <f t="shared" si="89"/>
        <v>0</v>
      </c>
      <c r="AX75" s="7"/>
      <c r="AY75" s="7"/>
      <c r="AZ75" s="7">
        <f>SUM($B$75:B75)</f>
        <v>0</v>
      </c>
      <c r="BA75" s="7">
        <f>SUM($B$75:C75)</f>
        <v>0</v>
      </c>
      <c r="BB75" s="7">
        <f>SUM($B$75:D75)</f>
        <v>0</v>
      </c>
      <c r="BC75" s="7">
        <f>SUM($B$75:E75)</f>
        <v>0</v>
      </c>
      <c r="BD75" s="7">
        <f>SUM($B$75:F75)</f>
        <v>0</v>
      </c>
      <c r="BE75" s="7">
        <f>SUM($B$75:G75)</f>
        <v>0</v>
      </c>
      <c r="BF75" s="7">
        <f>SUM($B$75:H75)</f>
        <v>0</v>
      </c>
      <c r="BG75" s="7">
        <f>SUM($B$75:I75)</f>
        <v>0</v>
      </c>
      <c r="BH75" s="7">
        <f>SUM($B$75:J75)</f>
        <v>0</v>
      </c>
      <c r="BI75" s="7">
        <f>SUM($B$75:K75)</f>
        <v>0</v>
      </c>
      <c r="BJ75" s="7">
        <f>SUM($B$75:L75)</f>
        <v>0</v>
      </c>
      <c r="BK75" s="7">
        <f>SUM($B$75:M75)</f>
        <v>0</v>
      </c>
      <c r="BL75" s="7">
        <f>SUM($B$75:Q75)</f>
        <v>0</v>
      </c>
      <c r="BM75" s="7">
        <f>SUM($B$75:N75)</f>
        <v>0</v>
      </c>
      <c r="BN75" s="7">
        <f>SUM($B$75:O75)</f>
        <v>0</v>
      </c>
      <c r="BO75" s="7">
        <f>SUM($B$75:P75)</f>
        <v>0</v>
      </c>
      <c r="BP75" s="7">
        <f>SUM($B$75:R75)</f>
        <v>0</v>
      </c>
      <c r="BQ75" s="7">
        <f>SUM($B$75:S75)</f>
        <v>0</v>
      </c>
      <c r="BR75" s="7">
        <f>SUM($B$75:T75)</f>
        <v>0</v>
      </c>
      <c r="BS75" s="7">
        <f>SUM($B$75:V75)</f>
        <v>0</v>
      </c>
      <c r="BT75" s="7"/>
      <c r="BU75" s="7">
        <f>SUM($BS$74:BS75)</f>
        <v>0</v>
      </c>
      <c r="BV75">
        <f t="shared" si="85"/>
        <v>0</v>
      </c>
      <c r="BW75">
        <f>SUM($BV$74:BV75)</f>
        <v>0</v>
      </c>
    </row>
    <row r="76" spans="1:75" x14ac:dyDescent="0.35">
      <c r="A76" s="113" t="s">
        <v>24</v>
      </c>
      <c r="B76" s="8"/>
      <c r="C76" s="8"/>
      <c r="D76" s="8"/>
      <c r="E76" s="8"/>
      <c r="F76" s="8"/>
      <c r="G76" s="8"/>
      <c r="H76" s="8"/>
      <c r="I76" s="8"/>
      <c r="J76" s="8"/>
      <c r="K76" s="8"/>
      <c r="L76" s="8"/>
      <c r="M76" s="8"/>
      <c r="N76" s="8"/>
      <c r="O76" s="8"/>
      <c r="P76" s="8"/>
      <c r="Q76" s="8"/>
      <c r="R76" s="8"/>
      <c r="S76" s="8"/>
      <c r="T76" s="8"/>
      <c r="U76" s="8"/>
      <c r="V76" s="8"/>
      <c r="W76" s="7">
        <f t="shared" si="80"/>
        <v>0</v>
      </c>
      <c r="X76" s="8">
        <f t="shared" si="81"/>
        <v>0</v>
      </c>
      <c r="Y76" s="7">
        <f t="shared" si="82"/>
        <v>0</v>
      </c>
      <c r="Z76" s="50"/>
      <c r="AA76" s="43"/>
      <c r="AB76" s="44">
        <f t="shared" si="83"/>
        <v>0</v>
      </c>
      <c r="AC76" s="7" t="s">
        <v>24</v>
      </c>
      <c r="AD76" s="7">
        <f t="shared" si="86"/>
        <v>0</v>
      </c>
      <c r="AE76" s="7">
        <f t="shared" si="86"/>
        <v>0</v>
      </c>
      <c r="AF76" s="7">
        <f t="shared" si="86"/>
        <v>0</v>
      </c>
      <c r="AG76" s="7">
        <f t="shared" si="86"/>
        <v>0</v>
      </c>
      <c r="AH76" s="7">
        <f t="shared" si="86"/>
        <v>0</v>
      </c>
      <c r="AI76" s="7">
        <f t="shared" si="86"/>
        <v>0</v>
      </c>
      <c r="AJ76" s="7">
        <f t="shared" si="86"/>
        <v>0</v>
      </c>
      <c r="AK76" s="7">
        <f t="shared" si="86"/>
        <v>0</v>
      </c>
      <c r="AL76" s="7">
        <f t="shared" si="86"/>
        <v>0</v>
      </c>
      <c r="AM76" s="7">
        <f t="shared" si="86"/>
        <v>0</v>
      </c>
      <c r="AN76" s="7">
        <f t="shared" si="87"/>
        <v>0</v>
      </c>
      <c r="AO76" s="7">
        <f t="shared" si="87"/>
        <v>0</v>
      </c>
      <c r="AP76" s="7">
        <f t="shared" si="87"/>
        <v>0</v>
      </c>
      <c r="AQ76" s="7">
        <f t="shared" si="87"/>
        <v>0</v>
      </c>
      <c r="AR76" s="7">
        <f t="shared" si="87"/>
        <v>0</v>
      </c>
      <c r="AS76" s="7">
        <f t="shared" si="87"/>
        <v>0</v>
      </c>
      <c r="AT76" s="7">
        <f t="shared" si="87"/>
        <v>0</v>
      </c>
      <c r="AU76" s="7">
        <f t="shared" si="88"/>
        <v>0</v>
      </c>
      <c r="AV76" s="7">
        <f t="shared" si="89"/>
        <v>0</v>
      </c>
      <c r="AW76" s="7">
        <f t="shared" si="89"/>
        <v>0</v>
      </c>
      <c r="AX76" s="7"/>
      <c r="AY76" s="7"/>
      <c r="AZ76" s="7">
        <f>SUM($B$76:B76)</f>
        <v>0</v>
      </c>
      <c r="BA76" s="7">
        <f>SUM($B$76:C76)</f>
        <v>0</v>
      </c>
      <c r="BB76" s="7">
        <f>SUM($B$76:D76)</f>
        <v>0</v>
      </c>
      <c r="BC76" s="7">
        <f>SUM($B$76:E76)</f>
        <v>0</v>
      </c>
      <c r="BD76" s="7">
        <f>SUM($B$76:F76)</f>
        <v>0</v>
      </c>
      <c r="BE76" s="7">
        <f>SUM($B$76:G76)</f>
        <v>0</v>
      </c>
      <c r="BF76" s="7">
        <f>SUM($B$76:H76)</f>
        <v>0</v>
      </c>
      <c r="BG76" s="7">
        <f>SUM($B$76:I76)</f>
        <v>0</v>
      </c>
      <c r="BH76" s="7">
        <f>SUM($B$76:J76)</f>
        <v>0</v>
      </c>
      <c r="BI76" s="7">
        <f>SUM($B$76:K76)</f>
        <v>0</v>
      </c>
      <c r="BJ76" s="7">
        <f>SUM($B$76:L76)</f>
        <v>0</v>
      </c>
      <c r="BK76" s="7">
        <f>SUM($B$76:M76)</f>
        <v>0</v>
      </c>
      <c r="BL76" s="7">
        <f>SUM($B$76:Q76)</f>
        <v>0</v>
      </c>
      <c r="BM76" s="7">
        <f>SUM($B$76:N76)</f>
        <v>0</v>
      </c>
      <c r="BN76" s="7">
        <f>SUM($B$76:O76)</f>
        <v>0</v>
      </c>
      <c r="BO76" s="7">
        <f>SUM($B$76:P76)</f>
        <v>0</v>
      </c>
      <c r="BP76" s="7">
        <f>SUM($B$76:R76)</f>
        <v>0</v>
      </c>
      <c r="BQ76" s="7">
        <f>SUM($B$76:S76)</f>
        <v>0</v>
      </c>
      <c r="BR76" s="7">
        <f>SUM($B$76:T76)</f>
        <v>0</v>
      </c>
      <c r="BS76" s="7">
        <f>SUM($B$76:V76)</f>
        <v>0</v>
      </c>
      <c r="BT76" s="7"/>
      <c r="BU76" s="7">
        <f>SUM($BS$74:BS76)</f>
        <v>0</v>
      </c>
      <c r="BV76">
        <f t="shared" si="85"/>
        <v>0</v>
      </c>
      <c r="BW76">
        <f>SUM($BV$74:BV76)</f>
        <v>0</v>
      </c>
    </row>
    <row r="77" spans="1:75" x14ac:dyDescent="0.35">
      <c r="A77" s="124" t="s">
        <v>25</v>
      </c>
      <c r="B77" s="8"/>
      <c r="C77" s="8"/>
      <c r="D77" s="8"/>
      <c r="E77" s="8"/>
      <c r="F77" s="8"/>
      <c r="G77" s="8"/>
      <c r="H77" s="8"/>
      <c r="I77" s="8"/>
      <c r="J77" s="8"/>
      <c r="K77" s="8"/>
      <c r="L77" s="8"/>
      <c r="M77" s="8"/>
      <c r="N77" s="8"/>
      <c r="O77" s="8"/>
      <c r="P77" s="8"/>
      <c r="Q77" s="8"/>
      <c r="R77" s="8"/>
      <c r="S77" s="8"/>
      <c r="T77" s="8"/>
      <c r="U77" s="8"/>
      <c r="V77" s="8"/>
      <c r="W77" s="7">
        <f t="shared" si="80"/>
        <v>0</v>
      </c>
      <c r="X77" s="8">
        <f t="shared" si="81"/>
        <v>0</v>
      </c>
      <c r="Y77" s="7">
        <f t="shared" si="82"/>
        <v>0</v>
      </c>
      <c r="Z77" s="50"/>
      <c r="AA77" s="43"/>
      <c r="AB77" s="44">
        <f t="shared" si="83"/>
        <v>0</v>
      </c>
      <c r="AC77" s="7" t="s">
        <v>25</v>
      </c>
      <c r="AD77" s="7">
        <f t="shared" si="86"/>
        <v>0</v>
      </c>
      <c r="AE77" s="7">
        <f t="shared" si="86"/>
        <v>0</v>
      </c>
      <c r="AF77" s="7">
        <f t="shared" si="86"/>
        <v>0</v>
      </c>
      <c r="AG77" s="7">
        <f t="shared" si="86"/>
        <v>0</v>
      </c>
      <c r="AH77" s="7">
        <f t="shared" si="86"/>
        <v>0</v>
      </c>
      <c r="AI77" s="7">
        <f t="shared" si="86"/>
        <v>0</v>
      </c>
      <c r="AJ77" s="7">
        <f t="shared" si="86"/>
        <v>0</v>
      </c>
      <c r="AK77" s="7">
        <f t="shared" si="86"/>
        <v>0</v>
      </c>
      <c r="AL77" s="7">
        <f t="shared" si="86"/>
        <v>0</v>
      </c>
      <c r="AM77" s="7">
        <f t="shared" si="86"/>
        <v>0</v>
      </c>
      <c r="AN77" s="7">
        <f t="shared" si="87"/>
        <v>0</v>
      </c>
      <c r="AO77" s="7">
        <f t="shared" si="87"/>
        <v>0</v>
      </c>
      <c r="AP77" s="7">
        <f t="shared" si="87"/>
        <v>0</v>
      </c>
      <c r="AQ77" s="7">
        <f t="shared" si="87"/>
        <v>0</v>
      </c>
      <c r="AR77" s="7">
        <f t="shared" si="87"/>
        <v>0</v>
      </c>
      <c r="AS77" s="7">
        <f t="shared" si="87"/>
        <v>0</v>
      </c>
      <c r="AT77" s="7">
        <f t="shared" si="87"/>
        <v>0</v>
      </c>
      <c r="AU77" s="7">
        <f t="shared" si="88"/>
        <v>0</v>
      </c>
      <c r="AV77" s="7">
        <f t="shared" si="89"/>
        <v>0</v>
      </c>
      <c r="AW77" s="7">
        <f t="shared" si="89"/>
        <v>0</v>
      </c>
      <c r="AX77" s="7"/>
      <c r="AY77" s="7"/>
      <c r="AZ77" s="7">
        <f>SUM($B$77:B77)</f>
        <v>0</v>
      </c>
      <c r="BA77" s="7">
        <f>SUM($B$77:C77)</f>
        <v>0</v>
      </c>
      <c r="BB77" s="7">
        <f>SUM($B$77:D77)</f>
        <v>0</v>
      </c>
      <c r="BC77" s="7">
        <f>SUM($B$77:E77)</f>
        <v>0</v>
      </c>
      <c r="BD77" s="7">
        <f>SUM($B$77:F77)</f>
        <v>0</v>
      </c>
      <c r="BE77" s="7">
        <f>SUM($B$77:G77)</f>
        <v>0</v>
      </c>
      <c r="BF77" s="7">
        <f>SUM($B$77:H77)</f>
        <v>0</v>
      </c>
      <c r="BG77" s="7">
        <f>SUM($B$77:I77)</f>
        <v>0</v>
      </c>
      <c r="BH77" s="7">
        <f>SUM($B$77:J77)</f>
        <v>0</v>
      </c>
      <c r="BI77" s="7">
        <f>SUM($B$77:K77)</f>
        <v>0</v>
      </c>
      <c r="BJ77" s="7">
        <f>SUM($B$77:L77)</f>
        <v>0</v>
      </c>
      <c r="BK77" s="7">
        <f>SUM($B$77:M77)</f>
        <v>0</v>
      </c>
      <c r="BL77" s="7">
        <f>SUM($B$77:Q77)</f>
        <v>0</v>
      </c>
      <c r="BM77" s="7">
        <f>SUM($B$77:N77)</f>
        <v>0</v>
      </c>
      <c r="BN77" s="7">
        <f>SUM($B$77:O77)</f>
        <v>0</v>
      </c>
      <c r="BO77" s="7">
        <f>SUM($B$77:P77)</f>
        <v>0</v>
      </c>
      <c r="BP77" s="7">
        <f>SUM($B$77:R77)</f>
        <v>0</v>
      </c>
      <c r="BQ77" s="7">
        <f>SUM($B$77:S77)</f>
        <v>0</v>
      </c>
      <c r="BR77" s="7">
        <f>SUM($B$77:T77)</f>
        <v>0</v>
      </c>
      <c r="BS77" s="7">
        <f>SUM($B$77:V77)</f>
        <v>0</v>
      </c>
      <c r="BT77" s="7"/>
      <c r="BU77" s="7">
        <f>SUM($BS$74:BS77)</f>
        <v>0</v>
      </c>
      <c r="BV77">
        <f t="shared" si="85"/>
        <v>0</v>
      </c>
      <c r="BW77">
        <f>SUM($BV$74:BV77)</f>
        <v>0</v>
      </c>
    </row>
    <row r="78" spans="1:75" x14ac:dyDescent="0.35">
      <c r="A78" s="135" t="s">
        <v>26</v>
      </c>
      <c r="B78" s="8"/>
      <c r="C78" s="8"/>
      <c r="D78" s="8"/>
      <c r="E78" s="8"/>
      <c r="F78" s="8"/>
      <c r="G78" s="8"/>
      <c r="H78" s="8"/>
      <c r="I78" s="8"/>
      <c r="J78" s="8"/>
      <c r="K78" s="8"/>
      <c r="L78" s="8"/>
      <c r="M78" s="8"/>
      <c r="N78" s="8"/>
      <c r="O78" s="8"/>
      <c r="P78" s="8"/>
      <c r="Q78" s="8"/>
      <c r="R78" s="8"/>
      <c r="S78" s="8"/>
      <c r="T78" s="8"/>
      <c r="U78" s="8"/>
      <c r="V78" s="8"/>
      <c r="W78" s="7">
        <f t="shared" si="80"/>
        <v>0</v>
      </c>
      <c r="X78" s="8">
        <f t="shared" si="81"/>
        <v>0</v>
      </c>
      <c r="Y78" s="7">
        <f t="shared" si="82"/>
        <v>0</v>
      </c>
      <c r="Z78" s="50"/>
      <c r="AA78" s="43"/>
      <c r="AB78" s="44">
        <f t="shared" si="83"/>
        <v>0</v>
      </c>
      <c r="AC78" s="7" t="s">
        <v>26</v>
      </c>
      <c r="AD78" s="7">
        <f t="shared" si="86"/>
        <v>0</v>
      </c>
      <c r="AE78" s="7">
        <f t="shared" si="86"/>
        <v>0</v>
      </c>
      <c r="AF78" s="7">
        <f t="shared" si="86"/>
        <v>0</v>
      </c>
      <c r="AG78" s="7">
        <f t="shared" si="86"/>
        <v>0</v>
      </c>
      <c r="AH78" s="7">
        <f t="shared" si="86"/>
        <v>0</v>
      </c>
      <c r="AI78" s="7">
        <f t="shared" si="86"/>
        <v>0</v>
      </c>
      <c r="AJ78" s="7">
        <f t="shared" si="86"/>
        <v>0</v>
      </c>
      <c r="AK78" s="7">
        <f t="shared" si="86"/>
        <v>0</v>
      </c>
      <c r="AL78" s="7">
        <f t="shared" si="86"/>
        <v>0</v>
      </c>
      <c r="AM78" s="7">
        <f t="shared" si="86"/>
        <v>0</v>
      </c>
      <c r="AN78" s="7">
        <f t="shared" si="87"/>
        <v>0</v>
      </c>
      <c r="AO78" s="7">
        <f t="shared" si="87"/>
        <v>0</v>
      </c>
      <c r="AP78" s="7">
        <f t="shared" si="87"/>
        <v>0</v>
      </c>
      <c r="AQ78" s="7">
        <f t="shared" si="87"/>
        <v>0</v>
      </c>
      <c r="AR78" s="7">
        <f t="shared" si="87"/>
        <v>0</v>
      </c>
      <c r="AS78" s="7">
        <f t="shared" si="87"/>
        <v>0</v>
      </c>
      <c r="AT78" s="7">
        <f t="shared" si="87"/>
        <v>0</v>
      </c>
      <c r="AU78" s="7">
        <f t="shared" si="88"/>
        <v>0</v>
      </c>
      <c r="AV78" s="7">
        <f t="shared" si="89"/>
        <v>0</v>
      </c>
      <c r="AW78" s="7">
        <f t="shared" si="89"/>
        <v>0</v>
      </c>
      <c r="AX78" s="7"/>
      <c r="AY78" s="7"/>
      <c r="AZ78" s="7">
        <f>SUM($B$78:B78)</f>
        <v>0</v>
      </c>
      <c r="BA78" s="7">
        <f>SUM($B$78:C78)</f>
        <v>0</v>
      </c>
      <c r="BB78" s="7">
        <f>SUM($B$78:D78)</f>
        <v>0</v>
      </c>
      <c r="BC78" s="7">
        <f>SUM($B$78:E78)</f>
        <v>0</v>
      </c>
      <c r="BD78" s="7">
        <f>SUM($B$78:F78)</f>
        <v>0</v>
      </c>
      <c r="BE78" s="7">
        <f>SUM($B$78:G78)</f>
        <v>0</v>
      </c>
      <c r="BF78" s="7">
        <f>SUM($B$78:H78)</f>
        <v>0</v>
      </c>
      <c r="BG78" s="7">
        <f>SUM($B$78:I78)</f>
        <v>0</v>
      </c>
      <c r="BH78" s="7">
        <f>SUM($B$78:J78)</f>
        <v>0</v>
      </c>
      <c r="BI78" s="7">
        <f>SUM($B$78:K78)</f>
        <v>0</v>
      </c>
      <c r="BJ78" s="7">
        <f>SUM($B$78:L78)</f>
        <v>0</v>
      </c>
      <c r="BK78" s="7">
        <f>SUM($B$78:M78)</f>
        <v>0</v>
      </c>
      <c r="BL78" s="7">
        <f>SUM($B$78:Q78)</f>
        <v>0</v>
      </c>
      <c r="BM78" s="7">
        <f>SUM($B$78:N78)</f>
        <v>0</v>
      </c>
      <c r="BN78" s="7">
        <f>SUM($B$78:O78)</f>
        <v>0</v>
      </c>
      <c r="BO78" s="7">
        <f>SUM($B$78:P78)</f>
        <v>0</v>
      </c>
      <c r="BP78" s="7">
        <f>SUM($B$78:R78)</f>
        <v>0</v>
      </c>
      <c r="BQ78" s="7">
        <f>SUM($B$78:S78)</f>
        <v>0</v>
      </c>
      <c r="BR78" s="7">
        <f>SUM($B$78:T78)</f>
        <v>0</v>
      </c>
      <c r="BS78" s="7">
        <f>SUM($B$78:V78)</f>
        <v>0</v>
      </c>
      <c r="BT78" s="7"/>
      <c r="BU78" s="7">
        <f>SUM($BS$74:BS78)</f>
        <v>0</v>
      </c>
      <c r="BV78">
        <f t="shared" si="85"/>
        <v>0</v>
      </c>
      <c r="BW78">
        <f>SUM($BV$74:BV78)</f>
        <v>0</v>
      </c>
    </row>
    <row r="79" spans="1:75" x14ac:dyDescent="0.35">
      <c r="A79" s="146" t="s">
        <v>27</v>
      </c>
      <c r="B79" s="8"/>
      <c r="C79" s="8"/>
      <c r="D79" s="8"/>
      <c r="E79" s="8"/>
      <c r="F79" s="8"/>
      <c r="G79" s="8"/>
      <c r="H79" s="8"/>
      <c r="I79" s="8"/>
      <c r="J79" s="8"/>
      <c r="K79" s="8"/>
      <c r="L79" s="8"/>
      <c r="M79" s="8"/>
      <c r="N79" s="8"/>
      <c r="O79" s="8"/>
      <c r="P79" s="8"/>
      <c r="Q79" s="8"/>
      <c r="R79" s="8"/>
      <c r="S79" s="8"/>
      <c r="T79" s="8"/>
      <c r="U79" s="8"/>
      <c r="V79" s="8"/>
      <c r="W79" s="7">
        <f t="shared" si="80"/>
        <v>0</v>
      </c>
      <c r="X79" s="8">
        <f t="shared" si="81"/>
        <v>0</v>
      </c>
      <c r="Y79" s="7">
        <f t="shared" si="82"/>
        <v>0</v>
      </c>
      <c r="Z79" s="50"/>
      <c r="AA79" s="43"/>
      <c r="AB79" s="44">
        <f t="shared" si="83"/>
        <v>0</v>
      </c>
      <c r="AC79" s="7" t="s">
        <v>27</v>
      </c>
      <c r="AD79" s="7">
        <f t="shared" si="86"/>
        <v>0</v>
      </c>
      <c r="AE79" s="7">
        <f t="shared" si="86"/>
        <v>0</v>
      </c>
      <c r="AF79" s="7">
        <f t="shared" si="86"/>
        <v>0</v>
      </c>
      <c r="AG79" s="7">
        <f t="shared" si="86"/>
        <v>0</v>
      </c>
      <c r="AH79" s="7">
        <f t="shared" si="86"/>
        <v>0</v>
      </c>
      <c r="AI79" s="7">
        <f t="shared" si="86"/>
        <v>0</v>
      </c>
      <c r="AJ79" s="7">
        <f t="shared" si="86"/>
        <v>0</v>
      </c>
      <c r="AK79" s="7">
        <f t="shared" si="86"/>
        <v>0</v>
      </c>
      <c r="AL79" s="7">
        <f t="shared" si="86"/>
        <v>0</v>
      </c>
      <c r="AM79" s="7">
        <f t="shared" si="86"/>
        <v>0</v>
      </c>
      <c r="AN79" s="7">
        <f t="shared" si="87"/>
        <v>0</v>
      </c>
      <c r="AO79" s="7">
        <f t="shared" si="87"/>
        <v>0</v>
      </c>
      <c r="AP79" s="7">
        <f t="shared" si="87"/>
        <v>0</v>
      </c>
      <c r="AQ79" s="7">
        <f t="shared" si="87"/>
        <v>0</v>
      </c>
      <c r="AR79" s="7">
        <f t="shared" si="87"/>
        <v>0</v>
      </c>
      <c r="AS79" s="7">
        <f t="shared" si="87"/>
        <v>0</v>
      </c>
      <c r="AT79" s="7">
        <f t="shared" si="87"/>
        <v>0</v>
      </c>
      <c r="AU79" s="7">
        <f t="shared" si="88"/>
        <v>0</v>
      </c>
      <c r="AV79" s="7">
        <f t="shared" si="89"/>
        <v>0</v>
      </c>
      <c r="AW79" s="7">
        <f t="shared" si="89"/>
        <v>0</v>
      </c>
      <c r="AX79" s="7"/>
      <c r="AY79" s="7"/>
      <c r="AZ79" s="7">
        <f>SUM($B$79:B79)</f>
        <v>0</v>
      </c>
      <c r="BA79" s="7">
        <f>SUM($B$79:C79)</f>
        <v>0</v>
      </c>
      <c r="BB79" s="7">
        <f>SUM($B$79:D79)</f>
        <v>0</v>
      </c>
      <c r="BC79" s="7">
        <f>SUM($B$79:E79)</f>
        <v>0</v>
      </c>
      <c r="BD79" s="7">
        <f>SUM($B$79:F79)</f>
        <v>0</v>
      </c>
      <c r="BE79" s="7">
        <f>SUM($B$79:G79)</f>
        <v>0</v>
      </c>
      <c r="BF79" s="7">
        <f>SUM($B$79:H79)</f>
        <v>0</v>
      </c>
      <c r="BG79" s="7">
        <f>SUM($B$79:I79)</f>
        <v>0</v>
      </c>
      <c r="BH79" s="7">
        <f>SUM($B$79:J79)</f>
        <v>0</v>
      </c>
      <c r="BI79" s="7">
        <f>SUM($B$79:K79)</f>
        <v>0</v>
      </c>
      <c r="BJ79" s="7">
        <f>SUM($B$79:L79)</f>
        <v>0</v>
      </c>
      <c r="BK79" s="7">
        <f>SUM($B$79:M79)</f>
        <v>0</v>
      </c>
      <c r="BL79" s="7">
        <f>SUM($B$79:Q79)</f>
        <v>0</v>
      </c>
      <c r="BM79" s="7">
        <f>SUM($B$79:N79)</f>
        <v>0</v>
      </c>
      <c r="BN79" s="7">
        <f>SUM($B$79:O79)</f>
        <v>0</v>
      </c>
      <c r="BO79" s="7">
        <f>SUM($B$79:P79)</f>
        <v>0</v>
      </c>
      <c r="BP79" s="7">
        <f>SUM($B$79:R79)</f>
        <v>0</v>
      </c>
      <c r="BQ79" s="7">
        <f>SUM($B$79:S79)</f>
        <v>0</v>
      </c>
      <c r="BR79" s="7">
        <f>SUM($B$79:T79)</f>
        <v>0</v>
      </c>
      <c r="BS79" s="7">
        <f>SUM($B$79:V79)</f>
        <v>0</v>
      </c>
      <c r="BT79" s="7"/>
      <c r="BU79" s="7">
        <f>SUM($BS$74:BS79)</f>
        <v>0</v>
      </c>
      <c r="BV79">
        <f t="shared" si="85"/>
        <v>0</v>
      </c>
      <c r="BW79">
        <f>SUM($BV$74:BV79)</f>
        <v>0</v>
      </c>
    </row>
    <row r="80" spans="1:75" x14ac:dyDescent="0.35">
      <c r="A80" s="156" t="s">
        <v>28</v>
      </c>
      <c r="B80" s="8"/>
      <c r="C80" s="8"/>
      <c r="D80" s="8"/>
      <c r="E80" s="8"/>
      <c r="F80" s="8"/>
      <c r="G80" s="8"/>
      <c r="H80" s="8"/>
      <c r="I80" s="8"/>
      <c r="J80" s="8"/>
      <c r="K80" s="8"/>
      <c r="L80" s="8"/>
      <c r="M80" s="8"/>
      <c r="N80" s="8"/>
      <c r="O80" s="8"/>
      <c r="P80" s="8"/>
      <c r="Q80" s="8"/>
      <c r="R80" s="8"/>
      <c r="S80" s="8"/>
      <c r="T80" s="8"/>
      <c r="U80" s="8"/>
      <c r="V80" s="8"/>
      <c r="W80" s="7">
        <f t="shared" si="80"/>
        <v>0</v>
      </c>
      <c r="X80" s="8">
        <f t="shared" si="81"/>
        <v>0</v>
      </c>
      <c r="Y80" s="7">
        <f t="shared" si="82"/>
        <v>0</v>
      </c>
      <c r="Z80" s="50"/>
      <c r="AA80" s="43"/>
      <c r="AB80" s="44">
        <f t="shared" si="83"/>
        <v>0</v>
      </c>
      <c r="AC80" s="7" t="s">
        <v>28</v>
      </c>
      <c r="AD80" s="7">
        <f t="shared" si="86"/>
        <v>0</v>
      </c>
      <c r="AE80" s="7">
        <f t="shared" si="86"/>
        <v>0</v>
      </c>
      <c r="AF80" s="7">
        <f t="shared" si="86"/>
        <v>0</v>
      </c>
      <c r="AG80" s="7">
        <f t="shared" si="86"/>
        <v>0</v>
      </c>
      <c r="AH80" s="7">
        <f t="shared" si="86"/>
        <v>0</v>
      </c>
      <c r="AI80" s="7">
        <f t="shared" si="86"/>
        <v>0</v>
      </c>
      <c r="AJ80" s="7">
        <f t="shared" si="86"/>
        <v>0</v>
      </c>
      <c r="AK80" s="7">
        <f t="shared" si="86"/>
        <v>0</v>
      </c>
      <c r="AL80" s="7">
        <f t="shared" si="86"/>
        <v>0</v>
      </c>
      <c r="AM80" s="7">
        <f t="shared" si="86"/>
        <v>0</v>
      </c>
      <c r="AN80" s="7">
        <f t="shared" si="87"/>
        <v>0</v>
      </c>
      <c r="AO80" s="7">
        <f t="shared" si="87"/>
        <v>0</v>
      </c>
      <c r="AP80" s="7">
        <f t="shared" si="87"/>
        <v>0</v>
      </c>
      <c r="AQ80" s="7">
        <f t="shared" si="87"/>
        <v>0</v>
      </c>
      <c r="AR80" s="7">
        <f t="shared" si="87"/>
        <v>0</v>
      </c>
      <c r="AS80" s="7">
        <f t="shared" si="87"/>
        <v>0</v>
      </c>
      <c r="AT80" s="7">
        <f t="shared" si="87"/>
        <v>0</v>
      </c>
      <c r="AU80" s="7">
        <f t="shared" si="88"/>
        <v>0</v>
      </c>
      <c r="AV80" s="7">
        <f t="shared" si="89"/>
        <v>0</v>
      </c>
      <c r="AW80" s="7">
        <f t="shared" si="89"/>
        <v>0</v>
      </c>
      <c r="AX80" s="7"/>
      <c r="AY80" s="7"/>
      <c r="AZ80" s="7">
        <f>SUM($B$80:B80)</f>
        <v>0</v>
      </c>
      <c r="BA80" s="7">
        <f>SUM($B$80:C80)</f>
        <v>0</v>
      </c>
      <c r="BB80" s="7">
        <f>SUM($B$80:D80)</f>
        <v>0</v>
      </c>
      <c r="BC80" s="7">
        <f>SUM($B$80:E80)</f>
        <v>0</v>
      </c>
      <c r="BD80" s="7">
        <f>SUM($B$80:F80)</f>
        <v>0</v>
      </c>
      <c r="BE80" s="7">
        <f>SUM($B$80:G80)</f>
        <v>0</v>
      </c>
      <c r="BF80" s="7">
        <f>SUM($B$80:H80)</f>
        <v>0</v>
      </c>
      <c r="BG80" s="7">
        <f>SUM($B$80:I80)</f>
        <v>0</v>
      </c>
      <c r="BH80" s="7">
        <f>SUM($B$80:J80)</f>
        <v>0</v>
      </c>
      <c r="BI80" s="7">
        <f>SUM($B$80:K80)</f>
        <v>0</v>
      </c>
      <c r="BJ80" s="7">
        <f>SUM($B$80:L80)</f>
        <v>0</v>
      </c>
      <c r="BK80" s="7">
        <f>SUM($B$80:M80)</f>
        <v>0</v>
      </c>
      <c r="BL80" s="7">
        <f>SUM($B$80:Q80)</f>
        <v>0</v>
      </c>
      <c r="BM80" s="7">
        <f>SUM($B$80:N80)</f>
        <v>0</v>
      </c>
      <c r="BN80" s="7">
        <f>SUM($B$80:O80)</f>
        <v>0</v>
      </c>
      <c r="BO80" s="7">
        <f>SUM($B$80:P80)</f>
        <v>0</v>
      </c>
      <c r="BP80" s="7">
        <f>SUM($B$80:R80)</f>
        <v>0</v>
      </c>
      <c r="BQ80" s="7">
        <f>SUM($B$80:S80)</f>
        <v>0</v>
      </c>
      <c r="BR80" s="7">
        <f>SUM($B$80:T80)</f>
        <v>0</v>
      </c>
      <c r="BS80" s="7">
        <f>SUM($B$80:V80)</f>
        <v>0</v>
      </c>
      <c r="BT80" s="7"/>
      <c r="BU80" s="7">
        <f>SUM($BS$74:BS80)</f>
        <v>0</v>
      </c>
      <c r="BV80">
        <f t="shared" si="85"/>
        <v>0</v>
      </c>
      <c r="BW80">
        <f>SUM($BV$74:BV80)</f>
        <v>0</v>
      </c>
    </row>
    <row r="81" spans="1:75" x14ac:dyDescent="0.35">
      <c r="A81" s="44" t="s">
        <v>29</v>
      </c>
      <c r="B81" s="8">
        <f t="shared" ref="B81:T81" si="90">SUM(B74:B80)</f>
        <v>0</v>
      </c>
      <c r="C81" s="8">
        <f t="shared" si="90"/>
        <v>0</v>
      </c>
      <c r="D81" s="8">
        <f t="shared" si="90"/>
        <v>0</v>
      </c>
      <c r="E81" s="8">
        <f t="shared" si="90"/>
        <v>0</v>
      </c>
      <c r="F81" s="8">
        <f t="shared" si="90"/>
        <v>0</v>
      </c>
      <c r="G81" s="8">
        <f t="shared" si="90"/>
        <v>0</v>
      </c>
      <c r="H81" s="8">
        <f t="shared" si="90"/>
        <v>0</v>
      </c>
      <c r="I81" s="8">
        <f t="shared" si="90"/>
        <v>0</v>
      </c>
      <c r="J81" s="8">
        <f t="shared" si="90"/>
        <v>0</v>
      </c>
      <c r="K81" s="8">
        <f>SUM(K74:K80)</f>
        <v>0</v>
      </c>
      <c r="L81" s="8">
        <f t="shared" si="90"/>
        <v>0</v>
      </c>
      <c r="M81" s="8">
        <f t="shared" si="90"/>
        <v>0</v>
      </c>
      <c r="N81" s="8">
        <f t="shared" si="90"/>
        <v>0</v>
      </c>
      <c r="O81" s="8">
        <f t="shared" si="90"/>
        <v>0</v>
      </c>
      <c r="P81" s="8">
        <f t="shared" si="90"/>
        <v>0</v>
      </c>
      <c r="Q81" s="8">
        <f>SUM(Q74:Q80)</f>
        <v>0</v>
      </c>
      <c r="R81" s="8">
        <f t="shared" si="90"/>
        <v>0</v>
      </c>
      <c r="S81" s="8">
        <f t="shared" si="90"/>
        <v>0</v>
      </c>
      <c r="T81" s="8">
        <f t="shared" si="90"/>
        <v>0</v>
      </c>
      <c r="U81" s="8">
        <f t="shared" ref="U81" si="91">SUM(U74:U80)</f>
        <v>0</v>
      </c>
      <c r="V81" s="8">
        <f>SUM(V74:V80)</f>
        <v>0</v>
      </c>
      <c r="W81" s="31">
        <f>SUM(W74:W80)</f>
        <v>0</v>
      </c>
      <c r="X81" s="8"/>
      <c r="Y81" s="7"/>
      <c r="Z81" s="50" t="s">
        <v>174</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row>
    <row r="82" spans="1:75" x14ac:dyDescent="0.35">
      <c r="A82" s="44" t="s">
        <v>33</v>
      </c>
      <c r="B82" s="7">
        <f t="shared" ref="B82:U82" si="92">B81-B67</f>
        <v>0</v>
      </c>
      <c r="C82" s="7">
        <f t="shared" si="92"/>
        <v>0</v>
      </c>
      <c r="D82" s="7">
        <f t="shared" si="92"/>
        <v>0</v>
      </c>
      <c r="E82" s="7">
        <f t="shared" si="92"/>
        <v>0</v>
      </c>
      <c r="F82" s="7">
        <f t="shared" si="92"/>
        <v>0</v>
      </c>
      <c r="G82" s="7">
        <f t="shared" si="92"/>
        <v>0</v>
      </c>
      <c r="H82" s="7">
        <f t="shared" si="92"/>
        <v>0</v>
      </c>
      <c r="I82" s="7">
        <f t="shared" si="92"/>
        <v>0</v>
      </c>
      <c r="J82" s="7">
        <f t="shared" si="92"/>
        <v>0</v>
      </c>
      <c r="K82" s="7">
        <f t="shared" si="92"/>
        <v>0</v>
      </c>
      <c r="L82" s="7">
        <f t="shared" si="92"/>
        <v>0</v>
      </c>
      <c r="M82" s="7">
        <f t="shared" si="92"/>
        <v>0</v>
      </c>
      <c r="N82" s="7">
        <f t="shared" si="92"/>
        <v>0</v>
      </c>
      <c r="O82" s="7">
        <f t="shared" si="92"/>
        <v>0</v>
      </c>
      <c r="P82" s="7">
        <f t="shared" si="92"/>
        <v>0</v>
      </c>
      <c r="Q82" s="7">
        <f t="shared" si="92"/>
        <v>0</v>
      </c>
      <c r="R82" s="7">
        <f t="shared" si="92"/>
        <v>0</v>
      </c>
      <c r="S82" s="7">
        <f t="shared" si="92"/>
        <v>0</v>
      </c>
      <c r="T82" s="7">
        <f t="shared" si="92"/>
        <v>0</v>
      </c>
      <c r="U82" s="7">
        <f t="shared" si="92"/>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row>
    <row r="83" spans="1:75" x14ac:dyDescent="0.35">
      <c r="A83" s="44" t="s">
        <v>110</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cm="1">
        <f t="array" ref="S83">IF(COUNTIF(AU73:AU79,0)=0,
    LOOKUP(2,1/(AU73:AU79&lt;&gt;""),AU73:AU79),
    MATCH(0,INDEX(AU73:AU79,MAX(ROW(AU73:AU79))-ROW(AU73:AU79)+1),0)-1
)</f>
        <v>0</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row>
    <row r="84" spans="1:75" x14ac:dyDescent="0.35">
      <c r="A84" s="44" t="s">
        <v>99</v>
      </c>
      <c r="B84" s="7">
        <f t="shared" ref="B84:U84" si="93">B81+B70</f>
        <v>2</v>
      </c>
      <c r="C84" s="7">
        <f t="shared" si="93"/>
        <v>0</v>
      </c>
      <c r="D84" s="7">
        <f t="shared" si="93"/>
        <v>5</v>
      </c>
      <c r="E84" s="7">
        <f t="shared" si="93"/>
        <v>9</v>
      </c>
      <c r="F84" s="7">
        <f t="shared" si="93"/>
        <v>4</v>
      </c>
      <c r="G84" s="7">
        <f t="shared" si="93"/>
        <v>0</v>
      </c>
      <c r="H84" s="7">
        <f t="shared" si="93"/>
        <v>0</v>
      </c>
      <c r="I84" s="7">
        <f t="shared" si="93"/>
        <v>3</v>
      </c>
      <c r="J84" s="7">
        <f t="shared" si="93"/>
        <v>0</v>
      </c>
      <c r="K84" s="7">
        <f t="shared" si="93"/>
        <v>0.75</v>
      </c>
      <c r="L84" s="7">
        <f t="shared" si="93"/>
        <v>2</v>
      </c>
      <c r="M84" s="7">
        <f t="shared" si="93"/>
        <v>1</v>
      </c>
      <c r="N84" s="7">
        <f t="shared" si="93"/>
        <v>2.5</v>
      </c>
      <c r="O84" s="7">
        <f t="shared" si="93"/>
        <v>2</v>
      </c>
      <c r="P84" s="7">
        <f t="shared" si="93"/>
        <v>0</v>
      </c>
      <c r="Q84" s="7">
        <f t="shared" si="93"/>
        <v>0</v>
      </c>
      <c r="R84" s="7">
        <f t="shared" si="93"/>
        <v>1</v>
      </c>
      <c r="S84" s="7">
        <f t="shared" si="93"/>
        <v>3</v>
      </c>
      <c r="T84" s="7">
        <f t="shared" si="93"/>
        <v>0</v>
      </c>
      <c r="U84" s="7">
        <f t="shared" si="93"/>
        <v>-1</v>
      </c>
      <c r="V84" s="7">
        <f>V81+V70</f>
        <v>2</v>
      </c>
      <c r="W84" s="7">
        <f>SUM(W70,W81)</f>
        <v>36.25</v>
      </c>
      <c r="X84" s="7"/>
      <c r="Y84" s="7">
        <f>SUM(Y74:Y80)</f>
        <v>0</v>
      </c>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row>
    <row r="85" spans="1:75" x14ac:dyDescent="0.35">
      <c r="A85" s="44" t="s">
        <v>112</v>
      </c>
      <c r="B85" s="174">
        <f>(COUNTIF(B4:B10, "&gt;0")+COUNTIF(B18:B24, "&gt;0")+COUNTIF(B32:B38, "&gt;0")+COUNTIF(B46:B52, "&gt;0")+COUNTIF(B60:B66, "&gt;0") + COUNTIF(B74:B80, "&gt;0")) / 42</f>
        <v>2.3809523809523808E-2</v>
      </c>
      <c r="C85" s="174">
        <f t="shared" ref="C85:O85" si="94">(COUNTIF(C4:C10, "&gt;0")+COUNTIF(C18:C24, "&gt;0")+COUNTIF(C32:C38, "&gt;0")+COUNTIF(C46:C52, "&gt;0")+COUNTIF(C60:C66, "&gt;0") + COUNTIF(C74:C80, "&gt;0")) / 42</f>
        <v>0</v>
      </c>
      <c r="D85" s="174">
        <f t="shared" si="94"/>
        <v>2.3809523809523808E-2</v>
      </c>
      <c r="E85" s="174">
        <f t="shared" si="94"/>
        <v>2.3809523809523808E-2</v>
      </c>
      <c r="F85" s="174">
        <f t="shared" si="94"/>
        <v>2.3809523809523808E-2</v>
      </c>
      <c r="G85" s="174">
        <f t="shared" si="94"/>
        <v>0</v>
      </c>
      <c r="H85" s="174">
        <f t="shared" si="94"/>
        <v>0</v>
      </c>
      <c r="I85" s="174">
        <f t="shared" si="94"/>
        <v>2.3809523809523808E-2</v>
      </c>
      <c r="J85" s="174">
        <f t="shared" si="94"/>
        <v>0</v>
      </c>
      <c r="K85" s="174">
        <f t="shared" si="94"/>
        <v>2.3809523809523808E-2</v>
      </c>
      <c r="L85" s="174">
        <f t="shared" si="94"/>
        <v>2.3809523809523808E-2</v>
      </c>
      <c r="M85" s="174">
        <f t="shared" si="94"/>
        <v>2.3809523809523808E-2</v>
      </c>
      <c r="N85" s="174">
        <f t="shared" si="94"/>
        <v>2.3809523809523808E-2</v>
      </c>
      <c r="O85" s="174">
        <f t="shared" si="94"/>
        <v>2.3809523809523808E-2</v>
      </c>
      <c r="P85" s="7"/>
      <c r="Q85" s="7"/>
      <c r="R85" s="7"/>
      <c r="S85" s="7"/>
      <c r="T85" s="7"/>
      <c r="U85" s="44" t="s">
        <v>31</v>
      </c>
      <c r="V85" s="7">
        <f>SUMIF(B81:V81,"&lt;0",B81:V81)</f>
        <v>0</v>
      </c>
      <c r="W85" s="7">
        <f>SUMIF(B81:V81,"&gt;0",B81:V81)</f>
        <v>0</v>
      </c>
      <c r="Y85" s="7"/>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row>
    <row r="86" spans="1:75"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c r="AZ86" s="7" t="s">
        <v>126</v>
      </c>
      <c r="BA86" s="7"/>
      <c r="BB86" s="7"/>
      <c r="BC86" s="7"/>
      <c r="BD86" s="7"/>
      <c r="BE86" s="7"/>
      <c r="BF86" s="7"/>
      <c r="BG86" s="7"/>
      <c r="BH86" s="7"/>
      <c r="BI86" s="7"/>
      <c r="BJ86" s="7"/>
      <c r="BK86" s="7"/>
      <c r="BL86" s="7"/>
      <c r="BM86" s="7"/>
      <c r="BN86" s="7"/>
      <c r="BO86" s="7"/>
      <c r="BP86" s="7"/>
      <c r="BQ86" s="7"/>
      <c r="BR86" s="7"/>
      <c r="BS86" s="7"/>
      <c r="BT86" s="7"/>
      <c r="BU86" s="7"/>
    </row>
    <row r="87" spans="1:75" x14ac:dyDescent="0.35">
      <c r="A87" s="102" t="s">
        <v>39</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68</v>
      </c>
      <c r="AD87" s="7"/>
      <c r="AE87" s="7"/>
      <c r="AF87" s="7"/>
      <c r="AG87" s="7"/>
      <c r="AH87" s="7"/>
      <c r="AI87" s="7"/>
      <c r="AJ87" s="7"/>
      <c r="AK87" s="7"/>
      <c r="AL87" s="7"/>
      <c r="AM87" s="7"/>
      <c r="AN87" s="7"/>
      <c r="AO87" s="7"/>
      <c r="AP87" s="7"/>
      <c r="AQ87" s="7"/>
      <c r="AR87" s="7"/>
      <c r="AS87" s="7"/>
      <c r="AT87" s="7"/>
      <c r="AU87" s="7"/>
      <c r="AV87" s="7"/>
      <c r="AW87" s="7"/>
      <c r="AX87" s="7"/>
      <c r="AY87" s="7"/>
      <c r="AZ87" s="12"/>
      <c r="BA87" s="12"/>
      <c r="BB87" s="12"/>
      <c r="BC87" s="12"/>
      <c r="BD87" s="12"/>
      <c r="BE87" s="12"/>
      <c r="BF87" s="12"/>
      <c r="BG87" s="12"/>
      <c r="BH87" s="12"/>
      <c r="BI87" s="12"/>
      <c r="BJ87" s="12"/>
      <c r="BK87" s="12"/>
      <c r="BL87" s="12"/>
      <c r="BM87" s="12"/>
      <c r="BN87" s="12"/>
      <c r="BO87" s="12"/>
      <c r="BP87" s="12"/>
      <c r="BQ87" s="12"/>
      <c r="BR87" s="12"/>
      <c r="BS87" s="12"/>
      <c r="BT87" s="203"/>
      <c r="BU87" s="12">
        <v>0</v>
      </c>
      <c r="BW87">
        <v>0</v>
      </c>
    </row>
    <row r="88" spans="1:75" x14ac:dyDescent="0.35">
      <c r="A88" s="80" t="s">
        <v>22</v>
      </c>
      <c r="B88" s="7"/>
      <c r="C88" s="7"/>
      <c r="D88" s="7"/>
      <c r="E88" s="7"/>
      <c r="F88" s="7"/>
      <c r="G88" s="7"/>
      <c r="H88" s="7"/>
      <c r="I88" s="7"/>
      <c r="J88" s="7"/>
      <c r="K88" s="7"/>
      <c r="L88" s="7"/>
      <c r="M88" s="7"/>
      <c r="N88" s="7"/>
      <c r="O88" s="7"/>
      <c r="P88" s="7"/>
      <c r="Q88" s="7"/>
      <c r="R88" s="7"/>
      <c r="S88" s="7"/>
      <c r="T88" s="7"/>
      <c r="U88" s="7"/>
      <c r="V88" s="7"/>
      <c r="W88" s="7">
        <f t="shared" ref="W88:W94" si="95">SUM(B88:V88)</f>
        <v>0</v>
      </c>
      <c r="X88" s="7">
        <f t="shared" ref="X88:X94" si="96">SUM(AD88:AW88)*0.1</f>
        <v>0</v>
      </c>
      <c r="Y88" s="7">
        <f t="shared" ref="Y88:Y94" si="97">W88+X88</f>
        <v>0</v>
      </c>
      <c r="Z88" s="46"/>
      <c r="AA88" s="192"/>
      <c r="AB88" s="7">
        <f t="shared" ref="AB88:AB94" si="98">AB74+W88</f>
        <v>36.25</v>
      </c>
      <c r="AC88" s="7" t="s">
        <v>22</v>
      </c>
      <c r="AD88" s="7">
        <f t="shared" ref="AD88:AW88" si="99">IF(B88 &gt; 0, IF(AD80&gt; 0, AD80+ 1, 0.1), 0)</f>
        <v>0</v>
      </c>
      <c r="AE88" s="7">
        <f t="shared" si="99"/>
        <v>0</v>
      </c>
      <c r="AF88" s="7">
        <f t="shared" si="99"/>
        <v>0</v>
      </c>
      <c r="AG88" s="7">
        <f t="shared" si="99"/>
        <v>0</v>
      </c>
      <c r="AH88" s="7">
        <f t="shared" si="99"/>
        <v>0</v>
      </c>
      <c r="AI88" s="7">
        <f t="shared" si="99"/>
        <v>0</v>
      </c>
      <c r="AJ88" s="7">
        <f t="shared" si="99"/>
        <v>0</v>
      </c>
      <c r="AK88" s="7">
        <f t="shared" si="99"/>
        <v>0</v>
      </c>
      <c r="AL88" s="7">
        <f t="shared" si="99"/>
        <v>0</v>
      </c>
      <c r="AM88" s="7">
        <f t="shared" si="99"/>
        <v>0</v>
      </c>
      <c r="AN88" s="7">
        <f t="shared" si="99"/>
        <v>0</v>
      </c>
      <c r="AO88" s="7">
        <f t="shared" si="99"/>
        <v>0</v>
      </c>
      <c r="AP88" s="7">
        <f t="shared" si="99"/>
        <v>0</v>
      </c>
      <c r="AQ88" s="7">
        <f t="shared" si="99"/>
        <v>0</v>
      </c>
      <c r="AR88" s="7">
        <f t="shared" si="99"/>
        <v>0</v>
      </c>
      <c r="AS88" s="7">
        <f t="shared" si="99"/>
        <v>0</v>
      </c>
      <c r="AT88" s="7">
        <f t="shared" si="99"/>
        <v>0</v>
      </c>
      <c r="AU88" s="7">
        <f t="shared" si="99"/>
        <v>0</v>
      </c>
      <c r="AV88" s="7">
        <f t="shared" si="99"/>
        <v>0</v>
      </c>
      <c r="AW88" s="7">
        <f t="shared" si="99"/>
        <v>0</v>
      </c>
      <c r="AX88" s="7"/>
      <c r="AY88" s="7"/>
      <c r="AZ88" s="7">
        <f>SUM($B$88:B88)</f>
        <v>0</v>
      </c>
      <c r="BA88" s="7">
        <f>SUM($B$88:C88)</f>
        <v>0</v>
      </c>
      <c r="BB88" s="7">
        <f>SUM($B$88:D88)</f>
        <v>0</v>
      </c>
      <c r="BC88" s="7">
        <f>SUM($B$88:E88)</f>
        <v>0</v>
      </c>
      <c r="BD88" s="7">
        <f>SUM($B$88:F88)</f>
        <v>0</v>
      </c>
      <c r="BE88" s="7">
        <f>SUM($B$88:G88)</f>
        <v>0</v>
      </c>
      <c r="BF88" s="7">
        <f>SUM($B$88:H88)</f>
        <v>0</v>
      </c>
      <c r="BG88" s="7">
        <f>SUM($B$88:I88)</f>
        <v>0</v>
      </c>
      <c r="BH88" s="7">
        <f>SUM($B$88:J88)</f>
        <v>0</v>
      </c>
      <c r="BI88" s="7">
        <f>SUM($B$88:K88)</f>
        <v>0</v>
      </c>
      <c r="BJ88" s="7">
        <f>SUM($B$88:L88)</f>
        <v>0</v>
      </c>
      <c r="BK88" s="7">
        <f>SUM($B$88:M88)</f>
        <v>0</v>
      </c>
      <c r="BL88" s="7">
        <f>SUM($B$88:Q88)</f>
        <v>0</v>
      </c>
      <c r="BM88" s="7">
        <f>SUM($B$88:N88)</f>
        <v>0</v>
      </c>
      <c r="BN88" s="7">
        <f>SUM($B$88:O88)</f>
        <v>0</v>
      </c>
      <c r="BO88" s="7">
        <f>SUM($B$88:P88)</f>
        <v>0</v>
      </c>
      <c r="BP88" s="7">
        <f>SUM($B$88:R88)</f>
        <v>0</v>
      </c>
      <c r="BQ88" s="7">
        <f>SUM($B$88:S88)</f>
        <v>0</v>
      </c>
      <c r="BR88" s="7">
        <f>SUM($B$88:T88)</f>
        <v>0</v>
      </c>
      <c r="BS88" s="7">
        <f>SUM($B$88:V88)</f>
        <v>0</v>
      </c>
      <c r="BT88" s="7"/>
      <c r="BU88" s="7">
        <f>SUM($BS$88:BS88)</f>
        <v>0</v>
      </c>
      <c r="BV88">
        <f t="shared" si="85"/>
        <v>0</v>
      </c>
      <c r="BW88">
        <f>SUM($BV$88:BV88)</f>
        <v>0</v>
      </c>
    </row>
    <row r="89" spans="1:75" x14ac:dyDescent="0.35">
      <c r="A89" s="91" t="s">
        <v>23</v>
      </c>
      <c r="B89" s="7"/>
      <c r="C89" s="7"/>
      <c r="D89" s="7"/>
      <c r="E89" s="7"/>
      <c r="F89" s="7"/>
      <c r="G89" s="7"/>
      <c r="H89" s="7"/>
      <c r="I89" s="7"/>
      <c r="J89" s="7"/>
      <c r="K89" s="7"/>
      <c r="L89" s="7"/>
      <c r="M89" s="7"/>
      <c r="N89" s="7"/>
      <c r="O89" s="7"/>
      <c r="P89" s="7"/>
      <c r="Q89" s="7"/>
      <c r="R89" s="7"/>
      <c r="S89" s="7"/>
      <c r="T89" s="7"/>
      <c r="U89" s="7"/>
      <c r="V89" s="7"/>
      <c r="W89" s="7">
        <f t="shared" si="95"/>
        <v>0</v>
      </c>
      <c r="X89" s="7">
        <f t="shared" si="96"/>
        <v>0</v>
      </c>
      <c r="Y89" s="7">
        <f t="shared" si="97"/>
        <v>0</v>
      </c>
      <c r="Z89" s="46"/>
      <c r="AA89" s="192"/>
      <c r="AB89" s="7">
        <f t="shared" si="98"/>
        <v>0</v>
      </c>
      <c r="AC89" s="7" t="s">
        <v>23</v>
      </c>
      <c r="AD89" s="7">
        <f t="shared" ref="AD89:AM94" si="100">IF(B89 &gt; 0, IF(AD88 &gt; 0, AD88 + 1, 0.1), 0)</f>
        <v>0</v>
      </c>
      <c r="AE89" s="7">
        <f t="shared" si="100"/>
        <v>0</v>
      </c>
      <c r="AF89" s="7">
        <f t="shared" si="100"/>
        <v>0</v>
      </c>
      <c r="AG89" s="7">
        <f t="shared" si="100"/>
        <v>0</v>
      </c>
      <c r="AH89" s="7">
        <f t="shared" si="100"/>
        <v>0</v>
      </c>
      <c r="AI89" s="7">
        <f t="shared" si="100"/>
        <v>0</v>
      </c>
      <c r="AJ89" s="7">
        <f t="shared" si="100"/>
        <v>0</v>
      </c>
      <c r="AK89" s="7">
        <f t="shared" si="100"/>
        <v>0</v>
      </c>
      <c r="AL89" s="7">
        <f t="shared" si="100"/>
        <v>0</v>
      </c>
      <c r="AM89" s="7">
        <f t="shared" si="100"/>
        <v>0</v>
      </c>
      <c r="AN89" s="7">
        <f t="shared" ref="AN89:AT94" si="101">IF(L89 &gt; 0, IF(AN88 &gt; 0, AN88 + 1, 0.1), 0)</f>
        <v>0</v>
      </c>
      <c r="AO89" s="7">
        <f t="shared" si="101"/>
        <v>0</v>
      </c>
      <c r="AP89" s="7">
        <f t="shared" si="101"/>
        <v>0</v>
      </c>
      <c r="AQ89" s="7">
        <f t="shared" si="101"/>
        <v>0</v>
      </c>
      <c r="AR89" s="7">
        <f t="shared" si="101"/>
        <v>0</v>
      </c>
      <c r="AS89" s="7">
        <f t="shared" si="101"/>
        <v>0</v>
      </c>
      <c r="AT89" s="7">
        <f t="shared" si="101"/>
        <v>0</v>
      </c>
      <c r="AU89" s="7">
        <f t="shared" ref="AU89:AU94" si="102">IF(S89 &gt; 0, IF(AU81&gt; 0, AU81+ 1, 0.1), 0)</f>
        <v>0</v>
      </c>
      <c r="AV89" s="7">
        <f t="shared" ref="AV89:AW94" si="103">IF(T89 &gt; 0, IF(AV88 &gt; 0, AV88 + 1, 0.1), 0)</f>
        <v>0</v>
      </c>
      <c r="AW89" s="7">
        <f t="shared" si="103"/>
        <v>0</v>
      </c>
      <c r="AX89" s="7"/>
      <c r="AY89" s="7"/>
      <c r="AZ89" s="7">
        <f>SUM($B$89:B89)</f>
        <v>0</v>
      </c>
      <c r="BA89" s="7">
        <f>SUM($B$89:C89)</f>
        <v>0</v>
      </c>
      <c r="BB89" s="7">
        <f>SUM($B$89:D89)</f>
        <v>0</v>
      </c>
      <c r="BC89" s="7">
        <f>SUM($B$89:E89)</f>
        <v>0</v>
      </c>
      <c r="BD89" s="7">
        <f>SUM($B$89:F89)</f>
        <v>0</v>
      </c>
      <c r="BE89" s="7">
        <f>SUM($B$89:G89)</f>
        <v>0</v>
      </c>
      <c r="BF89" s="7">
        <f>SUM($B$89:H89)</f>
        <v>0</v>
      </c>
      <c r="BG89" s="7">
        <f>SUM($B$89:I89)</f>
        <v>0</v>
      </c>
      <c r="BH89" s="7">
        <f>SUM($B$89:J89)</f>
        <v>0</v>
      </c>
      <c r="BI89" s="7">
        <f>SUM($B$89:K89)</f>
        <v>0</v>
      </c>
      <c r="BJ89" s="7">
        <f>SUM($B$89:L89)</f>
        <v>0</v>
      </c>
      <c r="BK89" s="7">
        <f>SUM($B$89:M89)</f>
        <v>0</v>
      </c>
      <c r="BL89" s="7">
        <f>SUM($B$89:Q89)</f>
        <v>0</v>
      </c>
      <c r="BM89" s="7">
        <f>SUM($B$89:N89)</f>
        <v>0</v>
      </c>
      <c r="BN89" s="7">
        <f>SUM($B$89:O89)</f>
        <v>0</v>
      </c>
      <c r="BO89" s="7">
        <f>SUM($B$89:P89)</f>
        <v>0</v>
      </c>
      <c r="BP89" s="7">
        <f>SUM($B$89:R89)</f>
        <v>0</v>
      </c>
      <c r="BQ89" s="7">
        <f>SUM($B$89:S89)</f>
        <v>0</v>
      </c>
      <c r="BR89" s="7">
        <f>SUM($B$89:T89)</f>
        <v>0</v>
      </c>
      <c r="BS89" s="7">
        <f>SUM($B$89:V89)</f>
        <v>0</v>
      </c>
      <c r="BT89" s="7"/>
      <c r="BU89" s="7">
        <f>SUM($BS$88:BS89)</f>
        <v>0</v>
      </c>
      <c r="BV89">
        <f t="shared" si="85"/>
        <v>0</v>
      </c>
      <c r="BW89">
        <f>SUM($BV$88:BV89)</f>
        <v>0</v>
      </c>
    </row>
    <row r="90" spans="1:75" x14ac:dyDescent="0.35">
      <c r="A90" s="114" t="s">
        <v>24</v>
      </c>
      <c r="B90" s="7"/>
      <c r="C90" s="7"/>
      <c r="D90" s="7"/>
      <c r="E90" s="7"/>
      <c r="F90" s="7"/>
      <c r="G90" s="7"/>
      <c r="H90" s="7"/>
      <c r="I90" s="7"/>
      <c r="J90" s="7"/>
      <c r="K90" s="7"/>
      <c r="L90" s="7"/>
      <c r="M90" s="7"/>
      <c r="N90" s="7"/>
      <c r="O90" s="7"/>
      <c r="P90" s="7"/>
      <c r="Q90" s="7"/>
      <c r="R90" s="7"/>
      <c r="S90" s="7"/>
      <c r="T90" s="7"/>
      <c r="U90" s="7"/>
      <c r="V90" s="7"/>
      <c r="W90" s="7">
        <f t="shared" si="95"/>
        <v>0</v>
      </c>
      <c r="X90" s="7">
        <f t="shared" si="96"/>
        <v>0</v>
      </c>
      <c r="Y90" s="7">
        <f t="shared" si="97"/>
        <v>0</v>
      </c>
      <c r="Z90" s="46"/>
      <c r="AA90" s="192"/>
      <c r="AB90" s="7">
        <f t="shared" si="98"/>
        <v>0</v>
      </c>
      <c r="AC90" s="7" t="s">
        <v>24</v>
      </c>
      <c r="AD90" s="7">
        <f t="shared" si="100"/>
        <v>0</v>
      </c>
      <c r="AE90" s="7">
        <f t="shared" si="100"/>
        <v>0</v>
      </c>
      <c r="AF90" s="7">
        <f t="shared" si="100"/>
        <v>0</v>
      </c>
      <c r="AG90" s="7">
        <f t="shared" si="100"/>
        <v>0</v>
      </c>
      <c r="AH90" s="7">
        <f t="shared" si="100"/>
        <v>0</v>
      </c>
      <c r="AI90" s="7">
        <f t="shared" si="100"/>
        <v>0</v>
      </c>
      <c r="AJ90" s="7">
        <f t="shared" si="100"/>
        <v>0</v>
      </c>
      <c r="AK90" s="7">
        <f t="shared" si="100"/>
        <v>0</v>
      </c>
      <c r="AL90" s="7">
        <f t="shared" si="100"/>
        <v>0</v>
      </c>
      <c r="AM90" s="7">
        <f t="shared" si="100"/>
        <v>0</v>
      </c>
      <c r="AN90" s="7">
        <f t="shared" si="101"/>
        <v>0</v>
      </c>
      <c r="AO90" s="7">
        <f t="shared" si="101"/>
        <v>0</v>
      </c>
      <c r="AP90" s="7">
        <f t="shared" si="101"/>
        <v>0</v>
      </c>
      <c r="AQ90" s="7">
        <f t="shared" si="101"/>
        <v>0</v>
      </c>
      <c r="AR90" s="7">
        <f t="shared" si="101"/>
        <v>0</v>
      </c>
      <c r="AS90" s="7">
        <f t="shared" si="101"/>
        <v>0</v>
      </c>
      <c r="AT90" s="7">
        <f t="shared" si="101"/>
        <v>0</v>
      </c>
      <c r="AU90" s="7">
        <f t="shared" si="102"/>
        <v>0</v>
      </c>
      <c r="AV90" s="7">
        <f t="shared" si="103"/>
        <v>0</v>
      </c>
      <c r="AW90" s="7">
        <f t="shared" si="103"/>
        <v>0</v>
      </c>
      <c r="AX90" s="7"/>
      <c r="AY90" s="7"/>
      <c r="AZ90" s="7">
        <f>SUM($B$90:B90)</f>
        <v>0</v>
      </c>
      <c r="BA90" s="7">
        <f>SUM($B$90:C90)</f>
        <v>0</v>
      </c>
      <c r="BB90" s="7">
        <f>SUM($B$90:D90)</f>
        <v>0</v>
      </c>
      <c r="BC90" s="7">
        <f>SUM($B$90:E90)</f>
        <v>0</v>
      </c>
      <c r="BD90" s="7">
        <f>SUM($B$90:F90)</f>
        <v>0</v>
      </c>
      <c r="BE90" s="7">
        <f>SUM($B$90:G90)</f>
        <v>0</v>
      </c>
      <c r="BF90" s="7">
        <f>SUM($B$90:H90)</f>
        <v>0</v>
      </c>
      <c r="BG90" s="7">
        <f>SUM($B$90:I90)</f>
        <v>0</v>
      </c>
      <c r="BH90" s="7">
        <f>SUM($B$90:J90)</f>
        <v>0</v>
      </c>
      <c r="BI90" s="7">
        <f>SUM($B$90:K90)</f>
        <v>0</v>
      </c>
      <c r="BJ90" s="7">
        <f>SUM($B$90:L90)</f>
        <v>0</v>
      </c>
      <c r="BK90" s="7">
        <f>SUM($B$90:M90)</f>
        <v>0</v>
      </c>
      <c r="BL90" s="7">
        <f>SUM($B$90:Q90)</f>
        <v>0</v>
      </c>
      <c r="BM90" s="7">
        <f>SUM($B$90:N90)</f>
        <v>0</v>
      </c>
      <c r="BN90" s="7">
        <f>SUM($B$90:O90)</f>
        <v>0</v>
      </c>
      <c r="BO90" s="7">
        <f>SUM($B$90:P90)</f>
        <v>0</v>
      </c>
      <c r="BP90" s="7">
        <f>SUM($B$90:R90)</f>
        <v>0</v>
      </c>
      <c r="BQ90" s="7">
        <f>SUM($B$90:S90)</f>
        <v>0</v>
      </c>
      <c r="BR90" s="7">
        <f>SUM($B$90:T90)</f>
        <v>0</v>
      </c>
      <c r="BS90" s="7">
        <f>SUM($B$90:V90)</f>
        <v>0</v>
      </c>
      <c r="BT90" s="7"/>
      <c r="BU90" s="7">
        <f>SUM($BS$88:BS90)</f>
        <v>0</v>
      </c>
      <c r="BV90">
        <f t="shared" si="85"/>
        <v>0</v>
      </c>
      <c r="BW90">
        <f>SUM($BV$88:BV90)</f>
        <v>0</v>
      </c>
    </row>
    <row r="91" spans="1:75" x14ac:dyDescent="0.35">
      <c r="A91" s="125" t="s">
        <v>25</v>
      </c>
      <c r="B91" s="7"/>
      <c r="C91" s="7"/>
      <c r="D91" s="7"/>
      <c r="E91" s="7"/>
      <c r="F91" s="7"/>
      <c r="G91" s="7"/>
      <c r="H91" s="7"/>
      <c r="I91" s="7"/>
      <c r="J91" s="7"/>
      <c r="K91" s="7"/>
      <c r="L91" s="7"/>
      <c r="M91" s="7"/>
      <c r="N91" s="7"/>
      <c r="O91" s="7"/>
      <c r="P91" s="7"/>
      <c r="Q91" s="7"/>
      <c r="R91" s="7"/>
      <c r="S91" s="7"/>
      <c r="T91" s="7"/>
      <c r="U91" s="7"/>
      <c r="V91" s="7"/>
      <c r="W91" s="7">
        <f t="shared" si="95"/>
        <v>0</v>
      </c>
      <c r="X91" s="7">
        <f t="shared" si="96"/>
        <v>0</v>
      </c>
      <c r="Y91" s="7">
        <f t="shared" si="97"/>
        <v>0</v>
      </c>
      <c r="Z91" s="46"/>
      <c r="AA91" s="192"/>
      <c r="AB91" s="7">
        <f t="shared" si="98"/>
        <v>0</v>
      </c>
      <c r="AC91" s="7" t="s">
        <v>25</v>
      </c>
      <c r="AD91" s="7">
        <f t="shared" si="100"/>
        <v>0</v>
      </c>
      <c r="AE91" s="7">
        <f t="shared" si="100"/>
        <v>0</v>
      </c>
      <c r="AF91" s="7">
        <f t="shared" si="100"/>
        <v>0</v>
      </c>
      <c r="AG91" s="7">
        <f t="shared" si="100"/>
        <v>0</v>
      </c>
      <c r="AH91" s="7">
        <f t="shared" si="100"/>
        <v>0</v>
      </c>
      <c r="AI91" s="7">
        <f t="shared" si="100"/>
        <v>0</v>
      </c>
      <c r="AJ91" s="7">
        <f t="shared" si="100"/>
        <v>0</v>
      </c>
      <c r="AK91" s="7">
        <f t="shared" si="100"/>
        <v>0</v>
      </c>
      <c r="AL91" s="7">
        <f t="shared" si="100"/>
        <v>0</v>
      </c>
      <c r="AM91" s="7">
        <f t="shared" si="100"/>
        <v>0</v>
      </c>
      <c r="AN91" s="7">
        <f t="shared" si="101"/>
        <v>0</v>
      </c>
      <c r="AO91" s="7">
        <f t="shared" si="101"/>
        <v>0</v>
      </c>
      <c r="AP91" s="7">
        <f t="shared" si="101"/>
        <v>0</v>
      </c>
      <c r="AQ91" s="7">
        <f t="shared" si="101"/>
        <v>0</v>
      </c>
      <c r="AR91" s="7">
        <f t="shared" si="101"/>
        <v>0</v>
      </c>
      <c r="AS91" s="7">
        <f t="shared" si="101"/>
        <v>0</v>
      </c>
      <c r="AT91" s="7">
        <f t="shared" si="101"/>
        <v>0</v>
      </c>
      <c r="AU91" s="7">
        <f t="shared" si="102"/>
        <v>0</v>
      </c>
      <c r="AV91" s="7">
        <f t="shared" si="103"/>
        <v>0</v>
      </c>
      <c r="AW91" s="7">
        <f t="shared" si="103"/>
        <v>0</v>
      </c>
      <c r="AX91" s="7"/>
      <c r="AY91" s="7"/>
      <c r="AZ91" s="7">
        <f>SUM($B$91:B91)</f>
        <v>0</v>
      </c>
      <c r="BA91" s="7">
        <f>SUM($B$91:C91)</f>
        <v>0</v>
      </c>
      <c r="BB91" s="7">
        <f>SUM($B$91:D91)</f>
        <v>0</v>
      </c>
      <c r="BC91" s="7">
        <f>SUM($B$91:E91)</f>
        <v>0</v>
      </c>
      <c r="BD91" s="7">
        <f>SUM($B$91:F91)</f>
        <v>0</v>
      </c>
      <c r="BE91" s="7">
        <f>SUM($B$91:G91)</f>
        <v>0</v>
      </c>
      <c r="BF91" s="7">
        <f>SUM($B$91:H91)</f>
        <v>0</v>
      </c>
      <c r="BG91" s="7">
        <f>SUM($B$91:I91)</f>
        <v>0</v>
      </c>
      <c r="BH91" s="7">
        <f>SUM($B$91:J91)</f>
        <v>0</v>
      </c>
      <c r="BI91" s="7">
        <f>SUM($B$91:K91)</f>
        <v>0</v>
      </c>
      <c r="BJ91" s="7">
        <f>SUM($B$91:L91)</f>
        <v>0</v>
      </c>
      <c r="BK91" s="7">
        <f>SUM($B$91:M91)</f>
        <v>0</v>
      </c>
      <c r="BL91" s="7">
        <f>SUM($B$91:Q91)</f>
        <v>0</v>
      </c>
      <c r="BM91" s="7">
        <f>SUM($B$91:N91)</f>
        <v>0</v>
      </c>
      <c r="BN91" s="7">
        <f>SUM($B$91:O91)</f>
        <v>0</v>
      </c>
      <c r="BO91" s="7">
        <f>SUM($B$91:P91)</f>
        <v>0</v>
      </c>
      <c r="BP91" s="7">
        <f>SUM($B$91:R91)</f>
        <v>0</v>
      </c>
      <c r="BQ91" s="7">
        <f>SUM($B$91:S91)</f>
        <v>0</v>
      </c>
      <c r="BR91" s="7">
        <f>SUM($B$91:T91)</f>
        <v>0</v>
      </c>
      <c r="BS91" s="7">
        <f>SUM($B$91:V91)</f>
        <v>0</v>
      </c>
      <c r="BT91" s="7"/>
      <c r="BU91" s="7">
        <f>SUM($BS$88:BS91)</f>
        <v>0</v>
      </c>
      <c r="BV91">
        <f t="shared" si="85"/>
        <v>0</v>
      </c>
      <c r="BW91">
        <f>SUM($BV$88:BV91)</f>
        <v>0</v>
      </c>
    </row>
    <row r="92" spans="1:75" x14ac:dyDescent="0.35">
      <c r="A92" s="136" t="s">
        <v>26</v>
      </c>
      <c r="B92" s="7"/>
      <c r="C92" s="7"/>
      <c r="D92" s="7"/>
      <c r="E92" s="7"/>
      <c r="F92" s="7"/>
      <c r="G92" s="7"/>
      <c r="H92" s="7"/>
      <c r="I92" s="7"/>
      <c r="J92" s="7"/>
      <c r="K92" s="7"/>
      <c r="L92" s="7"/>
      <c r="M92" s="7"/>
      <c r="N92" s="7"/>
      <c r="O92" s="7"/>
      <c r="P92" s="7"/>
      <c r="Q92" s="7"/>
      <c r="R92" s="7"/>
      <c r="S92" s="7"/>
      <c r="T92" s="7"/>
      <c r="U92" s="7"/>
      <c r="V92" s="7"/>
      <c r="W92" s="7">
        <f t="shared" si="95"/>
        <v>0</v>
      </c>
      <c r="X92" s="7">
        <f t="shared" si="96"/>
        <v>0</v>
      </c>
      <c r="Y92" s="7">
        <f t="shared" si="97"/>
        <v>0</v>
      </c>
      <c r="Z92" s="46"/>
      <c r="AA92" s="192"/>
      <c r="AB92" s="7">
        <f t="shared" si="98"/>
        <v>0</v>
      </c>
      <c r="AC92" s="7" t="s">
        <v>26</v>
      </c>
      <c r="AD92" s="7">
        <f t="shared" si="100"/>
        <v>0</v>
      </c>
      <c r="AE92" s="7">
        <f t="shared" si="100"/>
        <v>0</v>
      </c>
      <c r="AF92" s="7">
        <f t="shared" si="100"/>
        <v>0</v>
      </c>
      <c r="AG92" s="7">
        <f t="shared" si="100"/>
        <v>0</v>
      </c>
      <c r="AH92" s="7">
        <f t="shared" si="100"/>
        <v>0</v>
      </c>
      <c r="AI92" s="7">
        <f t="shared" si="100"/>
        <v>0</v>
      </c>
      <c r="AJ92" s="7">
        <f t="shared" si="100"/>
        <v>0</v>
      </c>
      <c r="AK92" s="7">
        <f t="shared" si="100"/>
        <v>0</v>
      </c>
      <c r="AL92" s="7">
        <f t="shared" si="100"/>
        <v>0</v>
      </c>
      <c r="AM92" s="7">
        <f t="shared" si="100"/>
        <v>0</v>
      </c>
      <c r="AN92" s="7">
        <f t="shared" si="101"/>
        <v>0</v>
      </c>
      <c r="AO92" s="7">
        <f t="shared" si="101"/>
        <v>0</v>
      </c>
      <c r="AP92" s="7">
        <f t="shared" si="101"/>
        <v>0</v>
      </c>
      <c r="AQ92" s="7">
        <f t="shared" si="101"/>
        <v>0</v>
      </c>
      <c r="AR92" s="7">
        <f t="shared" si="101"/>
        <v>0</v>
      </c>
      <c r="AS92" s="7">
        <f t="shared" si="101"/>
        <v>0</v>
      </c>
      <c r="AT92" s="7">
        <f t="shared" si="101"/>
        <v>0</v>
      </c>
      <c r="AU92" s="7">
        <f t="shared" si="102"/>
        <v>0</v>
      </c>
      <c r="AV92" s="7">
        <f t="shared" si="103"/>
        <v>0</v>
      </c>
      <c r="AW92" s="7">
        <f t="shared" si="103"/>
        <v>0</v>
      </c>
      <c r="AX92" s="7"/>
      <c r="AY92" s="7"/>
      <c r="AZ92" s="7">
        <f>SUM($B$92:B92)</f>
        <v>0</v>
      </c>
      <c r="BA92" s="7">
        <f>SUM($B$92:C92)</f>
        <v>0</v>
      </c>
      <c r="BB92" s="7">
        <f>SUM($B$92:D92)</f>
        <v>0</v>
      </c>
      <c r="BC92" s="7">
        <f>SUM($B$92:E92)</f>
        <v>0</v>
      </c>
      <c r="BD92" s="7">
        <f>SUM($B$92:F92)</f>
        <v>0</v>
      </c>
      <c r="BE92" s="7">
        <f>SUM($B$92:G92)</f>
        <v>0</v>
      </c>
      <c r="BF92" s="7">
        <f>SUM($B$92:H92)</f>
        <v>0</v>
      </c>
      <c r="BG92" s="7">
        <f>SUM($B$92:I92)</f>
        <v>0</v>
      </c>
      <c r="BH92" s="7">
        <f>SUM($B$92:J92)</f>
        <v>0</v>
      </c>
      <c r="BI92" s="7">
        <f>SUM($B$92:K92)</f>
        <v>0</v>
      </c>
      <c r="BJ92" s="7">
        <f>SUM($B$92:L92)</f>
        <v>0</v>
      </c>
      <c r="BK92" s="7">
        <f>SUM($B$92:M92)</f>
        <v>0</v>
      </c>
      <c r="BL92" s="7">
        <f>SUM($B$92:Q92)</f>
        <v>0</v>
      </c>
      <c r="BM92" s="7">
        <f>SUM($B$92:N92)</f>
        <v>0</v>
      </c>
      <c r="BN92" s="7">
        <f>SUM($B$92:O92)</f>
        <v>0</v>
      </c>
      <c r="BO92" s="7">
        <f>SUM($B$92:P92)</f>
        <v>0</v>
      </c>
      <c r="BP92" s="7">
        <f>SUM($B$92:R92)</f>
        <v>0</v>
      </c>
      <c r="BQ92" s="7">
        <f>SUM($B$92:S92)</f>
        <v>0</v>
      </c>
      <c r="BR92" s="7">
        <f>SUM($B$92:T92)</f>
        <v>0</v>
      </c>
      <c r="BS92" s="7">
        <f>SUM($B$92:V92)</f>
        <v>0</v>
      </c>
      <c r="BT92" s="7"/>
      <c r="BU92" s="7">
        <f>SUM($BS$88:BS92)</f>
        <v>0</v>
      </c>
      <c r="BV92">
        <f t="shared" si="85"/>
        <v>0</v>
      </c>
      <c r="BW92">
        <f>SUM($BV$88:BV92)</f>
        <v>0</v>
      </c>
    </row>
    <row r="93" spans="1:75" x14ac:dyDescent="0.35">
      <c r="A93" s="147" t="s">
        <v>27</v>
      </c>
      <c r="B93" s="7"/>
      <c r="C93" s="7"/>
      <c r="D93" s="7"/>
      <c r="E93" s="7"/>
      <c r="F93" s="7"/>
      <c r="G93" s="7"/>
      <c r="H93" s="7"/>
      <c r="I93" s="7"/>
      <c r="J93" s="7"/>
      <c r="K93" s="7"/>
      <c r="L93" s="7"/>
      <c r="M93" s="7"/>
      <c r="N93" s="7"/>
      <c r="O93" s="7"/>
      <c r="P93" s="7"/>
      <c r="Q93" s="7"/>
      <c r="R93" s="7"/>
      <c r="S93" s="7"/>
      <c r="T93" s="7"/>
      <c r="U93" s="7"/>
      <c r="V93" s="7"/>
      <c r="W93" s="7">
        <f t="shared" si="95"/>
        <v>0</v>
      </c>
      <c r="X93" s="7">
        <f t="shared" si="96"/>
        <v>0</v>
      </c>
      <c r="Y93" s="7">
        <f t="shared" si="97"/>
        <v>0</v>
      </c>
      <c r="Z93" s="46"/>
      <c r="AA93" s="192"/>
      <c r="AB93" s="7">
        <f t="shared" si="98"/>
        <v>0</v>
      </c>
      <c r="AC93" s="7" t="s">
        <v>27</v>
      </c>
      <c r="AD93" s="7">
        <f t="shared" si="100"/>
        <v>0</v>
      </c>
      <c r="AE93" s="7">
        <f t="shared" si="100"/>
        <v>0</v>
      </c>
      <c r="AF93" s="7">
        <f t="shared" si="100"/>
        <v>0</v>
      </c>
      <c r="AG93" s="7">
        <f t="shared" si="100"/>
        <v>0</v>
      </c>
      <c r="AH93" s="7">
        <f t="shared" si="100"/>
        <v>0</v>
      </c>
      <c r="AI93" s="7">
        <f t="shared" si="100"/>
        <v>0</v>
      </c>
      <c r="AJ93" s="7">
        <f t="shared" si="100"/>
        <v>0</v>
      </c>
      <c r="AK93" s="7">
        <f t="shared" si="100"/>
        <v>0</v>
      </c>
      <c r="AL93" s="7">
        <f t="shared" si="100"/>
        <v>0</v>
      </c>
      <c r="AM93" s="7">
        <f t="shared" si="100"/>
        <v>0</v>
      </c>
      <c r="AN93" s="7">
        <f t="shared" si="101"/>
        <v>0</v>
      </c>
      <c r="AO93" s="7">
        <f t="shared" si="101"/>
        <v>0</v>
      </c>
      <c r="AP93" s="7">
        <f t="shared" si="101"/>
        <v>0</v>
      </c>
      <c r="AQ93" s="7">
        <f t="shared" si="101"/>
        <v>0</v>
      </c>
      <c r="AR93" s="7">
        <f t="shared" si="101"/>
        <v>0</v>
      </c>
      <c r="AS93" s="7">
        <f t="shared" si="101"/>
        <v>0</v>
      </c>
      <c r="AT93" s="7">
        <f t="shared" si="101"/>
        <v>0</v>
      </c>
      <c r="AU93" s="7">
        <f t="shared" si="102"/>
        <v>0</v>
      </c>
      <c r="AV93" s="7">
        <f t="shared" si="103"/>
        <v>0</v>
      </c>
      <c r="AW93" s="7">
        <f t="shared" si="103"/>
        <v>0</v>
      </c>
      <c r="AX93" s="7"/>
      <c r="AY93" s="7"/>
      <c r="AZ93" s="7">
        <f>SUM($B$93:B93)</f>
        <v>0</v>
      </c>
      <c r="BA93" s="7">
        <f>SUM($B$93:C93)</f>
        <v>0</v>
      </c>
      <c r="BB93" s="7">
        <f>SUM($B$93:D93)</f>
        <v>0</v>
      </c>
      <c r="BC93" s="7">
        <f>SUM($B$93:E93)</f>
        <v>0</v>
      </c>
      <c r="BD93" s="7">
        <f>SUM($B$93:F93)</f>
        <v>0</v>
      </c>
      <c r="BE93" s="7">
        <f>SUM($B$93:G93)</f>
        <v>0</v>
      </c>
      <c r="BF93" s="7">
        <f>SUM($B$93:H93)</f>
        <v>0</v>
      </c>
      <c r="BG93" s="7">
        <f>SUM($B$93:I93)</f>
        <v>0</v>
      </c>
      <c r="BH93" s="7">
        <f>SUM($B$93:J93)</f>
        <v>0</v>
      </c>
      <c r="BI93" s="7">
        <f>SUM($B$93:K93)</f>
        <v>0</v>
      </c>
      <c r="BJ93" s="7">
        <f>SUM($B$93:L93)</f>
        <v>0</v>
      </c>
      <c r="BK93" s="7">
        <f>SUM($B$93:M93)</f>
        <v>0</v>
      </c>
      <c r="BL93" s="7">
        <f>SUM($B$93:Q93)</f>
        <v>0</v>
      </c>
      <c r="BM93" s="7">
        <f>SUM($B$93:N93)</f>
        <v>0</v>
      </c>
      <c r="BN93" s="7">
        <f>SUM($B$93:O93)</f>
        <v>0</v>
      </c>
      <c r="BO93" s="7">
        <f>SUM($B$93:P93)</f>
        <v>0</v>
      </c>
      <c r="BP93" s="7">
        <f>SUM($B$93:R93)</f>
        <v>0</v>
      </c>
      <c r="BQ93" s="7">
        <f>SUM($B$93:S93)</f>
        <v>0</v>
      </c>
      <c r="BR93" s="7">
        <f>SUM($B$93:T93)</f>
        <v>0</v>
      </c>
      <c r="BS93" s="7">
        <f>SUM($B$93:V93)</f>
        <v>0</v>
      </c>
      <c r="BT93" s="7"/>
      <c r="BU93" s="7">
        <f>SUM($BS$88:BS93)</f>
        <v>0</v>
      </c>
      <c r="BV93">
        <f t="shared" si="85"/>
        <v>0</v>
      </c>
      <c r="BW93">
        <f>SUM($BV$88:BV93)</f>
        <v>0</v>
      </c>
    </row>
    <row r="94" spans="1:75" x14ac:dyDescent="0.35">
      <c r="A94" s="157" t="s">
        <v>28</v>
      </c>
      <c r="B94" s="7"/>
      <c r="C94" s="7"/>
      <c r="D94" s="7"/>
      <c r="E94" s="7"/>
      <c r="F94" s="7"/>
      <c r="G94" s="7"/>
      <c r="H94" s="7"/>
      <c r="I94" s="7"/>
      <c r="J94" s="7"/>
      <c r="K94" s="7"/>
      <c r="L94" s="7"/>
      <c r="M94" s="7"/>
      <c r="N94" s="7"/>
      <c r="O94" s="7"/>
      <c r="P94" s="7"/>
      <c r="Q94" s="7"/>
      <c r="R94" s="7"/>
      <c r="S94" s="7"/>
      <c r="T94" s="7"/>
      <c r="U94" s="7"/>
      <c r="V94" s="7"/>
      <c r="W94" s="7">
        <f t="shared" si="95"/>
        <v>0</v>
      </c>
      <c r="X94" s="7">
        <f t="shared" si="96"/>
        <v>0</v>
      </c>
      <c r="Y94" s="7">
        <f t="shared" si="97"/>
        <v>0</v>
      </c>
      <c r="Z94" s="46"/>
      <c r="AA94" s="192"/>
      <c r="AB94" s="7">
        <f t="shared" si="98"/>
        <v>0</v>
      </c>
      <c r="AC94" s="7" t="s">
        <v>28</v>
      </c>
      <c r="AD94" s="7">
        <f t="shared" si="100"/>
        <v>0</v>
      </c>
      <c r="AE94" s="7">
        <f t="shared" si="100"/>
        <v>0</v>
      </c>
      <c r="AF94" s="7">
        <f t="shared" si="100"/>
        <v>0</v>
      </c>
      <c r="AG94" s="7">
        <f t="shared" si="100"/>
        <v>0</v>
      </c>
      <c r="AH94" s="7">
        <f t="shared" si="100"/>
        <v>0</v>
      </c>
      <c r="AI94" s="7">
        <f t="shared" si="100"/>
        <v>0</v>
      </c>
      <c r="AJ94" s="7">
        <f t="shared" si="100"/>
        <v>0</v>
      </c>
      <c r="AK94" s="7">
        <f t="shared" si="100"/>
        <v>0</v>
      </c>
      <c r="AL94" s="7">
        <f t="shared" si="100"/>
        <v>0</v>
      </c>
      <c r="AM94" s="7">
        <f t="shared" si="100"/>
        <v>0</v>
      </c>
      <c r="AN94" s="7">
        <f t="shared" si="101"/>
        <v>0</v>
      </c>
      <c r="AO94" s="7">
        <f t="shared" si="101"/>
        <v>0</v>
      </c>
      <c r="AP94" s="7">
        <f t="shared" si="101"/>
        <v>0</v>
      </c>
      <c r="AQ94" s="7">
        <f t="shared" si="101"/>
        <v>0</v>
      </c>
      <c r="AR94" s="7">
        <f t="shared" si="101"/>
        <v>0</v>
      </c>
      <c r="AS94" s="7">
        <f t="shared" si="101"/>
        <v>0</v>
      </c>
      <c r="AT94" s="7">
        <f t="shared" si="101"/>
        <v>0</v>
      </c>
      <c r="AU94" s="7">
        <f t="shared" si="102"/>
        <v>0</v>
      </c>
      <c r="AV94" s="7">
        <f t="shared" si="103"/>
        <v>0</v>
      </c>
      <c r="AW94" s="7">
        <f t="shared" si="103"/>
        <v>0</v>
      </c>
      <c r="AX94" s="7"/>
      <c r="AY94" s="7"/>
      <c r="AZ94" s="7">
        <f>SUM($B$94:B94)</f>
        <v>0</v>
      </c>
      <c r="BA94" s="7">
        <f>SUM($B$94:C94)</f>
        <v>0</v>
      </c>
      <c r="BB94" s="7">
        <f>SUM($B$94:D94)</f>
        <v>0</v>
      </c>
      <c r="BC94" s="7">
        <f>SUM($B$94:E94)</f>
        <v>0</v>
      </c>
      <c r="BD94" s="7">
        <f>SUM($B$94:F94)</f>
        <v>0</v>
      </c>
      <c r="BE94" s="7">
        <f>SUM($B$94:G94)</f>
        <v>0</v>
      </c>
      <c r="BF94" s="7">
        <f>SUM($B$94:H94)</f>
        <v>0</v>
      </c>
      <c r="BG94" s="7">
        <f>SUM($B$94:I94)</f>
        <v>0</v>
      </c>
      <c r="BH94" s="7">
        <f>SUM($B$94:J94)</f>
        <v>0</v>
      </c>
      <c r="BI94" s="7">
        <f>SUM($B$94:K94)</f>
        <v>0</v>
      </c>
      <c r="BJ94" s="7">
        <f>SUM($B$94:L94)</f>
        <v>0</v>
      </c>
      <c r="BK94" s="7">
        <f>SUM($B$94:M94)</f>
        <v>0</v>
      </c>
      <c r="BL94" s="7">
        <f>SUM($B$94:Q94)</f>
        <v>0</v>
      </c>
      <c r="BM94" s="7">
        <f>SUM($B$94:N94)</f>
        <v>0</v>
      </c>
      <c r="BN94" s="7">
        <f>SUM($B$94:O94)</f>
        <v>0</v>
      </c>
      <c r="BO94" s="7">
        <f>SUM($B$94:P94)</f>
        <v>0</v>
      </c>
      <c r="BP94" s="7">
        <f>SUM($B$94:R94)</f>
        <v>0</v>
      </c>
      <c r="BQ94" s="7">
        <f>SUM($B$94:S94)</f>
        <v>0</v>
      </c>
      <c r="BR94" s="7">
        <f>SUM($B$94:T94)</f>
        <v>0</v>
      </c>
      <c r="BS94" s="7">
        <f>SUM($B$94:V94)</f>
        <v>0</v>
      </c>
      <c r="BT94" s="7"/>
      <c r="BU94" s="7">
        <f>SUM($BS$88:BS94)</f>
        <v>0</v>
      </c>
      <c r="BV94">
        <f t="shared" si="85"/>
        <v>0</v>
      </c>
      <c r="BW94">
        <f>SUM($BV$88:BV94)</f>
        <v>0</v>
      </c>
    </row>
    <row r="95" spans="1:75" x14ac:dyDescent="0.35">
      <c r="A95" s="47" t="s">
        <v>29</v>
      </c>
      <c r="B95" s="7">
        <f t="shared" ref="B95:T95" si="104">SUM(B88:B94)</f>
        <v>0</v>
      </c>
      <c r="C95" s="7">
        <f t="shared" si="104"/>
        <v>0</v>
      </c>
      <c r="D95" s="7">
        <f t="shared" si="104"/>
        <v>0</v>
      </c>
      <c r="E95" s="7">
        <f t="shared" si="104"/>
        <v>0</v>
      </c>
      <c r="F95" s="7">
        <f t="shared" si="104"/>
        <v>0</v>
      </c>
      <c r="G95" s="7">
        <f t="shared" si="104"/>
        <v>0</v>
      </c>
      <c r="H95" s="7">
        <f t="shared" si="104"/>
        <v>0</v>
      </c>
      <c r="I95" s="7">
        <f t="shared" si="104"/>
        <v>0</v>
      </c>
      <c r="J95" s="7">
        <f t="shared" si="104"/>
        <v>0</v>
      </c>
      <c r="K95" s="7">
        <f>SUM(K88:K94)</f>
        <v>0</v>
      </c>
      <c r="L95" s="7">
        <f t="shared" si="104"/>
        <v>0</v>
      </c>
      <c r="M95" s="7">
        <f t="shared" si="104"/>
        <v>0</v>
      </c>
      <c r="N95" s="7">
        <f t="shared" si="104"/>
        <v>0</v>
      </c>
      <c r="O95" s="7">
        <f t="shared" si="104"/>
        <v>0</v>
      </c>
      <c r="P95" s="7">
        <f t="shared" si="104"/>
        <v>0</v>
      </c>
      <c r="Q95" s="7">
        <f>SUM(Q88:Q94)</f>
        <v>0</v>
      </c>
      <c r="R95" s="7">
        <f t="shared" si="104"/>
        <v>0</v>
      </c>
      <c r="S95" s="7">
        <f t="shared" si="104"/>
        <v>0</v>
      </c>
      <c r="T95" s="7">
        <f t="shared" si="104"/>
        <v>0</v>
      </c>
      <c r="U95" s="7">
        <f t="shared" ref="U95" si="105">SUM(U88:U94)</f>
        <v>0</v>
      </c>
      <c r="V95" s="7">
        <f>SUM(V88:V94)</f>
        <v>0</v>
      </c>
      <c r="W95" s="31">
        <f>SUM(W88:W94)</f>
        <v>0</v>
      </c>
      <c r="X95" s="7"/>
      <c r="Y95" s="7"/>
      <c r="Z95" s="46" t="s">
        <v>174</v>
      </c>
      <c r="AA95" s="19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row>
    <row r="96" spans="1:75" x14ac:dyDescent="0.35">
      <c r="A96" s="47" t="s">
        <v>33</v>
      </c>
      <c r="B96" s="7">
        <f t="shared" ref="B96:U96" si="106">B95-B81</f>
        <v>0</v>
      </c>
      <c r="C96" s="7">
        <f t="shared" si="106"/>
        <v>0</v>
      </c>
      <c r="D96" s="7">
        <f t="shared" si="106"/>
        <v>0</v>
      </c>
      <c r="E96" s="7">
        <f t="shared" si="106"/>
        <v>0</v>
      </c>
      <c r="F96" s="7">
        <f t="shared" si="106"/>
        <v>0</v>
      </c>
      <c r="G96" s="7">
        <f t="shared" si="106"/>
        <v>0</v>
      </c>
      <c r="H96" s="7">
        <f t="shared" si="106"/>
        <v>0</v>
      </c>
      <c r="I96" s="7">
        <f t="shared" si="106"/>
        <v>0</v>
      </c>
      <c r="J96" s="7">
        <f t="shared" si="106"/>
        <v>0</v>
      </c>
      <c r="K96" s="7">
        <f t="shared" si="106"/>
        <v>0</v>
      </c>
      <c r="L96" s="7">
        <f t="shared" si="106"/>
        <v>0</v>
      </c>
      <c r="M96" s="7">
        <f t="shared" si="106"/>
        <v>0</v>
      </c>
      <c r="N96" s="7">
        <f t="shared" si="106"/>
        <v>0</v>
      </c>
      <c r="O96" s="7">
        <f t="shared" si="106"/>
        <v>0</v>
      </c>
      <c r="P96" s="7">
        <f t="shared" si="106"/>
        <v>0</v>
      </c>
      <c r="Q96" s="7">
        <f t="shared" si="106"/>
        <v>0</v>
      </c>
      <c r="R96" s="7">
        <f t="shared" si="106"/>
        <v>0</v>
      </c>
      <c r="S96" s="7">
        <f t="shared" si="106"/>
        <v>0</v>
      </c>
      <c r="T96" s="7">
        <f t="shared" si="106"/>
        <v>0</v>
      </c>
      <c r="U96" s="7">
        <f t="shared" si="106"/>
        <v>0</v>
      </c>
      <c r="V96" s="7">
        <f>V95-V81</f>
        <v>0</v>
      </c>
      <c r="W96" s="7">
        <f>W95-W81</f>
        <v>0</v>
      </c>
      <c r="X96" s="7"/>
      <c r="Y96" s="7"/>
      <c r="Z96" s="46"/>
      <c r="AA96" s="19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row>
    <row r="97" spans="1:75" x14ac:dyDescent="0.35">
      <c r="A97" s="47" t="s">
        <v>110</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cm="1">
        <f t="array" ref="S97">IF(COUNTIF(AU87:AU93,0)=0,
    LOOKUP(2,1/(AU87:AU93&lt;&gt;""),AU87:AU93),
    MATCH(0,INDEX(AU87:AU93,MAX(ROW(AU87:AU93))-ROW(AU87:AU93)+1),0)-1
)</f>
        <v>0</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19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row>
    <row r="98" spans="1:75" x14ac:dyDescent="0.35">
      <c r="A98" s="47" t="s">
        <v>99</v>
      </c>
      <c r="B98" s="7">
        <f t="shared" ref="B98:U98" si="107">B95+B84</f>
        <v>2</v>
      </c>
      <c r="C98" s="7">
        <f t="shared" si="107"/>
        <v>0</v>
      </c>
      <c r="D98" s="7">
        <f t="shared" si="107"/>
        <v>5</v>
      </c>
      <c r="E98" s="7">
        <f t="shared" si="107"/>
        <v>9</v>
      </c>
      <c r="F98" s="7">
        <f t="shared" si="107"/>
        <v>4</v>
      </c>
      <c r="G98" s="7">
        <f t="shared" si="107"/>
        <v>0</v>
      </c>
      <c r="H98" s="7">
        <f t="shared" si="107"/>
        <v>0</v>
      </c>
      <c r="I98" s="7">
        <f t="shared" si="107"/>
        <v>3</v>
      </c>
      <c r="J98" s="7">
        <f t="shared" si="107"/>
        <v>0</v>
      </c>
      <c r="K98" s="7">
        <f t="shared" si="107"/>
        <v>0.75</v>
      </c>
      <c r="L98" s="7">
        <f t="shared" si="107"/>
        <v>2</v>
      </c>
      <c r="M98" s="7">
        <f t="shared" si="107"/>
        <v>1</v>
      </c>
      <c r="N98" s="7">
        <f t="shared" si="107"/>
        <v>2.5</v>
      </c>
      <c r="O98" s="7">
        <f t="shared" si="107"/>
        <v>2</v>
      </c>
      <c r="P98" s="7">
        <f t="shared" si="107"/>
        <v>0</v>
      </c>
      <c r="Q98" s="7">
        <f t="shared" si="107"/>
        <v>0</v>
      </c>
      <c r="R98" s="7">
        <f t="shared" si="107"/>
        <v>1</v>
      </c>
      <c r="S98" s="7">
        <f t="shared" si="107"/>
        <v>3</v>
      </c>
      <c r="T98" s="7">
        <f t="shared" si="107"/>
        <v>0</v>
      </c>
      <c r="U98" s="7">
        <f t="shared" si="107"/>
        <v>-1</v>
      </c>
      <c r="V98" s="7">
        <f>V95+V84</f>
        <v>2</v>
      </c>
      <c r="W98" s="7">
        <f>SUM(W84,W95)</f>
        <v>36.25</v>
      </c>
      <c r="X98" s="7"/>
      <c r="Y98" s="7">
        <f>SUM(Y88:Y94)</f>
        <v>0</v>
      </c>
      <c r="Z98" s="46"/>
      <c r="AA98" s="19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row>
    <row r="99" spans="1:75" x14ac:dyDescent="0.35">
      <c r="A99" s="47" t="s">
        <v>112</v>
      </c>
      <c r="B99" s="174">
        <f>(COUNTIF(B4:B10, "&gt;0")+COUNTIF(B18:B24, "&gt;0")+COUNTIF(B32:B38, "&gt;0")+COUNTIF(B46:B52, "&gt;0")+COUNTIF(B60:B66, "&gt;0")+COUNTIF(B74:B80, "&gt;0") + COUNTIF(B88:B94, "&gt;0")) / 49</f>
        <v>2.0408163265306121E-2</v>
      </c>
      <c r="C99" s="174">
        <f t="shared" ref="C99:O99" si="108">(COUNTIF(C4:C10, "&gt;0")+COUNTIF(C18:C24, "&gt;0")+COUNTIF(C32:C38, "&gt;0")+COUNTIF(C46:C52, "&gt;0")+COUNTIF(C60:C66, "&gt;0")+COUNTIF(C74:C80, "&gt;0") + COUNTIF(C88:C94, "&gt;0")) / 49</f>
        <v>0</v>
      </c>
      <c r="D99" s="174">
        <f t="shared" si="108"/>
        <v>2.0408163265306121E-2</v>
      </c>
      <c r="E99" s="174">
        <f t="shared" si="108"/>
        <v>2.0408163265306121E-2</v>
      </c>
      <c r="F99" s="174">
        <f t="shared" si="108"/>
        <v>2.0408163265306121E-2</v>
      </c>
      <c r="G99" s="174">
        <f t="shared" si="108"/>
        <v>0</v>
      </c>
      <c r="H99" s="174">
        <f t="shared" si="108"/>
        <v>0</v>
      </c>
      <c r="I99" s="174">
        <f t="shared" si="108"/>
        <v>2.0408163265306121E-2</v>
      </c>
      <c r="J99" s="174">
        <f t="shared" si="108"/>
        <v>0</v>
      </c>
      <c r="K99" s="174">
        <f t="shared" si="108"/>
        <v>2.0408163265306121E-2</v>
      </c>
      <c r="L99" s="174">
        <f t="shared" si="108"/>
        <v>2.0408163265306121E-2</v>
      </c>
      <c r="M99" s="174">
        <f t="shared" si="108"/>
        <v>2.0408163265306121E-2</v>
      </c>
      <c r="N99" s="174">
        <f t="shared" si="108"/>
        <v>2.0408163265306121E-2</v>
      </c>
      <c r="O99" s="174">
        <f t="shared" si="108"/>
        <v>2.0408163265306121E-2</v>
      </c>
      <c r="P99" s="7"/>
      <c r="Q99" s="7"/>
      <c r="R99" s="7"/>
      <c r="S99" s="7"/>
      <c r="T99" s="7"/>
      <c r="U99" s="47" t="s">
        <v>31</v>
      </c>
      <c r="V99" s="7">
        <f>SUMIF(B95:V95,"&lt;0",B95:V95)</f>
        <v>0</v>
      </c>
      <c r="W99" s="7">
        <f>SUMIF(B95:V95,"&gt;0",B95:V95)</f>
        <v>0</v>
      </c>
      <c r="Y99" s="7"/>
      <c r="Z99" s="46"/>
      <c r="AA99" s="19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row>
    <row r="100" spans="1:75"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t="s">
        <v>127</v>
      </c>
      <c r="BA100" s="7"/>
      <c r="BB100" s="7"/>
      <c r="BC100" s="7"/>
      <c r="BD100" s="7"/>
      <c r="BE100" s="7"/>
      <c r="BF100" s="7"/>
      <c r="BG100" s="7"/>
      <c r="BH100" s="7"/>
      <c r="BI100" s="7"/>
      <c r="BJ100" s="7"/>
      <c r="BK100" s="7"/>
      <c r="BL100" s="7"/>
      <c r="BM100" s="7"/>
      <c r="BN100" s="7"/>
      <c r="BO100" s="7"/>
      <c r="BP100" s="7"/>
      <c r="BQ100" s="7"/>
      <c r="BR100" s="7"/>
      <c r="BS100" s="7"/>
      <c r="BT100" s="7"/>
      <c r="BU100" s="7"/>
    </row>
    <row r="101" spans="1:75" x14ac:dyDescent="0.35">
      <c r="A101" s="103" t="s">
        <v>40</v>
      </c>
      <c r="B101" s="56">
        <f>C87+1</f>
        <v>46076</v>
      </c>
      <c r="C101" s="56">
        <f>B101+6</f>
        <v>46082</v>
      </c>
      <c r="D101" s="7"/>
      <c r="E101" s="7"/>
      <c r="F101" s="7"/>
      <c r="G101" s="7"/>
      <c r="H101" s="7"/>
      <c r="I101" s="7"/>
      <c r="J101" s="7"/>
      <c r="K101" s="7" t="s">
        <v>140</v>
      </c>
      <c r="L101" s="7"/>
      <c r="M101" s="7"/>
      <c r="N101" s="7"/>
      <c r="O101" s="7"/>
      <c r="P101" s="7"/>
      <c r="Q101" s="7"/>
      <c r="R101" s="7"/>
      <c r="S101" s="7"/>
      <c r="T101" s="7"/>
      <c r="U101" s="7"/>
      <c r="V101" s="7"/>
      <c r="W101" s="7"/>
      <c r="X101" s="7"/>
      <c r="Y101" s="7"/>
      <c r="Z101" s="11"/>
      <c r="AA101" s="11"/>
      <c r="AB101" s="7"/>
      <c r="AC101" s="7" t="s">
        <v>69</v>
      </c>
      <c r="AD101" s="7"/>
      <c r="AE101" s="7"/>
      <c r="AF101" s="7"/>
      <c r="AG101" s="7"/>
      <c r="AH101" s="7"/>
      <c r="AI101" s="7"/>
      <c r="AJ101" s="7"/>
      <c r="AK101" s="7"/>
      <c r="AL101" s="7"/>
      <c r="AM101" s="7"/>
      <c r="AN101" s="7"/>
      <c r="AO101" s="7"/>
      <c r="AP101" s="7"/>
      <c r="AQ101" s="7"/>
      <c r="AR101" s="7"/>
      <c r="AS101" s="7"/>
      <c r="AT101" s="7"/>
      <c r="AU101" s="7"/>
      <c r="AV101" s="7"/>
      <c r="AW101" s="7"/>
      <c r="AX101" s="7"/>
      <c r="AY101" s="7"/>
      <c r="AZ101" s="12"/>
      <c r="BA101" s="12"/>
      <c r="BB101" s="12"/>
      <c r="BC101" s="12"/>
      <c r="BD101" s="12"/>
      <c r="BE101" s="12"/>
      <c r="BF101" s="12"/>
      <c r="BG101" s="12"/>
      <c r="BH101" s="12"/>
      <c r="BI101" s="12"/>
      <c r="BJ101" s="12"/>
      <c r="BK101" s="12"/>
      <c r="BL101" s="12"/>
      <c r="BM101" s="12"/>
      <c r="BN101" s="12"/>
      <c r="BO101" s="12"/>
      <c r="BP101" s="12"/>
      <c r="BQ101" s="12"/>
      <c r="BR101" s="12"/>
      <c r="BS101" s="12"/>
      <c r="BT101" s="203"/>
      <c r="BU101" s="12">
        <v>0</v>
      </c>
      <c r="BW101">
        <v>0</v>
      </c>
    </row>
    <row r="102" spans="1:75" x14ac:dyDescent="0.35">
      <c r="A102" s="81" t="s">
        <v>22</v>
      </c>
      <c r="B102" s="7"/>
      <c r="C102" s="7"/>
      <c r="D102" s="7"/>
      <c r="E102" s="7"/>
      <c r="F102" s="7"/>
      <c r="G102" s="7"/>
      <c r="H102" s="7"/>
      <c r="I102" s="7"/>
      <c r="J102" s="7"/>
      <c r="K102" s="7"/>
      <c r="L102" s="7"/>
      <c r="M102" s="7"/>
      <c r="N102" s="7"/>
      <c r="O102" s="7"/>
      <c r="P102" s="7"/>
      <c r="Q102" s="7"/>
      <c r="R102" s="7"/>
      <c r="S102" s="7"/>
      <c r="T102" s="7"/>
      <c r="U102" s="7"/>
      <c r="V102" s="7"/>
      <c r="W102" s="7">
        <f t="shared" ref="W102:W108" si="109">SUM(B102:V102)</f>
        <v>0</v>
      </c>
      <c r="X102" s="7">
        <f t="shared" ref="X102:X108" si="110">SUM(AD102:AW102)*0.1</f>
        <v>0</v>
      </c>
      <c r="Y102" s="7">
        <f t="shared" ref="Y102:Y108" si="111">W102+X102</f>
        <v>0</v>
      </c>
      <c r="Z102" s="57"/>
      <c r="AA102" s="193"/>
      <c r="AB102" s="7">
        <f t="shared" ref="AB102:AB108" si="112">AB88+W102</f>
        <v>36.25</v>
      </c>
      <c r="AC102" s="7" t="s">
        <v>22</v>
      </c>
      <c r="AD102" s="7">
        <f t="shared" ref="AD102:AW102" si="113">IF(B102 &gt; 0, IF(AD94&gt; 0, AD94+ 1, 0.1), 0)</f>
        <v>0</v>
      </c>
      <c r="AE102" s="7">
        <f t="shared" si="113"/>
        <v>0</v>
      </c>
      <c r="AF102" s="7">
        <f t="shared" si="113"/>
        <v>0</v>
      </c>
      <c r="AG102" s="7">
        <f t="shared" si="113"/>
        <v>0</v>
      </c>
      <c r="AH102" s="7">
        <f t="shared" si="113"/>
        <v>0</v>
      </c>
      <c r="AI102" s="7">
        <f t="shared" si="113"/>
        <v>0</v>
      </c>
      <c r="AJ102" s="7">
        <f t="shared" si="113"/>
        <v>0</v>
      </c>
      <c r="AK102" s="7">
        <f t="shared" si="113"/>
        <v>0</v>
      </c>
      <c r="AL102" s="7">
        <f t="shared" si="113"/>
        <v>0</v>
      </c>
      <c r="AM102" s="7">
        <f t="shared" si="113"/>
        <v>0</v>
      </c>
      <c r="AN102" s="7">
        <f t="shared" si="113"/>
        <v>0</v>
      </c>
      <c r="AO102" s="7">
        <f t="shared" si="113"/>
        <v>0</v>
      </c>
      <c r="AP102" s="7">
        <f t="shared" si="113"/>
        <v>0</v>
      </c>
      <c r="AQ102" s="7">
        <f t="shared" si="113"/>
        <v>0</v>
      </c>
      <c r="AR102" s="7">
        <f t="shared" si="113"/>
        <v>0</v>
      </c>
      <c r="AS102" s="7">
        <f t="shared" si="113"/>
        <v>0</v>
      </c>
      <c r="AT102" s="7">
        <f t="shared" si="113"/>
        <v>0</v>
      </c>
      <c r="AU102" s="7">
        <f t="shared" si="113"/>
        <v>0</v>
      </c>
      <c r="AV102" s="7">
        <f t="shared" si="113"/>
        <v>0</v>
      </c>
      <c r="AW102" s="7">
        <f t="shared" si="113"/>
        <v>0</v>
      </c>
      <c r="AX102" s="7"/>
      <c r="AY102" s="7"/>
      <c r="AZ102" s="7">
        <f>SUM($B$102:B102)</f>
        <v>0</v>
      </c>
      <c r="BA102" s="7">
        <f>SUM($B$102:C102)</f>
        <v>0</v>
      </c>
      <c r="BB102" s="7">
        <f>SUM($B$102:D102)</f>
        <v>0</v>
      </c>
      <c r="BC102" s="7">
        <f>SUM($B$102:E102)</f>
        <v>0</v>
      </c>
      <c r="BD102" s="7">
        <f>SUM($B$102:F102)</f>
        <v>0</v>
      </c>
      <c r="BE102" s="7">
        <f>SUM($B$102:G102)</f>
        <v>0</v>
      </c>
      <c r="BF102" s="7">
        <f>SUM($B$102:H102)</f>
        <v>0</v>
      </c>
      <c r="BG102" s="7">
        <f>SUM($B$102:I102)</f>
        <v>0</v>
      </c>
      <c r="BH102" s="7">
        <f>SUM($B$102:J102)</f>
        <v>0</v>
      </c>
      <c r="BI102" s="7">
        <f>SUM($B$102:K102)</f>
        <v>0</v>
      </c>
      <c r="BJ102" s="7">
        <f>SUM($B$102:L102)</f>
        <v>0</v>
      </c>
      <c r="BK102" s="7">
        <f>SUM($B$102:M102)</f>
        <v>0</v>
      </c>
      <c r="BL102" s="7">
        <f>SUM($B$102:Q102)</f>
        <v>0</v>
      </c>
      <c r="BM102" s="7">
        <f>SUM($B$102:N102)</f>
        <v>0</v>
      </c>
      <c r="BN102" s="7">
        <f>SUM($B$102:O102)</f>
        <v>0</v>
      </c>
      <c r="BO102" s="7">
        <f>SUM($B$102:P102)</f>
        <v>0</v>
      </c>
      <c r="BP102" s="7">
        <f>SUM($B$102:R102)</f>
        <v>0</v>
      </c>
      <c r="BQ102" s="7">
        <f>SUM($B$102:S102)</f>
        <v>0</v>
      </c>
      <c r="BR102" s="7">
        <f>SUM($B$102:T102)</f>
        <v>0</v>
      </c>
      <c r="BS102" s="7">
        <f>SUM($B$102:V102)</f>
        <v>0</v>
      </c>
      <c r="BT102" s="7"/>
      <c r="BU102" s="7">
        <f>SUM($BS$102:BS102)</f>
        <v>0</v>
      </c>
      <c r="BV102">
        <f t="shared" si="85"/>
        <v>0</v>
      </c>
      <c r="BW102">
        <f>SUM($BV$102:BV102)</f>
        <v>0</v>
      </c>
    </row>
    <row r="103" spans="1:75" x14ac:dyDescent="0.35">
      <c r="A103" s="92" t="s">
        <v>23</v>
      </c>
      <c r="B103" s="7"/>
      <c r="C103" s="7"/>
      <c r="D103" s="7"/>
      <c r="E103" s="7"/>
      <c r="F103" s="7"/>
      <c r="G103" s="7"/>
      <c r="H103" s="7"/>
      <c r="I103" s="7"/>
      <c r="J103" s="7"/>
      <c r="K103" s="7"/>
      <c r="L103" s="7"/>
      <c r="M103" s="7"/>
      <c r="N103" s="7"/>
      <c r="O103" s="7"/>
      <c r="P103" s="7"/>
      <c r="Q103" s="7"/>
      <c r="R103" s="7"/>
      <c r="S103" s="7"/>
      <c r="T103" s="7"/>
      <c r="U103" s="7"/>
      <c r="V103" s="7"/>
      <c r="W103" s="7">
        <f t="shared" si="109"/>
        <v>0</v>
      </c>
      <c r="X103" s="7">
        <f t="shared" si="110"/>
        <v>0</v>
      </c>
      <c r="Y103" s="7">
        <f t="shared" si="111"/>
        <v>0</v>
      </c>
      <c r="Z103" s="57"/>
      <c r="AA103" s="193"/>
      <c r="AB103" s="7">
        <f t="shared" si="112"/>
        <v>0</v>
      </c>
      <c r="AC103" s="7" t="s">
        <v>23</v>
      </c>
      <c r="AD103" s="7">
        <f t="shared" ref="AD103:AM108" si="114">IF(B103 &gt; 0, IF(AD102 &gt; 0, AD102 + 1, 0.1), 0)</f>
        <v>0</v>
      </c>
      <c r="AE103" s="7">
        <f t="shared" si="114"/>
        <v>0</v>
      </c>
      <c r="AF103" s="7">
        <f t="shared" si="114"/>
        <v>0</v>
      </c>
      <c r="AG103" s="7">
        <f t="shared" si="114"/>
        <v>0</v>
      </c>
      <c r="AH103" s="7">
        <f t="shared" si="114"/>
        <v>0</v>
      </c>
      <c r="AI103" s="7">
        <f t="shared" si="114"/>
        <v>0</v>
      </c>
      <c r="AJ103" s="7">
        <f t="shared" si="114"/>
        <v>0</v>
      </c>
      <c r="AK103" s="7">
        <f t="shared" si="114"/>
        <v>0</v>
      </c>
      <c r="AL103" s="7">
        <f t="shared" si="114"/>
        <v>0</v>
      </c>
      <c r="AM103" s="7">
        <f t="shared" si="114"/>
        <v>0</v>
      </c>
      <c r="AN103" s="7">
        <f t="shared" ref="AN103:AT108" si="115">IF(L103 &gt; 0, IF(AN102 &gt; 0, AN102 + 1, 0.1), 0)</f>
        <v>0</v>
      </c>
      <c r="AO103" s="7">
        <f t="shared" si="115"/>
        <v>0</v>
      </c>
      <c r="AP103" s="7">
        <f t="shared" si="115"/>
        <v>0</v>
      </c>
      <c r="AQ103" s="7">
        <f t="shared" si="115"/>
        <v>0</v>
      </c>
      <c r="AR103" s="7">
        <f t="shared" si="115"/>
        <v>0</v>
      </c>
      <c r="AS103" s="7">
        <f t="shared" si="115"/>
        <v>0</v>
      </c>
      <c r="AT103" s="7">
        <f t="shared" si="115"/>
        <v>0</v>
      </c>
      <c r="AU103" s="7">
        <f t="shared" ref="AU103:AU108" si="116">IF(S103 &gt; 0, IF(AU95&gt; 0, AU95+ 1, 0.1), 0)</f>
        <v>0</v>
      </c>
      <c r="AV103" s="7">
        <f t="shared" ref="AV103:AW108" si="117">IF(T103 &gt; 0, IF(AV102 &gt; 0, AV102 + 1, 0.1), 0)</f>
        <v>0</v>
      </c>
      <c r="AW103" s="7">
        <f t="shared" si="117"/>
        <v>0</v>
      </c>
      <c r="AX103" s="7"/>
      <c r="AY103" s="7"/>
      <c r="AZ103" s="7">
        <f>SUM($B$103:B103)</f>
        <v>0</v>
      </c>
      <c r="BA103" s="7">
        <f>SUM($B$103:C103)</f>
        <v>0</v>
      </c>
      <c r="BB103" s="7">
        <f>SUM($B$103:D103)</f>
        <v>0</v>
      </c>
      <c r="BC103" s="7">
        <f>SUM($B$103:E103)</f>
        <v>0</v>
      </c>
      <c r="BD103" s="7">
        <f>SUM($B$103:F103)</f>
        <v>0</v>
      </c>
      <c r="BE103" s="7">
        <f>SUM($B$103:G103)</f>
        <v>0</v>
      </c>
      <c r="BF103" s="7">
        <f>SUM($B$103:H103)</f>
        <v>0</v>
      </c>
      <c r="BG103" s="7">
        <f>SUM($B$103:I103)</f>
        <v>0</v>
      </c>
      <c r="BH103" s="7">
        <f>SUM($B$103:J103)</f>
        <v>0</v>
      </c>
      <c r="BI103" s="7">
        <f>SUM($B$103:K103)</f>
        <v>0</v>
      </c>
      <c r="BJ103" s="7">
        <f>SUM($B$103:L103)</f>
        <v>0</v>
      </c>
      <c r="BK103" s="7">
        <f>SUM($B$103:M103)</f>
        <v>0</v>
      </c>
      <c r="BL103" s="7">
        <f>SUM($B$103:Q103)</f>
        <v>0</v>
      </c>
      <c r="BM103" s="7">
        <f>SUM($B$103:N103)</f>
        <v>0</v>
      </c>
      <c r="BN103" s="7">
        <f>SUM($B$103:O103)</f>
        <v>0</v>
      </c>
      <c r="BO103" s="7">
        <f>SUM($B$103:P103)</f>
        <v>0</v>
      </c>
      <c r="BP103" s="7">
        <f>SUM($B$103:R103)</f>
        <v>0</v>
      </c>
      <c r="BQ103" s="7">
        <f>SUM($B$103:S103)</f>
        <v>0</v>
      </c>
      <c r="BR103" s="7">
        <f>SUM($B$103:T103)</f>
        <v>0</v>
      </c>
      <c r="BS103" s="7">
        <f>SUM($B$103:V103)</f>
        <v>0</v>
      </c>
      <c r="BT103" s="7"/>
      <c r="BU103" s="7">
        <f>SUM($BS$102:BS103)</f>
        <v>0</v>
      </c>
      <c r="BV103">
        <f t="shared" si="85"/>
        <v>0</v>
      </c>
      <c r="BW103">
        <f>SUM($BV$102:BV103)</f>
        <v>0</v>
      </c>
    </row>
    <row r="104" spans="1:75" x14ac:dyDescent="0.35">
      <c r="A104" s="115" t="s">
        <v>24</v>
      </c>
      <c r="B104" s="7"/>
      <c r="C104" s="7"/>
      <c r="D104" s="7"/>
      <c r="E104" s="7"/>
      <c r="F104" s="7"/>
      <c r="G104" s="7"/>
      <c r="H104" s="7"/>
      <c r="I104" s="7"/>
      <c r="J104" s="7"/>
      <c r="K104" s="7"/>
      <c r="L104" s="7"/>
      <c r="M104" s="7"/>
      <c r="N104" s="7"/>
      <c r="O104" s="7"/>
      <c r="P104" s="7"/>
      <c r="Q104" s="7"/>
      <c r="R104" s="7"/>
      <c r="S104" s="7"/>
      <c r="T104" s="7"/>
      <c r="U104" s="7"/>
      <c r="V104" s="7"/>
      <c r="W104" s="7">
        <f t="shared" si="109"/>
        <v>0</v>
      </c>
      <c r="X104" s="7">
        <f t="shared" si="110"/>
        <v>0</v>
      </c>
      <c r="Y104" s="7">
        <f t="shared" si="111"/>
        <v>0</v>
      </c>
      <c r="Z104" s="57"/>
      <c r="AA104" s="193"/>
      <c r="AB104" s="7">
        <f t="shared" si="112"/>
        <v>0</v>
      </c>
      <c r="AC104" s="7" t="s">
        <v>24</v>
      </c>
      <c r="AD104" s="7">
        <f t="shared" si="114"/>
        <v>0</v>
      </c>
      <c r="AE104" s="7">
        <f t="shared" si="114"/>
        <v>0</v>
      </c>
      <c r="AF104" s="7">
        <f t="shared" si="114"/>
        <v>0</v>
      </c>
      <c r="AG104" s="7">
        <f t="shared" si="114"/>
        <v>0</v>
      </c>
      <c r="AH104" s="7">
        <f t="shared" si="114"/>
        <v>0</v>
      </c>
      <c r="AI104" s="7">
        <f t="shared" si="114"/>
        <v>0</v>
      </c>
      <c r="AJ104" s="7">
        <f t="shared" si="114"/>
        <v>0</v>
      </c>
      <c r="AK104" s="7">
        <f t="shared" si="114"/>
        <v>0</v>
      </c>
      <c r="AL104" s="7">
        <f t="shared" si="114"/>
        <v>0</v>
      </c>
      <c r="AM104" s="7">
        <f t="shared" si="114"/>
        <v>0</v>
      </c>
      <c r="AN104" s="7">
        <f t="shared" si="115"/>
        <v>0</v>
      </c>
      <c r="AO104" s="7">
        <f t="shared" si="115"/>
        <v>0</v>
      </c>
      <c r="AP104" s="7">
        <f t="shared" si="115"/>
        <v>0</v>
      </c>
      <c r="AQ104" s="7">
        <f t="shared" si="115"/>
        <v>0</v>
      </c>
      <c r="AR104" s="7">
        <f t="shared" si="115"/>
        <v>0</v>
      </c>
      <c r="AS104" s="7">
        <f t="shared" si="115"/>
        <v>0</v>
      </c>
      <c r="AT104" s="7">
        <f t="shared" si="115"/>
        <v>0</v>
      </c>
      <c r="AU104" s="7">
        <f t="shared" si="116"/>
        <v>0</v>
      </c>
      <c r="AV104" s="7">
        <f t="shared" si="117"/>
        <v>0</v>
      </c>
      <c r="AW104" s="7">
        <f t="shared" si="117"/>
        <v>0</v>
      </c>
      <c r="AX104" s="7"/>
      <c r="AY104" s="7"/>
      <c r="AZ104" s="7">
        <f>SUM($B$104:B104)</f>
        <v>0</v>
      </c>
      <c r="BA104" s="7">
        <f>SUM($B$104:C104)</f>
        <v>0</v>
      </c>
      <c r="BB104" s="7">
        <f>SUM($B$104:D104)</f>
        <v>0</v>
      </c>
      <c r="BC104" s="7">
        <f>SUM($B$104:E104)</f>
        <v>0</v>
      </c>
      <c r="BD104" s="7">
        <f>SUM($B$104:F104)</f>
        <v>0</v>
      </c>
      <c r="BE104" s="7">
        <f>SUM($B$104:G104)</f>
        <v>0</v>
      </c>
      <c r="BF104" s="7">
        <f>SUM($B$104:H104)</f>
        <v>0</v>
      </c>
      <c r="BG104" s="7">
        <f>SUM($B$104:I104)</f>
        <v>0</v>
      </c>
      <c r="BH104" s="7">
        <f>SUM($B$104:J104)</f>
        <v>0</v>
      </c>
      <c r="BI104" s="7">
        <f>SUM($B$104:K104)</f>
        <v>0</v>
      </c>
      <c r="BJ104" s="7">
        <f>SUM($B$104:L104)</f>
        <v>0</v>
      </c>
      <c r="BK104" s="7">
        <f>SUM($B$104:M104)</f>
        <v>0</v>
      </c>
      <c r="BL104" s="7">
        <f>SUM($B$104:Q104)</f>
        <v>0</v>
      </c>
      <c r="BM104" s="7">
        <f>SUM($B$104:N104)</f>
        <v>0</v>
      </c>
      <c r="BN104" s="7">
        <f>SUM($B$104:O104)</f>
        <v>0</v>
      </c>
      <c r="BO104" s="7">
        <f>SUM($B$104:P104)</f>
        <v>0</v>
      </c>
      <c r="BP104" s="7">
        <f>SUM($B$104:R104)</f>
        <v>0</v>
      </c>
      <c r="BQ104" s="7">
        <f>SUM($B$104:S104)</f>
        <v>0</v>
      </c>
      <c r="BR104" s="7">
        <f>SUM($B$104:T104)</f>
        <v>0</v>
      </c>
      <c r="BS104" s="7">
        <f>SUM($B$104:V104)</f>
        <v>0</v>
      </c>
      <c r="BT104" s="7"/>
      <c r="BU104" s="7">
        <f>SUM($BS$102:BS104)</f>
        <v>0</v>
      </c>
      <c r="BV104">
        <f t="shared" si="85"/>
        <v>0</v>
      </c>
      <c r="BW104">
        <f>SUM($BV$102:BV104)</f>
        <v>0</v>
      </c>
    </row>
    <row r="105" spans="1:75" x14ac:dyDescent="0.35">
      <c r="A105" s="126" t="s">
        <v>25</v>
      </c>
      <c r="B105" s="7"/>
      <c r="C105" s="7"/>
      <c r="D105" s="7"/>
      <c r="E105" s="7"/>
      <c r="F105" s="7"/>
      <c r="G105" s="7"/>
      <c r="H105" s="7"/>
      <c r="I105" s="7"/>
      <c r="J105" s="7"/>
      <c r="K105" s="7"/>
      <c r="L105" s="7"/>
      <c r="M105" s="7"/>
      <c r="N105" s="7"/>
      <c r="O105" s="7"/>
      <c r="P105" s="7"/>
      <c r="Q105" s="7"/>
      <c r="R105" s="7"/>
      <c r="S105" s="7"/>
      <c r="T105" s="7"/>
      <c r="U105" s="7"/>
      <c r="V105" s="7"/>
      <c r="W105" s="7">
        <f t="shared" si="109"/>
        <v>0</v>
      </c>
      <c r="X105" s="7">
        <f t="shared" si="110"/>
        <v>0</v>
      </c>
      <c r="Y105" s="7">
        <f t="shared" si="111"/>
        <v>0</v>
      </c>
      <c r="Z105" s="57"/>
      <c r="AA105" s="193"/>
      <c r="AB105" s="7">
        <f t="shared" si="112"/>
        <v>0</v>
      </c>
      <c r="AC105" s="7" t="s">
        <v>25</v>
      </c>
      <c r="AD105" s="7">
        <f t="shared" si="114"/>
        <v>0</v>
      </c>
      <c r="AE105" s="7">
        <f t="shared" si="114"/>
        <v>0</v>
      </c>
      <c r="AF105" s="7">
        <f t="shared" si="114"/>
        <v>0</v>
      </c>
      <c r="AG105" s="7">
        <f t="shared" si="114"/>
        <v>0</v>
      </c>
      <c r="AH105" s="7">
        <f t="shared" si="114"/>
        <v>0</v>
      </c>
      <c r="AI105" s="7">
        <f t="shared" si="114"/>
        <v>0</v>
      </c>
      <c r="AJ105" s="7">
        <f t="shared" si="114"/>
        <v>0</v>
      </c>
      <c r="AK105" s="7">
        <f t="shared" si="114"/>
        <v>0</v>
      </c>
      <c r="AL105" s="7">
        <f t="shared" si="114"/>
        <v>0</v>
      </c>
      <c r="AM105" s="7">
        <f t="shared" si="114"/>
        <v>0</v>
      </c>
      <c r="AN105" s="7">
        <f t="shared" si="115"/>
        <v>0</v>
      </c>
      <c r="AO105" s="7">
        <f t="shared" si="115"/>
        <v>0</v>
      </c>
      <c r="AP105" s="7">
        <f t="shared" si="115"/>
        <v>0</v>
      </c>
      <c r="AQ105" s="7">
        <f t="shared" si="115"/>
        <v>0</v>
      </c>
      <c r="AR105" s="7">
        <f t="shared" si="115"/>
        <v>0</v>
      </c>
      <c r="AS105" s="7">
        <f t="shared" si="115"/>
        <v>0</v>
      </c>
      <c r="AT105" s="7">
        <f t="shared" si="115"/>
        <v>0</v>
      </c>
      <c r="AU105" s="7">
        <f t="shared" si="116"/>
        <v>0</v>
      </c>
      <c r="AV105" s="7">
        <f t="shared" si="117"/>
        <v>0</v>
      </c>
      <c r="AW105" s="7">
        <f t="shared" si="117"/>
        <v>0</v>
      </c>
      <c r="AX105" s="7"/>
      <c r="AY105" s="7"/>
      <c r="AZ105" s="7">
        <f>SUM($B$105:B105)</f>
        <v>0</v>
      </c>
      <c r="BA105" s="7">
        <f>SUM($B$105:C105)</f>
        <v>0</v>
      </c>
      <c r="BB105" s="7">
        <f>SUM($B$105:D105)</f>
        <v>0</v>
      </c>
      <c r="BC105" s="7">
        <f>SUM($B$105:E105)</f>
        <v>0</v>
      </c>
      <c r="BD105" s="7">
        <f>SUM($B$105:F105)</f>
        <v>0</v>
      </c>
      <c r="BE105" s="7">
        <f>SUM($B$105:G105)</f>
        <v>0</v>
      </c>
      <c r="BF105" s="7">
        <f>SUM($B$105:H105)</f>
        <v>0</v>
      </c>
      <c r="BG105" s="7">
        <f>SUM($B$105:I105)</f>
        <v>0</v>
      </c>
      <c r="BH105" s="7">
        <f>SUM($B$105:J105)</f>
        <v>0</v>
      </c>
      <c r="BI105" s="7">
        <f>SUM($B$105:K105)</f>
        <v>0</v>
      </c>
      <c r="BJ105" s="7">
        <f>SUM($B$105:L105)</f>
        <v>0</v>
      </c>
      <c r="BK105" s="7">
        <f>SUM($B$105:M105)</f>
        <v>0</v>
      </c>
      <c r="BL105" s="7">
        <f>SUM($B$105:Q105)</f>
        <v>0</v>
      </c>
      <c r="BM105" s="7">
        <f>SUM($B$105:N105)</f>
        <v>0</v>
      </c>
      <c r="BN105" s="7">
        <f>SUM($B$105:O105)</f>
        <v>0</v>
      </c>
      <c r="BO105" s="7">
        <f>SUM($B$105:P105)</f>
        <v>0</v>
      </c>
      <c r="BP105" s="7">
        <f>SUM($B$105:R105)</f>
        <v>0</v>
      </c>
      <c r="BQ105" s="7">
        <f>SUM($B$105:S105)</f>
        <v>0</v>
      </c>
      <c r="BR105" s="7">
        <f>SUM($B$105:T105)</f>
        <v>0</v>
      </c>
      <c r="BS105" s="7">
        <f>SUM($B$105:V105)</f>
        <v>0</v>
      </c>
      <c r="BT105" s="7"/>
      <c r="BU105" s="7">
        <f>SUM($BS$102:BS105)</f>
        <v>0</v>
      </c>
      <c r="BV105">
        <f t="shared" si="85"/>
        <v>0</v>
      </c>
      <c r="BW105">
        <f>SUM($BV$102:BV105)</f>
        <v>0</v>
      </c>
    </row>
    <row r="106" spans="1:75" x14ac:dyDescent="0.35">
      <c r="A106" s="137" t="s">
        <v>26</v>
      </c>
      <c r="B106" s="7"/>
      <c r="C106" s="7"/>
      <c r="D106" s="7"/>
      <c r="E106" s="7"/>
      <c r="F106" s="7"/>
      <c r="G106" s="7"/>
      <c r="H106" s="7"/>
      <c r="I106" s="7"/>
      <c r="J106" s="7"/>
      <c r="K106" s="7"/>
      <c r="L106" s="7"/>
      <c r="M106" s="7"/>
      <c r="N106" s="7"/>
      <c r="O106" s="7"/>
      <c r="P106" s="7"/>
      <c r="Q106" s="7"/>
      <c r="R106" s="7"/>
      <c r="S106" s="7"/>
      <c r="T106" s="7"/>
      <c r="U106" s="7"/>
      <c r="V106" s="7"/>
      <c r="W106" s="7">
        <f t="shared" si="109"/>
        <v>0</v>
      </c>
      <c r="X106" s="7">
        <f t="shared" si="110"/>
        <v>0</v>
      </c>
      <c r="Y106" s="7">
        <f t="shared" si="111"/>
        <v>0</v>
      </c>
      <c r="Z106" s="57"/>
      <c r="AA106" s="193"/>
      <c r="AB106" s="7">
        <f t="shared" si="112"/>
        <v>0</v>
      </c>
      <c r="AC106" s="7" t="s">
        <v>26</v>
      </c>
      <c r="AD106" s="7">
        <f t="shared" si="114"/>
        <v>0</v>
      </c>
      <c r="AE106" s="7">
        <f t="shared" si="114"/>
        <v>0</v>
      </c>
      <c r="AF106" s="7">
        <f t="shared" si="114"/>
        <v>0</v>
      </c>
      <c r="AG106" s="7">
        <f t="shared" si="114"/>
        <v>0</v>
      </c>
      <c r="AH106" s="7">
        <f t="shared" si="114"/>
        <v>0</v>
      </c>
      <c r="AI106" s="7">
        <f t="shared" si="114"/>
        <v>0</v>
      </c>
      <c r="AJ106" s="7">
        <f t="shared" si="114"/>
        <v>0</v>
      </c>
      <c r="AK106" s="7">
        <f t="shared" si="114"/>
        <v>0</v>
      </c>
      <c r="AL106" s="7">
        <f t="shared" si="114"/>
        <v>0</v>
      </c>
      <c r="AM106" s="7">
        <f t="shared" si="114"/>
        <v>0</v>
      </c>
      <c r="AN106" s="7">
        <f t="shared" si="115"/>
        <v>0</v>
      </c>
      <c r="AO106" s="7">
        <f t="shared" si="115"/>
        <v>0</v>
      </c>
      <c r="AP106" s="7">
        <f t="shared" si="115"/>
        <v>0</v>
      </c>
      <c r="AQ106" s="7">
        <f t="shared" si="115"/>
        <v>0</v>
      </c>
      <c r="AR106" s="7">
        <f t="shared" si="115"/>
        <v>0</v>
      </c>
      <c r="AS106" s="7">
        <f t="shared" si="115"/>
        <v>0</v>
      </c>
      <c r="AT106" s="7">
        <f t="shared" si="115"/>
        <v>0</v>
      </c>
      <c r="AU106" s="7">
        <f t="shared" si="116"/>
        <v>0</v>
      </c>
      <c r="AV106" s="7">
        <f t="shared" si="117"/>
        <v>0</v>
      </c>
      <c r="AW106" s="7">
        <f t="shared" si="117"/>
        <v>0</v>
      </c>
      <c r="AX106" s="7"/>
      <c r="AY106" s="7"/>
      <c r="AZ106" s="7">
        <f>SUM($B$106:B106)</f>
        <v>0</v>
      </c>
      <c r="BA106" s="7">
        <f>SUM($B$106:C106)</f>
        <v>0</v>
      </c>
      <c r="BB106" s="7">
        <f>SUM($B$106:D106)</f>
        <v>0</v>
      </c>
      <c r="BC106" s="7">
        <f>SUM($B$106:E106)</f>
        <v>0</v>
      </c>
      <c r="BD106" s="7">
        <f>SUM($B$106:F106)</f>
        <v>0</v>
      </c>
      <c r="BE106" s="7">
        <f>SUM($B$106:G106)</f>
        <v>0</v>
      </c>
      <c r="BF106" s="7">
        <f>SUM($B$106:H106)</f>
        <v>0</v>
      </c>
      <c r="BG106" s="7">
        <f>SUM($B$106:I106)</f>
        <v>0</v>
      </c>
      <c r="BH106" s="7">
        <f>SUM($B$106:J106)</f>
        <v>0</v>
      </c>
      <c r="BI106" s="7">
        <f>SUM($B$106:K106)</f>
        <v>0</v>
      </c>
      <c r="BJ106" s="7">
        <f>SUM($B$106:L106)</f>
        <v>0</v>
      </c>
      <c r="BK106" s="7">
        <f>SUM($B$106:M106)</f>
        <v>0</v>
      </c>
      <c r="BL106" s="7">
        <f>SUM($B$106:Q106)</f>
        <v>0</v>
      </c>
      <c r="BM106" s="7">
        <f>SUM($B$106:N106)</f>
        <v>0</v>
      </c>
      <c r="BN106" s="7">
        <f>SUM($B$106:O106)</f>
        <v>0</v>
      </c>
      <c r="BO106" s="7">
        <f>SUM($B$106:P106)</f>
        <v>0</v>
      </c>
      <c r="BP106" s="7">
        <f>SUM($B$106:R106)</f>
        <v>0</v>
      </c>
      <c r="BQ106" s="7">
        <f>SUM($B$106:S106)</f>
        <v>0</v>
      </c>
      <c r="BR106" s="7">
        <f>SUM($B$106:T106)</f>
        <v>0</v>
      </c>
      <c r="BS106" s="7">
        <f>SUM($B$106:V106)</f>
        <v>0</v>
      </c>
      <c r="BT106" s="7"/>
      <c r="BU106" s="7">
        <f>SUM($BS$102:BS106)</f>
        <v>0</v>
      </c>
      <c r="BV106">
        <f t="shared" si="85"/>
        <v>0</v>
      </c>
      <c r="BW106">
        <f>SUM($BV$102:BV106)</f>
        <v>0</v>
      </c>
    </row>
    <row r="107" spans="1:75" x14ac:dyDescent="0.35">
      <c r="A107" s="148" t="s">
        <v>27</v>
      </c>
      <c r="B107" s="7"/>
      <c r="C107" s="7"/>
      <c r="D107" s="7"/>
      <c r="E107" s="7"/>
      <c r="F107" s="7"/>
      <c r="G107" s="7"/>
      <c r="H107" s="7"/>
      <c r="I107" s="7"/>
      <c r="J107" s="7"/>
      <c r="K107" s="7"/>
      <c r="L107" s="7"/>
      <c r="M107" s="7"/>
      <c r="N107" s="7"/>
      <c r="O107" s="7"/>
      <c r="P107" s="7"/>
      <c r="Q107" s="7"/>
      <c r="R107" s="7"/>
      <c r="S107" s="7"/>
      <c r="T107" s="7"/>
      <c r="U107" s="7"/>
      <c r="V107" s="7"/>
      <c r="W107" s="7">
        <f t="shared" si="109"/>
        <v>0</v>
      </c>
      <c r="X107" s="7">
        <f t="shared" si="110"/>
        <v>0</v>
      </c>
      <c r="Y107" s="7">
        <f t="shared" si="111"/>
        <v>0</v>
      </c>
      <c r="Z107" s="57"/>
      <c r="AA107" s="193"/>
      <c r="AB107" s="7">
        <f t="shared" si="112"/>
        <v>0</v>
      </c>
      <c r="AC107" s="7" t="s">
        <v>27</v>
      </c>
      <c r="AD107" s="7">
        <f t="shared" si="114"/>
        <v>0</v>
      </c>
      <c r="AE107" s="7">
        <f t="shared" si="114"/>
        <v>0</v>
      </c>
      <c r="AF107" s="7">
        <f t="shared" si="114"/>
        <v>0</v>
      </c>
      <c r="AG107" s="7">
        <f t="shared" si="114"/>
        <v>0</v>
      </c>
      <c r="AH107" s="7">
        <f t="shared" si="114"/>
        <v>0</v>
      </c>
      <c r="AI107" s="7">
        <f t="shared" si="114"/>
        <v>0</v>
      </c>
      <c r="AJ107" s="7">
        <f t="shared" si="114"/>
        <v>0</v>
      </c>
      <c r="AK107" s="7">
        <f t="shared" si="114"/>
        <v>0</v>
      </c>
      <c r="AL107" s="7">
        <f t="shared" si="114"/>
        <v>0</v>
      </c>
      <c r="AM107" s="7">
        <f t="shared" si="114"/>
        <v>0</v>
      </c>
      <c r="AN107" s="7">
        <f t="shared" si="115"/>
        <v>0</v>
      </c>
      <c r="AO107" s="7">
        <f t="shared" si="115"/>
        <v>0</v>
      </c>
      <c r="AP107" s="7">
        <f t="shared" si="115"/>
        <v>0</v>
      </c>
      <c r="AQ107" s="7">
        <f t="shared" si="115"/>
        <v>0</v>
      </c>
      <c r="AR107" s="7">
        <f t="shared" si="115"/>
        <v>0</v>
      </c>
      <c r="AS107" s="7">
        <f t="shared" si="115"/>
        <v>0</v>
      </c>
      <c r="AT107" s="7">
        <f t="shared" si="115"/>
        <v>0</v>
      </c>
      <c r="AU107" s="7">
        <f t="shared" si="116"/>
        <v>0</v>
      </c>
      <c r="AV107" s="7">
        <f t="shared" si="117"/>
        <v>0</v>
      </c>
      <c r="AW107" s="7">
        <f t="shared" si="117"/>
        <v>0</v>
      </c>
      <c r="AX107" s="7"/>
      <c r="AY107" s="7"/>
      <c r="AZ107" s="7">
        <f>SUM($B$107:B107)</f>
        <v>0</v>
      </c>
      <c r="BA107" s="7">
        <f>SUM($B$107:C107)</f>
        <v>0</v>
      </c>
      <c r="BB107" s="7">
        <f>SUM($B$107:D107)</f>
        <v>0</v>
      </c>
      <c r="BC107" s="7">
        <f>SUM($B$107:E107)</f>
        <v>0</v>
      </c>
      <c r="BD107" s="7">
        <f>SUM($B$107:F107)</f>
        <v>0</v>
      </c>
      <c r="BE107" s="7">
        <f>SUM($B$107:G107)</f>
        <v>0</v>
      </c>
      <c r="BF107" s="7">
        <f>SUM($B$107:H107)</f>
        <v>0</v>
      </c>
      <c r="BG107" s="7">
        <f>SUM($B$107:I107)</f>
        <v>0</v>
      </c>
      <c r="BH107" s="7">
        <f>SUM($B$107:J107)</f>
        <v>0</v>
      </c>
      <c r="BI107" s="7">
        <f>SUM($B$107:K107)</f>
        <v>0</v>
      </c>
      <c r="BJ107" s="7">
        <f>SUM($B$107:L107)</f>
        <v>0</v>
      </c>
      <c r="BK107" s="7">
        <f>SUM($B$107:M107)</f>
        <v>0</v>
      </c>
      <c r="BL107" s="7">
        <f>SUM($B$107:Q107)</f>
        <v>0</v>
      </c>
      <c r="BM107" s="7">
        <f>SUM($B$107:N107)</f>
        <v>0</v>
      </c>
      <c r="BN107" s="7">
        <f>SUM($B$107:O107)</f>
        <v>0</v>
      </c>
      <c r="BO107" s="7">
        <f>SUM($B$107:P107)</f>
        <v>0</v>
      </c>
      <c r="BP107" s="7">
        <f>SUM($B$107:R107)</f>
        <v>0</v>
      </c>
      <c r="BQ107" s="7">
        <f>SUM($B$107:S107)</f>
        <v>0</v>
      </c>
      <c r="BR107" s="7">
        <f>SUM($B$107:T107)</f>
        <v>0</v>
      </c>
      <c r="BS107" s="7">
        <f>SUM($B$107:V107)</f>
        <v>0</v>
      </c>
      <c r="BT107" s="7"/>
      <c r="BU107" s="7">
        <f>SUM($BS$102:BS107)</f>
        <v>0</v>
      </c>
      <c r="BV107">
        <f t="shared" si="85"/>
        <v>0</v>
      </c>
      <c r="BW107">
        <f>SUM($BV$102:BV107)</f>
        <v>0</v>
      </c>
    </row>
    <row r="108" spans="1:75" x14ac:dyDescent="0.35">
      <c r="A108" s="158" t="s">
        <v>28</v>
      </c>
      <c r="B108" s="7"/>
      <c r="C108" s="7"/>
      <c r="D108" s="7"/>
      <c r="E108" s="7"/>
      <c r="F108" s="7"/>
      <c r="G108" s="7"/>
      <c r="H108" s="7"/>
      <c r="I108" s="7"/>
      <c r="J108" s="7"/>
      <c r="K108" s="7"/>
      <c r="L108" s="7"/>
      <c r="M108" s="7"/>
      <c r="N108" s="7"/>
      <c r="O108" s="7"/>
      <c r="P108" s="7"/>
      <c r="Q108" s="7"/>
      <c r="R108" s="7"/>
      <c r="S108" s="7"/>
      <c r="T108" s="7"/>
      <c r="U108" s="7"/>
      <c r="V108" s="7"/>
      <c r="W108" s="7">
        <f t="shared" si="109"/>
        <v>0</v>
      </c>
      <c r="X108" s="7">
        <f t="shared" si="110"/>
        <v>0</v>
      </c>
      <c r="Y108" s="7">
        <f t="shared" si="111"/>
        <v>0</v>
      </c>
      <c r="Z108" s="57"/>
      <c r="AA108" s="193"/>
      <c r="AB108" s="7">
        <f t="shared" si="112"/>
        <v>0</v>
      </c>
      <c r="AC108" s="7" t="s">
        <v>28</v>
      </c>
      <c r="AD108" s="7">
        <f t="shared" si="114"/>
        <v>0</v>
      </c>
      <c r="AE108" s="7">
        <f t="shared" si="114"/>
        <v>0</v>
      </c>
      <c r="AF108" s="7">
        <f t="shared" si="114"/>
        <v>0</v>
      </c>
      <c r="AG108" s="7">
        <f t="shared" si="114"/>
        <v>0</v>
      </c>
      <c r="AH108" s="7">
        <f t="shared" si="114"/>
        <v>0</v>
      </c>
      <c r="AI108" s="7">
        <f t="shared" si="114"/>
        <v>0</v>
      </c>
      <c r="AJ108" s="7">
        <f t="shared" si="114"/>
        <v>0</v>
      </c>
      <c r="AK108" s="7">
        <f t="shared" si="114"/>
        <v>0</v>
      </c>
      <c r="AL108" s="7">
        <f t="shared" si="114"/>
        <v>0</v>
      </c>
      <c r="AM108" s="7">
        <f t="shared" si="114"/>
        <v>0</v>
      </c>
      <c r="AN108" s="7">
        <f t="shared" si="115"/>
        <v>0</v>
      </c>
      <c r="AO108" s="7">
        <f t="shared" si="115"/>
        <v>0</v>
      </c>
      <c r="AP108" s="7">
        <f t="shared" si="115"/>
        <v>0</v>
      </c>
      <c r="AQ108" s="7">
        <f t="shared" si="115"/>
        <v>0</v>
      </c>
      <c r="AR108" s="7">
        <f t="shared" si="115"/>
        <v>0</v>
      </c>
      <c r="AS108" s="7">
        <f t="shared" si="115"/>
        <v>0</v>
      </c>
      <c r="AT108" s="7">
        <f t="shared" si="115"/>
        <v>0</v>
      </c>
      <c r="AU108" s="7">
        <f t="shared" si="116"/>
        <v>0</v>
      </c>
      <c r="AV108" s="7">
        <f t="shared" si="117"/>
        <v>0</v>
      </c>
      <c r="AW108" s="7">
        <f t="shared" si="117"/>
        <v>0</v>
      </c>
      <c r="AX108" s="7"/>
      <c r="AY108" s="7"/>
      <c r="AZ108" s="7">
        <f>SUM($B$108:B108)</f>
        <v>0</v>
      </c>
      <c r="BA108" s="7">
        <f>SUM($B$108:C108)</f>
        <v>0</v>
      </c>
      <c r="BB108" s="7">
        <f>SUM($B$108:D108)</f>
        <v>0</v>
      </c>
      <c r="BC108" s="7">
        <f>SUM($B$108:E108)</f>
        <v>0</v>
      </c>
      <c r="BD108" s="7">
        <f>SUM($B$108:F108)</f>
        <v>0</v>
      </c>
      <c r="BE108" s="7">
        <f>SUM($B$108:G108)</f>
        <v>0</v>
      </c>
      <c r="BF108" s="7">
        <f>SUM($B$108:H108)</f>
        <v>0</v>
      </c>
      <c r="BG108" s="7">
        <f>SUM($B$108:I108)</f>
        <v>0</v>
      </c>
      <c r="BH108" s="7">
        <f>SUM($B$108:J108)</f>
        <v>0</v>
      </c>
      <c r="BI108" s="7">
        <f>SUM($B$108:K108)</f>
        <v>0</v>
      </c>
      <c r="BJ108" s="7">
        <f>SUM($B$108:L108)</f>
        <v>0</v>
      </c>
      <c r="BK108" s="7">
        <f>SUM($B$108:M108)</f>
        <v>0</v>
      </c>
      <c r="BL108" s="7">
        <f>SUM($B$108:Q108)</f>
        <v>0</v>
      </c>
      <c r="BM108" s="7">
        <f>SUM($B$108:N108)</f>
        <v>0</v>
      </c>
      <c r="BN108" s="7">
        <f>SUM($B$108:O108)</f>
        <v>0</v>
      </c>
      <c r="BO108" s="7">
        <f>SUM($B$108:P108)</f>
        <v>0</v>
      </c>
      <c r="BP108" s="7">
        <f>SUM($B$108:R108)</f>
        <v>0</v>
      </c>
      <c r="BQ108" s="7">
        <f>SUM($B$108:S108)</f>
        <v>0</v>
      </c>
      <c r="BR108" s="7">
        <f>SUM($B$108:T108)</f>
        <v>0</v>
      </c>
      <c r="BS108" s="7">
        <f>SUM($B$108:V108)</f>
        <v>0</v>
      </c>
      <c r="BT108" s="7"/>
      <c r="BU108" s="7">
        <f>SUM($BS$102:BS108)</f>
        <v>0</v>
      </c>
      <c r="BV108">
        <f t="shared" si="85"/>
        <v>0</v>
      </c>
      <c r="BW108">
        <f>SUM($BV$102:BV108)</f>
        <v>0</v>
      </c>
    </row>
    <row r="109" spans="1:75" x14ac:dyDescent="0.35">
      <c r="A109" s="55" t="s">
        <v>29</v>
      </c>
      <c r="B109" s="7">
        <f t="shared" ref="B109:T109" si="118">SUM(B102:B108)</f>
        <v>0</v>
      </c>
      <c r="C109" s="7">
        <f t="shared" si="118"/>
        <v>0</v>
      </c>
      <c r="D109" s="7">
        <f t="shared" si="118"/>
        <v>0</v>
      </c>
      <c r="E109" s="7">
        <f t="shared" si="118"/>
        <v>0</v>
      </c>
      <c r="F109" s="7">
        <f t="shared" si="118"/>
        <v>0</v>
      </c>
      <c r="G109" s="7">
        <f t="shared" si="118"/>
        <v>0</v>
      </c>
      <c r="H109" s="7">
        <f t="shared" si="118"/>
        <v>0</v>
      </c>
      <c r="I109" s="7">
        <f t="shared" si="118"/>
        <v>0</v>
      </c>
      <c r="J109" s="7">
        <f t="shared" si="118"/>
        <v>0</v>
      </c>
      <c r="K109" s="7">
        <f>SUM(K102:K108)</f>
        <v>0</v>
      </c>
      <c r="L109" s="7">
        <f t="shared" si="118"/>
        <v>0</v>
      </c>
      <c r="M109" s="7">
        <f t="shared" si="118"/>
        <v>0</v>
      </c>
      <c r="N109" s="7">
        <f t="shared" si="118"/>
        <v>0</v>
      </c>
      <c r="O109" s="7">
        <f t="shared" si="118"/>
        <v>0</v>
      </c>
      <c r="P109" s="7">
        <f t="shared" si="118"/>
        <v>0</v>
      </c>
      <c r="Q109" s="7">
        <f>SUM(Q102:Q108)</f>
        <v>0</v>
      </c>
      <c r="R109" s="7">
        <f t="shared" si="118"/>
        <v>0</v>
      </c>
      <c r="S109" s="7">
        <f t="shared" si="118"/>
        <v>0</v>
      </c>
      <c r="T109" s="7">
        <f t="shared" si="118"/>
        <v>0</v>
      </c>
      <c r="U109" s="7">
        <f t="shared" ref="U109" si="119">SUM(U102:U108)</f>
        <v>0</v>
      </c>
      <c r="V109" s="7">
        <f>SUM(V102:V108)</f>
        <v>0</v>
      </c>
      <c r="W109" s="31">
        <f>SUM(W102:W108)</f>
        <v>0</v>
      </c>
      <c r="X109" s="7"/>
      <c r="Y109" s="7"/>
      <c r="Z109" s="57" t="s">
        <v>171</v>
      </c>
      <c r="AA109" s="19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row>
    <row r="110" spans="1:75" x14ac:dyDescent="0.35">
      <c r="A110" s="55" t="s">
        <v>33</v>
      </c>
      <c r="B110" s="7">
        <f>B109-B95</f>
        <v>0</v>
      </c>
      <c r="C110" s="7">
        <f>C109-C95</f>
        <v>0</v>
      </c>
      <c r="D110" s="7">
        <f t="shared" ref="D110:T110" si="120">D109-D95</f>
        <v>0</v>
      </c>
      <c r="E110" s="7">
        <f t="shared" si="120"/>
        <v>0</v>
      </c>
      <c r="F110" s="7">
        <f t="shared" si="120"/>
        <v>0</v>
      </c>
      <c r="G110" s="7">
        <f t="shared" si="120"/>
        <v>0</v>
      </c>
      <c r="H110" s="7">
        <f t="shared" si="120"/>
        <v>0</v>
      </c>
      <c r="I110" s="7">
        <f t="shared" si="120"/>
        <v>0</v>
      </c>
      <c r="J110" s="7">
        <f t="shared" si="120"/>
        <v>0</v>
      </c>
      <c r="K110" s="7">
        <f>K109-K95</f>
        <v>0</v>
      </c>
      <c r="L110" s="7">
        <f t="shared" si="120"/>
        <v>0</v>
      </c>
      <c r="M110" s="7">
        <f t="shared" si="120"/>
        <v>0</v>
      </c>
      <c r="N110" s="7">
        <f t="shared" si="120"/>
        <v>0</v>
      </c>
      <c r="O110" s="7">
        <f t="shared" si="120"/>
        <v>0</v>
      </c>
      <c r="P110" s="7">
        <f t="shared" si="120"/>
        <v>0</v>
      </c>
      <c r="Q110" s="7">
        <f>Q109-Q95</f>
        <v>0</v>
      </c>
      <c r="R110" s="7">
        <f t="shared" si="120"/>
        <v>0</v>
      </c>
      <c r="S110" s="7">
        <f t="shared" si="120"/>
        <v>0</v>
      </c>
      <c r="T110" s="7">
        <f t="shared" si="120"/>
        <v>0</v>
      </c>
      <c r="U110" s="7">
        <f t="shared" ref="U110" si="121">U109-U95</f>
        <v>0</v>
      </c>
      <c r="V110" s="7">
        <f>V109-V95</f>
        <v>0</v>
      </c>
      <c r="W110" s="7">
        <f>W109-W95</f>
        <v>0</v>
      </c>
      <c r="X110" s="7"/>
      <c r="Y110" s="7"/>
      <c r="Z110" s="57"/>
      <c r="AA110" s="19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row>
    <row r="111" spans="1:75" x14ac:dyDescent="0.35">
      <c r="A111" s="55" t="s">
        <v>110</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cm="1">
        <f t="array" ref="S111">IF(COUNTIF(AU101:AU107,0)=0,
    LOOKUP(2,1/(AU101:AU107&lt;&gt;""),AU101:AU107),
    MATCH(0,INDEX(AU101:AU107,MAX(ROW(AU101:AU107))-ROW(AU101:AU107)+1),0)-1
)</f>
        <v>0</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19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row>
    <row r="112" spans="1:75" x14ac:dyDescent="0.35">
      <c r="A112" s="55" t="s">
        <v>99</v>
      </c>
      <c r="B112" s="7">
        <f>B109+B98</f>
        <v>2</v>
      </c>
      <c r="C112" s="7">
        <f t="shared" ref="C112:T112" si="122">C109+C98</f>
        <v>0</v>
      </c>
      <c r="D112" s="7">
        <f t="shared" si="122"/>
        <v>5</v>
      </c>
      <c r="E112" s="7">
        <f t="shared" si="122"/>
        <v>9</v>
      </c>
      <c r="F112" s="7">
        <f t="shared" si="122"/>
        <v>4</v>
      </c>
      <c r="G112" s="7">
        <f t="shared" si="122"/>
        <v>0</v>
      </c>
      <c r="H112" s="7">
        <f t="shared" si="122"/>
        <v>0</v>
      </c>
      <c r="I112" s="7">
        <f t="shared" si="122"/>
        <v>3</v>
      </c>
      <c r="J112" s="7">
        <f t="shared" si="122"/>
        <v>0</v>
      </c>
      <c r="K112" s="7">
        <f>K109+K98</f>
        <v>0.75</v>
      </c>
      <c r="L112" s="7">
        <f t="shared" si="122"/>
        <v>2</v>
      </c>
      <c r="M112" s="7">
        <f t="shared" si="122"/>
        <v>1</v>
      </c>
      <c r="N112" s="7">
        <f t="shared" si="122"/>
        <v>2.5</v>
      </c>
      <c r="O112" s="7">
        <f t="shared" si="122"/>
        <v>2</v>
      </c>
      <c r="P112" s="7">
        <f t="shared" si="122"/>
        <v>0</v>
      </c>
      <c r="Q112" s="7">
        <f>Q109+Q98</f>
        <v>0</v>
      </c>
      <c r="R112" s="7">
        <f t="shared" si="122"/>
        <v>1</v>
      </c>
      <c r="S112" s="7">
        <f t="shared" si="122"/>
        <v>3</v>
      </c>
      <c r="T112" s="7">
        <f t="shared" si="122"/>
        <v>0</v>
      </c>
      <c r="U112" s="7">
        <f t="shared" ref="U112" si="123">U109+U98</f>
        <v>-1</v>
      </c>
      <c r="V112" s="7">
        <f>V109+V98</f>
        <v>2</v>
      </c>
      <c r="W112" s="7">
        <f>W109+W98</f>
        <v>36.25</v>
      </c>
      <c r="X112" s="7"/>
      <c r="Y112" s="7">
        <f>SUM(Y102:Y108)</f>
        <v>0</v>
      </c>
      <c r="Z112" s="57"/>
      <c r="AA112" s="19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row>
    <row r="113" spans="1:75" x14ac:dyDescent="0.35">
      <c r="A113" s="55" t="s">
        <v>112</v>
      </c>
      <c r="B113" s="174">
        <f>(COUNTIF(B4:B10, "&gt;0")+COUNTIF(B18:B24, "&gt;0")+COUNTIF(B32:B38, "&gt;0")+COUNTIF(B46:B52, "&gt;0")+COUNTIF(B60:B66, "&gt;0")+COUNTIF(B74:B80, "&gt;0")+COUNTIF(B88:B94, "&gt;0") + COUNTIF(B102:B108, "&gt;0")) / 56</f>
        <v>1.7857142857142856E-2</v>
      </c>
      <c r="C113" s="174">
        <f t="shared" ref="C113:O113" si="124">(COUNTIF(C4:C10, "&gt;0")+COUNTIF(C18:C24, "&gt;0")+COUNTIF(C32:C38, "&gt;0")+COUNTIF(C46:C52, "&gt;0")+COUNTIF(C60:C66, "&gt;0")+COUNTIF(C74:C80, "&gt;0")+COUNTIF(C88:C94, "&gt;0") + COUNTIF(C102:C108, "&gt;0")) / 56</f>
        <v>0</v>
      </c>
      <c r="D113" s="174">
        <f t="shared" si="124"/>
        <v>1.7857142857142856E-2</v>
      </c>
      <c r="E113" s="174">
        <f t="shared" si="124"/>
        <v>1.7857142857142856E-2</v>
      </c>
      <c r="F113" s="174">
        <f t="shared" si="124"/>
        <v>1.7857142857142856E-2</v>
      </c>
      <c r="G113" s="174">
        <f t="shared" si="124"/>
        <v>0</v>
      </c>
      <c r="H113" s="174">
        <f t="shared" si="124"/>
        <v>0</v>
      </c>
      <c r="I113" s="174">
        <f t="shared" si="124"/>
        <v>1.7857142857142856E-2</v>
      </c>
      <c r="J113" s="174">
        <f t="shared" si="124"/>
        <v>0</v>
      </c>
      <c r="K113" s="174">
        <f t="shared" si="124"/>
        <v>1.7857142857142856E-2</v>
      </c>
      <c r="L113" s="174">
        <f t="shared" si="124"/>
        <v>1.7857142857142856E-2</v>
      </c>
      <c r="M113" s="174">
        <f t="shared" si="124"/>
        <v>1.7857142857142856E-2</v>
      </c>
      <c r="N113" s="174">
        <f t="shared" si="124"/>
        <v>1.7857142857142856E-2</v>
      </c>
      <c r="O113" s="174">
        <f t="shared" si="124"/>
        <v>1.7857142857142856E-2</v>
      </c>
      <c r="P113" s="7"/>
      <c r="Q113" s="7"/>
      <c r="R113" s="7"/>
      <c r="S113" s="7"/>
      <c r="T113" s="7"/>
      <c r="U113" s="55" t="s">
        <v>31</v>
      </c>
      <c r="V113" s="7">
        <f>SUMIF(B109:V109,"&lt;0",B109:V109)</f>
        <v>0</v>
      </c>
      <c r="W113" s="7">
        <f>SUMIF(B109:V109,"&gt;0",B109:V109)</f>
        <v>0</v>
      </c>
      <c r="Y113" s="7"/>
      <c r="Z113" s="57"/>
      <c r="AA113" s="19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row>
    <row r="114" spans="1:75"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t="s">
        <v>128</v>
      </c>
      <c r="BA114" s="7"/>
      <c r="BB114" s="7"/>
      <c r="BC114" s="7"/>
      <c r="BD114" s="7"/>
      <c r="BE114" s="7"/>
      <c r="BF114" s="7"/>
      <c r="BG114" s="7"/>
      <c r="BH114" s="7"/>
      <c r="BI114" s="7"/>
      <c r="BJ114" s="7"/>
      <c r="BK114" s="7"/>
      <c r="BL114" s="7"/>
      <c r="BM114" s="7"/>
      <c r="BN114" s="7"/>
      <c r="BO114" s="7"/>
      <c r="BP114" s="7"/>
      <c r="BQ114" s="7"/>
      <c r="BR114" s="7"/>
      <c r="BS114" s="7"/>
      <c r="BT114" s="7"/>
      <c r="BU114" s="7"/>
    </row>
    <row r="115" spans="1:75" x14ac:dyDescent="0.35">
      <c r="A115" s="104" t="s">
        <v>60</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70</v>
      </c>
      <c r="AD115" s="7"/>
      <c r="AE115" s="7"/>
      <c r="AF115" s="7"/>
      <c r="AG115" s="7"/>
      <c r="AH115" s="7"/>
      <c r="AI115" s="7"/>
      <c r="AJ115" s="7"/>
      <c r="AK115" s="7"/>
      <c r="AL115" s="7"/>
      <c r="AM115" s="7"/>
      <c r="AN115" s="7"/>
      <c r="AO115" s="7"/>
      <c r="AP115" s="7"/>
      <c r="AQ115" s="7"/>
      <c r="AR115" s="7"/>
      <c r="AS115" s="7"/>
      <c r="AT115" s="7"/>
      <c r="AU115" s="7"/>
      <c r="AV115" s="7"/>
      <c r="AW115" s="7"/>
      <c r="AX115" s="7"/>
      <c r="AY115" s="7"/>
      <c r="AZ115" s="12"/>
      <c r="BA115" s="12"/>
      <c r="BB115" s="12"/>
      <c r="BC115" s="12"/>
      <c r="BD115" s="12"/>
      <c r="BE115" s="12"/>
      <c r="BF115" s="12"/>
      <c r="BG115" s="12"/>
      <c r="BH115" s="12"/>
      <c r="BI115" s="12"/>
      <c r="BJ115" s="12"/>
      <c r="BK115" s="12"/>
      <c r="BL115" s="12"/>
      <c r="BM115" s="12"/>
      <c r="BN115" s="12"/>
      <c r="BO115" s="12"/>
      <c r="BP115" s="12"/>
      <c r="BQ115" s="12"/>
      <c r="BR115" s="12"/>
      <c r="BS115" s="12"/>
      <c r="BT115" s="203"/>
      <c r="BU115" s="12">
        <v>0</v>
      </c>
      <c r="BW115">
        <v>0</v>
      </c>
    </row>
    <row r="116" spans="1:75" x14ac:dyDescent="0.35">
      <c r="A116" s="82" t="s">
        <v>22</v>
      </c>
      <c r="B116" s="7"/>
      <c r="C116" s="7"/>
      <c r="D116" s="7"/>
      <c r="E116" s="7"/>
      <c r="F116" s="7"/>
      <c r="G116" s="7"/>
      <c r="H116" s="7"/>
      <c r="I116" s="7"/>
      <c r="J116" s="7"/>
      <c r="K116" s="7"/>
      <c r="L116" s="7"/>
      <c r="M116" s="7"/>
      <c r="N116" s="7"/>
      <c r="O116" s="7"/>
      <c r="P116" s="7"/>
      <c r="Q116" s="7"/>
      <c r="R116" s="7"/>
      <c r="S116" s="7"/>
      <c r="T116" s="7"/>
      <c r="U116" s="7"/>
      <c r="V116" s="7"/>
      <c r="W116" s="7">
        <f t="shared" ref="W116:W122" si="125">SUM(B116:V116)</f>
        <v>0</v>
      </c>
      <c r="X116" s="7">
        <f t="shared" ref="X116:X122" si="126">SUM(AD116:AW116)*0.1</f>
        <v>0</v>
      </c>
      <c r="Y116" s="7">
        <f t="shared" ref="Y116:Y122" si="127">W116+X116</f>
        <v>0</v>
      </c>
      <c r="Z116" s="58"/>
      <c r="AA116" s="59"/>
      <c r="AB116" s="7">
        <f>W116+AB102</f>
        <v>36.25</v>
      </c>
      <c r="AC116" s="7" t="s">
        <v>22</v>
      </c>
      <c r="AD116" s="7">
        <f t="shared" ref="AD116:AW116" si="128">IF(B116 &gt; 0, IF(AD108&gt; 0, AD108+ 1, 0.1), 0)</f>
        <v>0</v>
      </c>
      <c r="AE116" s="7">
        <f t="shared" si="128"/>
        <v>0</v>
      </c>
      <c r="AF116" s="7">
        <f t="shared" si="128"/>
        <v>0</v>
      </c>
      <c r="AG116" s="7">
        <f t="shared" si="128"/>
        <v>0</v>
      </c>
      <c r="AH116" s="7">
        <f t="shared" si="128"/>
        <v>0</v>
      </c>
      <c r="AI116" s="7">
        <f t="shared" si="128"/>
        <v>0</v>
      </c>
      <c r="AJ116" s="7">
        <f t="shared" si="128"/>
        <v>0</v>
      </c>
      <c r="AK116" s="7">
        <f t="shared" si="128"/>
        <v>0</v>
      </c>
      <c r="AL116" s="7">
        <f t="shared" si="128"/>
        <v>0</v>
      </c>
      <c r="AM116" s="7">
        <f t="shared" si="128"/>
        <v>0</v>
      </c>
      <c r="AN116" s="7">
        <f t="shared" si="128"/>
        <v>0</v>
      </c>
      <c r="AO116" s="7">
        <f t="shared" si="128"/>
        <v>0</v>
      </c>
      <c r="AP116" s="7">
        <f t="shared" si="128"/>
        <v>0</v>
      </c>
      <c r="AQ116" s="7">
        <f t="shared" si="128"/>
        <v>0</v>
      </c>
      <c r="AR116" s="7">
        <f t="shared" si="128"/>
        <v>0</v>
      </c>
      <c r="AS116" s="7">
        <f t="shared" si="128"/>
        <v>0</v>
      </c>
      <c r="AT116" s="7">
        <f t="shared" si="128"/>
        <v>0</v>
      </c>
      <c r="AU116" s="7">
        <f t="shared" si="128"/>
        <v>0</v>
      </c>
      <c r="AV116" s="7">
        <f t="shared" si="128"/>
        <v>0</v>
      </c>
      <c r="AW116" s="7">
        <f t="shared" si="128"/>
        <v>0</v>
      </c>
      <c r="AX116" s="7"/>
      <c r="AY116" s="7"/>
      <c r="AZ116" s="7">
        <f>SUM($B$116:B116)</f>
        <v>0</v>
      </c>
      <c r="BA116" s="7">
        <f>SUM($B$116:C116)</f>
        <v>0</v>
      </c>
      <c r="BB116" s="7">
        <f>SUM($B$116:D116)</f>
        <v>0</v>
      </c>
      <c r="BC116" s="7">
        <f>SUM($B$116:E116)</f>
        <v>0</v>
      </c>
      <c r="BD116" s="7">
        <f>SUM($B$116:F116)</f>
        <v>0</v>
      </c>
      <c r="BE116" s="7">
        <f>SUM($B$116:G116)</f>
        <v>0</v>
      </c>
      <c r="BF116" s="7">
        <f>SUM($B$116:H116)</f>
        <v>0</v>
      </c>
      <c r="BG116" s="7">
        <f>SUM($B$116:I116)</f>
        <v>0</v>
      </c>
      <c r="BH116" s="7">
        <f>SUM($B$116:J116)</f>
        <v>0</v>
      </c>
      <c r="BI116" s="7">
        <f>SUM($B$116:K116)</f>
        <v>0</v>
      </c>
      <c r="BJ116" s="7">
        <f>SUM($B$116:L116)</f>
        <v>0</v>
      </c>
      <c r="BK116" s="7">
        <f>SUM($B$116:M116)</f>
        <v>0</v>
      </c>
      <c r="BL116" s="7">
        <f>SUM($B$116:Q116)</f>
        <v>0</v>
      </c>
      <c r="BM116" s="7">
        <f>SUM($B$116:N116)</f>
        <v>0</v>
      </c>
      <c r="BN116" s="7">
        <f>SUM($B$116:O116)</f>
        <v>0</v>
      </c>
      <c r="BO116" s="7">
        <f>SUM($B$116:P116)</f>
        <v>0</v>
      </c>
      <c r="BP116" s="7">
        <f>SUM($B$116:R116)</f>
        <v>0</v>
      </c>
      <c r="BQ116" s="7">
        <f>SUM($B$116:S116)</f>
        <v>0</v>
      </c>
      <c r="BR116" s="7">
        <f>SUM($B$116:T116)</f>
        <v>0</v>
      </c>
      <c r="BS116" s="7">
        <f>SUM($B$116:V116)</f>
        <v>0</v>
      </c>
      <c r="BT116" s="7"/>
      <c r="BU116" s="7">
        <f>SUM($BS$116:BS116)</f>
        <v>0</v>
      </c>
      <c r="BV116">
        <f t="shared" si="85"/>
        <v>0</v>
      </c>
      <c r="BW116">
        <f>SUM($BV$116:BV116)</f>
        <v>0</v>
      </c>
    </row>
    <row r="117" spans="1:75" x14ac:dyDescent="0.35">
      <c r="A117" s="93" t="s">
        <v>23</v>
      </c>
      <c r="B117" s="7"/>
      <c r="C117" s="7"/>
      <c r="D117" s="7"/>
      <c r="E117" s="7"/>
      <c r="F117" s="7"/>
      <c r="G117" s="7"/>
      <c r="H117" s="7"/>
      <c r="I117" s="7"/>
      <c r="J117" s="7"/>
      <c r="K117" s="7"/>
      <c r="L117" s="7"/>
      <c r="M117" s="7"/>
      <c r="N117" s="7"/>
      <c r="O117" s="7"/>
      <c r="P117" s="7"/>
      <c r="Q117" s="7"/>
      <c r="R117" s="7"/>
      <c r="S117" s="7"/>
      <c r="T117" s="7"/>
      <c r="U117" s="7"/>
      <c r="V117" s="7"/>
      <c r="W117" s="7">
        <f t="shared" si="125"/>
        <v>0</v>
      </c>
      <c r="X117" s="7">
        <f t="shared" si="126"/>
        <v>0</v>
      </c>
      <c r="Y117" s="7">
        <f t="shared" si="127"/>
        <v>0</v>
      </c>
      <c r="Z117" s="58"/>
      <c r="AA117" s="59"/>
      <c r="AB117" s="7">
        <f t="shared" ref="AB117:AB122" si="129">AB103+W117</f>
        <v>0</v>
      </c>
      <c r="AC117" s="7" t="s">
        <v>23</v>
      </c>
      <c r="AD117" s="7">
        <f t="shared" ref="AD117:AM122" si="130">IF(B117 &gt; 0, IF(AD116 &gt; 0, AD116 + 1, 0.1), 0)</f>
        <v>0</v>
      </c>
      <c r="AE117" s="7">
        <f t="shared" si="130"/>
        <v>0</v>
      </c>
      <c r="AF117" s="7">
        <f t="shared" si="130"/>
        <v>0</v>
      </c>
      <c r="AG117" s="7">
        <f t="shared" si="130"/>
        <v>0</v>
      </c>
      <c r="AH117" s="7">
        <f t="shared" si="130"/>
        <v>0</v>
      </c>
      <c r="AI117" s="7">
        <f t="shared" si="130"/>
        <v>0</v>
      </c>
      <c r="AJ117" s="7">
        <f t="shared" si="130"/>
        <v>0</v>
      </c>
      <c r="AK117" s="7">
        <f t="shared" si="130"/>
        <v>0</v>
      </c>
      <c r="AL117" s="7">
        <f t="shared" si="130"/>
        <v>0</v>
      </c>
      <c r="AM117" s="7">
        <f t="shared" si="130"/>
        <v>0</v>
      </c>
      <c r="AN117" s="7">
        <f t="shared" ref="AN117:AT122" si="131">IF(L117 &gt; 0, IF(AN116 &gt; 0, AN116 + 1, 0.1), 0)</f>
        <v>0</v>
      </c>
      <c r="AO117" s="7">
        <f t="shared" si="131"/>
        <v>0</v>
      </c>
      <c r="AP117" s="7">
        <f t="shared" si="131"/>
        <v>0</v>
      </c>
      <c r="AQ117" s="7">
        <f t="shared" si="131"/>
        <v>0</v>
      </c>
      <c r="AR117" s="7">
        <f t="shared" si="131"/>
        <v>0</v>
      </c>
      <c r="AS117" s="7">
        <f t="shared" si="131"/>
        <v>0</v>
      </c>
      <c r="AT117" s="7">
        <f t="shared" si="131"/>
        <v>0</v>
      </c>
      <c r="AU117" s="7">
        <f t="shared" ref="AU117:AU122" si="132">IF(S117 &gt; 0, IF(AU109&gt; 0, AU109+ 1, 0.1), 0)</f>
        <v>0</v>
      </c>
      <c r="AV117" s="7">
        <f t="shared" ref="AV117:AW122" si="133">IF(T117 &gt; 0, IF(AV116 &gt; 0, AV116 + 1, 0.1), 0)</f>
        <v>0</v>
      </c>
      <c r="AW117" s="7">
        <f t="shared" si="133"/>
        <v>0</v>
      </c>
      <c r="AX117" s="7"/>
      <c r="AY117" s="7"/>
      <c r="AZ117" s="7">
        <f>SUM($B$117:B117)</f>
        <v>0</v>
      </c>
      <c r="BA117" s="7">
        <f>SUM($B$117:C117)</f>
        <v>0</v>
      </c>
      <c r="BB117" s="7">
        <f>SUM($B$117:D117)</f>
        <v>0</v>
      </c>
      <c r="BC117" s="7">
        <f>SUM($B$117:E117)</f>
        <v>0</v>
      </c>
      <c r="BD117" s="7">
        <f>SUM($B$117:F117)</f>
        <v>0</v>
      </c>
      <c r="BE117" s="7">
        <f>SUM($B$117:G117)</f>
        <v>0</v>
      </c>
      <c r="BF117" s="7">
        <f>SUM($B$117:H117)</f>
        <v>0</v>
      </c>
      <c r="BG117" s="7">
        <f>SUM($B$117:I117)</f>
        <v>0</v>
      </c>
      <c r="BH117" s="7">
        <f>SUM($B$117:J117)</f>
        <v>0</v>
      </c>
      <c r="BI117" s="7">
        <f>SUM($B$117:K117)</f>
        <v>0</v>
      </c>
      <c r="BJ117" s="7">
        <f>SUM($B$117:L117)</f>
        <v>0</v>
      </c>
      <c r="BK117" s="7">
        <f>SUM($B$117:M117)</f>
        <v>0</v>
      </c>
      <c r="BL117" s="7">
        <f>SUM($B$117:Q117)</f>
        <v>0</v>
      </c>
      <c r="BM117" s="7">
        <f>SUM($B$117:N117)</f>
        <v>0</v>
      </c>
      <c r="BN117" s="7">
        <f>SUM($B$117:O117)</f>
        <v>0</v>
      </c>
      <c r="BO117" s="7">
        <f>SUM($B$117:P117)</f>
        <v>0</v>
      </c>
      <c r="BP117" s="7">
        <f>SUM($B$117:R117)</f>
        <v>0</v>
      </c>
      <c r="BQ117" s="7">
        <f>SUM($B$117:S117)</f>
        <v>0</v>
      </c>
      <c r="BR117" s="7">
        <f>SUM($B$117:T117)</f>
        <v>0</v>
      </c>
      <c r="BS117" s="7">
        <f>SUM($B$117:V117)</f>
        <v>0</v>
      </c>
      <c r="BT117" s="7"/>
      <c r="BU117" s="7">
        <f>SUM($BS$116:BS117)</f>
        <v>0</v>
      </c>
      <c r="BV117">
        <f t="shared" si="85"/>
        <v>0</v>
      </c>
      <c r="BW117">
        <f>SUM($BV$116:BV117)</f>
        <v>0</v>
      </c>
    </row>
    <row r="118" spans="1:75" x14ac:dyDescent="0.35">
      <c r="A118" s="116" t="s">
        <v>24</v>
      </c>
      <c r="B118" s="7"/>
      <c r="C118" s="7"/>
      <c r="D118" s="7"/>
      <c r="E118" s="7"/>
      <c r="F118" s="7"/>
      <c r="G118" s="7"/>
      <c r="H118" s="7"/>
      <c r="I118" s="7"/>
      <c r="J118" s="7"/>
      <c r="K118" s="7"/>
      <c r="L118" s="7"/>
      <c r="M118" s="7"/>
      <c r="N118" s="7"/>
      <c r="O118" s="7"/>
      <c r="P118" s="7"/>
      <c r="Q118" s="7"/>
      <c r="R118" s="7"/>
      <c r="S118" s="7"/>
      <c r="T118" s="7"/>
      <c r="U118" s="7"/>
      <c r="V118" s="7"/>
      <c r="W118" s="7">
        <f t="shared" si="125"/>
        <v>0</v>
      </c>
      <c r="X118" s="7">
        <f t="shared" si="126"/>
        <v>0</v>
      </c>
      <c r="Y118" s="7">
        <f t="shared" si="127"/>
        <v>0</v>
      </c>
      <c r="Z118" s="58"/>
      <c r="AA118" s="59"/>
      <c r="AB118" s="7">
        <f t="shared" si="129"/>
        <v>0</v>
      </c>
      <c r="AC118" s="7" t="s">
        <v>24</v>
      </c>
      <c r="AD118" s="7">
        <f t="shared" si="130"/>
        <v>0</v>
      </c>
      <c r="AE118" s="7">
        <f t="shared" si="130"/>
        <v>0</v>
      </c>
      <c r="AF118" s="7">
        <f t="shared" si="130"/>
        <v>0</v>
      </c>
      <c r="AG118" s="7">
        <f t="shared" si="130"/>
        <v>0</v>
      </c>
      <c r="AH118" s="7">
        <f t="shared" si="130"/>
        <v>0</v>
      </c>
      <c r="AI118" s="7">
        <f t="shared" si="130"/>
        <v>0</v>
      </c>
      <c r="AJ118" s="7">
        <f t="shared" si="130"/>
        <v>0</v>
      </c>
      <c r="AK118" s="7">
        <f t="shared" si="130"/>
        <v>0</v>
      </c>
      <c r="AL118" s="7">
        <f t="shared" si="130"/>
        <v>0</v>
      </c>
      <c r="AM118" s="7">
        <f t="shared" si="130"/>
        <v>0</v>
      </c>
      <c r="AN118" s="7">
        <f t="shared" si="131"/>
        <v>0</v>
      </c>
      <c r="AO118" s="7">
        <f t="shared" si="131"/>
        <v>0</v>
      </c>
      <c r="AP118" s="7">
        <f t="shared" si="131"/>
        <v>0</v>
      </c>
      <c r="AQ118" s="7">
        <f t="shared" si="131"/>
        <v>0</v>
      </c>
      <c r="AR118" s="7">
        <f t="shared" si="131"/>
        <v>0</v>
      </c>
      <c r="AS118" s="7">
        <f t="shared" si="131"/>
        <v>0</v>
      </c>
      <c r="AT118" s="7">
        <f t="shared" si="131"/>
        <v>0</v>
      </c>
      <c r="AU118" s="7">
        <f t="shared" si="132"/>
        <v>0</v>
      </c>
      <c r="AV118" s="7">
        <f t="shared" si="133"/>
        <v>0</v>
      </c>
      <c r="AW118" s="7">
        <f t="shared" si="133"/>
        <v>0</v>
      </c>
      <c r="AX118" s="7"/>
      <c r="AY118" s="7"/>
      <c r="AZ118" s="7">
        <f>SUM($B$118:B118)</f>
        <v>0</v>
      </c>
      <c r="BA118" s="7">
        <f>SUM($B$118:C118)</f>
        <v>0</v>
      </c>
      <c r="BB118" s="7">
        <f>SUM($B$118:D118)</f>
        <v>0</v>
      </c>
      <c r="BC118" s="7">
        <f>SUM($B$118:E118)</f>
        <v>0</v>
      </c>
      <c r="BD118" s="7">
        <f>SUM($B$118:F118)</f>
        <v>0</v>
      </c>
      <c r="BE118" s="7">
        <f>SUM($B$118:G118)</f>
        <v>0</v>
      </c>
      <c r="BF118" s="7">
        <f>SUM($B$118:H118)</f>
        <v>0</v>
      </c>
      <c r="BG118" s="7">
        <f>SUM($B$118:I118)</f>
        <v>0</v>
      </c>
      <c r="BH118" s="7">
        <f>SUM($B$118:J118)</f>
        <v>0</v>
      </c>
      <c r="BI118" s="7">
        <f>SUM($B$118:K118)</f>
        <v>0</v>
      </c>
      <c r="BJ118" s="7">
        <f>SUM($B$118:L118)</f>
        <v>0</v>
      </c>
      <c r="BK118" s="7">
        <f>SUM($B$118:M118)</f>
        <v>0</v>
      </c>
      <c r="BL118" s="7">
        <f>SUM($B$118:Q118)</f>
        <v>0</v>
      </c>
      <c r="BM118" s="7">
        <f>SUM($B$118:N118)</f>
        <v>0</v>
      </c>
      <c r="BN118" s="7">
        <f>SUM($B$118:O118)</f>
        <v>0</v>
      </c>
      <c r="BO118" s="7">
        <f>SUM($B$118:P118)</f>
        <v>0</v>
      </c>
      <c r="BP118" s="7">
        <f>SUM($B$118:R118)</f>
        <v>0</v>
      </c>
      <c r="BQ118" s="7">
        <f>SUM($B$118:S118)</f>
        <v>0</v>
      </c>
      <c r="BR118" s="7">
        <f>SUM($B$118:T118)</f>
        <v>0</v>
      </c>
      <c r="BS118" s="7">
        <f>SUM($B$118:V118)</f>
        <v>0</v>
      </c>
      <c r="BT118" s="7"/>
      <c r="BU118" s="7">
        <f>SUM($BS$116:BS118)</f>
        <v>0</v>
      </c>
      <c r="BV118">
        <f t="shared" si="85"/>
        <v>0</v>
      </c>
      <c r="BW118">
        <f>SUM($BV$116:BV118)</f>
        <v>0</v>
      </c>
    </row>
    <row r="119" spans="1:75" x14ac:dyDescent="0.35">
      <c r="A119" s="127" t="s">
        <v>25</v>
      </c>
      <c r="B119" s="7"/>
      <c r="C119" s="7"/>
      <c r="D119" s="7"/>
      <c r="E119" s="7"/>
      <c r="F119" s="7"/>
      <c r="G119" s="7"/>
      <c r="H119" s="7"/>
      <c r="I119" s="7"/>
      <c r="J119" s="7"/>
      <c r="K119" s="7"/>
      <c r="L119" s="7"/>
      <c r="M119" s="7"/>
      <c r="N119" s="7"/>
      <c r="O119" s="7"/>
      <c r="P119" s="7"/>
      <c r="Q119" s="7"/>
      <c r="R119" s="7"/>
      <c r="S119" s="7"/>
      <c r="T119" s="7"/>
      <c r="U119" s="7"/>
      <c r="V119" s="7"/>
      <c r="W119" s="7">
        <f t="shared" si="125"/>
        <v>0</v>
      </c>
      <c r="X119" s="7">
        <f t="shared" si="126"/>
        <v>0</v>
      </c>
      <c r="Y119" s="7">
        <f t="shared" si="127"/>
        <v>0</v>
      </c>
      <c r="Z119" s="58"/>
      <c r="AA119" s="194"/>
      <c r="AB119" s="7">
        <f t="shared" si="129"/>
        <v>0</v>
      </c>
      <c r="AC119" s="7" t="s">
        <v>25</v>
      </c>
      <c r="AD119" s="7">
        <f t="shared" si="130"/>
        <v>0</v>
      </c>
      <c r="AE119" s="7">
        <f t="shared" si="130"/>
        <v>0</v>
      </c>
      <c r="AF119" s="7">
        <f t="shared" si="130"/>
        <v>0</v>
      </c>
      <c r="AG119" s="7">
        <f t="shared" si="130"/>
        <v>0</v>
      </c>
      <c r="AH119" s="7">
        <f t="shared" si="130"/>
        <v>0</v>
      </c>
      <c r="AI119" s="7">
        <f t="shared" si="130"/>
        <v>0</v>
      </c>
      <c r="AJ119" s="7">
        <f t="shared" si="130"/>
        <v>0</v>
      </c>
      <c r="AK119" s="7">
        <f t="shared" si="130"/>
        <v>0</v>
      </c>
      <c r="AL119" s="7">
        <f t="shared" si="130"/>
        <v>0</v>
      </c>
      <c r="AM119" s="7">
        <f t="shared" si="130"/>
        <v>0</v>
      </c>
      <c r="AN119" s="7">
        <f t="shared" si="131"/>
        <v>0</v>
      </c>
      <c r="AO119" s="7">
        <f t="shared" si="131"/>
        <v>0</v>
      </c>
      <c r="AP119" s="7">
        <f t="shared" si="131"/>
        <v>0</v>
      </c>
      <c r="AQ119" s="7">
        <f t="shared" si="131"/>
        <v>0</v>
      </c>
      <c r="AR119" s="7">
        <f t="shared" si="131"/>
        <v>0</v>
      </c>
      <c r="AS119" s="7">
        <f t="shared" si="131"/>
        <v>0</v>
      </c>
      <c r="AT119" s="7">
        <f t="shared" si="131"/>
        <v>0</v>
      </c>
      <c r="AU119" s="7">
        <f t="shared" si="132"/>
        <v>0</v>
      </c>
      <c r="AV119" s="7">
        <f t="shared" si="133"/>
        <v>0</v>
      </c>
      <c r="AW119" s="7">
        <f t="shared" si="133"/>
        <v>0</v>
      </c>
      <c r="AX119" s="7"/>
      <c r="AY119" s="7"/>
      <c r="AZ119" s="7">
        <f>SUM($B$119:B119)</f>
        <v>0</v>
      </c>
      <c r="BA119" s="7">
        <f>SUM($B$119:C119)</f>
        <v>0</v>
      </c>
      <c r="BB119" s="7">
        <f>SUM($B$119:D119)</f>
        <v>0</v>
      </c>
      <c r="BC119" s="7">
        <f>SUM($B$119:E119)</f>
        <v>0</v>
      </c>
      <c r="BD119" s="7">
        <f>SUM($B$119:F119)</f>
        <v>0</v>
      </c>
      <c r="BE119" s="7">
        <f>SUM($B$119:G119)</f>
        <v>0</v>
      </c>
      <c r="BF119" s="7">
        <f>SUM($B$119:H119)</f>
        <v>0</v>
      </c>
      <c r="BG119" s="7">
        <f>SUM($B$119:I119)</f>
        <v>0</v>
      </c>
      <c r="BH119" s="7">
        <f>SUM($B$119:J119)</f>
        <v>0</v>
      </c>
      <c r="BI119" s="7">
        <f>SUM($B$119:K119)</f>
        <v>0</v>
      </c>
      <c r="BJ119" s="7">
        <f>SUM($B$119:L119)</f>
        <v>0</v>
      </c>
      <c r="BK119" s="7">
        <f>SUM($B$119:M119)</f>
        <v>0</v>
      </c>
      <c r="BL119" s="7">
        <f>SUM($B$119:Q119)</f>
        <v>0</v>
      </c>
      <c r="BM119" s="7">
        <f>SUM($B$119:N119)</f>
        <v>0</v>
      </c>
      <c r="BN119" s="7">
        <f>SUM($B$119:O119)</f>
        <v>0</v>
      </c>
      <c r="BO119" s="7">
        <f>SUM($B$119:P119)</f>
        <v>0</v>
      </c>
      <c r="BP119" s="7">
        <f>SUM($B$119:R119)</f>
        <v>0</v>
      </c>
      <c r="BQ119" s="7">
        <f>SUM($B$119:S119)</f>
        <v>0</v>
      </c>
      <c r="BR119" s="7">
        <f>SUM($B$119:T119)</f>
        <v>0</v>
      </c>
      <c r="BS119" s="7">
        <f>SUM($B$119:V119)</f>
        <v>0</v>
      </c>
      <c r="BT119" s="7"/>
      <c r="BU119" s="7">
        <f>SUM($BS$116:BS119)</f>
        <v>0</v>
      </c>
      <c r="BV119">
        <f t="shared" si="85"/>
        <v>0</v>
      </c>
      <c r="BW119">
        <f>SUM($BV$116:BV119)</f>
        <v>0</v>
      </c>
    </row>
    <row r="120" spans="1:75" x14ac:dyDescent="0.35">
      <c r="A120" s="138" t="s">
        <v>26</v>
      </c>
      <c r="B120" s="7"/>
      <c r="C120" s="7"/>
      <c r="D120" s="7"/>
      <c r="E120" s="7"/>
      <c r="F120" s="7"/>
      <c r="G120" s="7"/>
      <c r="H120" s="7"/>
      <c r="I120" s="7"/>
      <c r="J120" s="7"/>
      <c r="K120" s="7"/>
      <c r="L120" s="7"/>
      <c r="M120" s="7"/>
      <c r="N120" s="7"/>
      <c r="O120" s="7"/>
      <c r="P120" s="7"/>
      <c r="Q120" s="7"/>
      <c r="R120" s="7"/>
      <c r="S120" s="7"/>
      <c r="T120" s="7"/>
      <c r="U120" s="7"/>
      <c r="V120" s="7"/>
      <c r="W120" s="7">
        <f t="shared" si="125"/>
        <v>0</v>
      </c>
      <c r="X120" s="7">
        <f t="shared" si="126"/>
        <v>0</v>
      </c>
      <c r="Y120" s="7">
        <f t="shared" si="127"/>
        <v>0</v>
      </c>
      <c r="Z120" s="58"/>
      <c r="AA120" s="59"/>
      <c r="AB120" s="7">
        <f t="shared" si="129"/>
        <v>0</v>
      </c>
      <c r="AC120" s="7" t="s">
        <v>26</v>
      </c>
      <c r="AD120" s="7">
        <f t="shared" si="130"/>
        <v>0</v>
      </c>
      <c r="AE120" s="7">
        <f t="shared" si="130"/>
        <v>0</v>
      </c>
      <c r="AF120" s="7">
        <f t="shared" si="130"/>
        <v>0</v>
      </c>
      <c r="AG120" s="7">
        <f t="shared" si="130"/>
        <v>0</v>
      </c>
      <c r="AH120" s="7">
        <f t="shared" si="130"/>
        <v>0</v>
      </c>
      <c r="AI120" s="7">
        <f t="shared" si="130"/>
        <v>0</v>
      </c>
      <c r="AJ120" s="7">
        <f t="shared" si="130"/>
        <v>0</v>
      </c>
      <c r="AK120" s="7">
        <f t="shared" si="130"/>
        <v>0</v>
      </c>
      <c r="AL120" s="7">
        <f t="shared" si="130"/>
        <v>0</v>
      </c>
      <c r="AM120" s="7">
        <f t="shared" si="130"/>
        <v>0</v>
      </c>
      <c r="AN120" s="7">
        <f t="shared" si="131"/>
        <v>0</v>
      </c>
      <c r="AO120" s="7">
        <f t="shared" si="131"/>
        <v>0</v>
      </c>
      <c r="AP120" s="7">
        <f t="shared" si="131"/>
        <v>0</v>
      </c>
      <c r="AQ120" s="7">
        <f t="shared" si="131"/>
        <v>0</v>
      </c>
      <c r="AR120" s="7">
        <f t="shared" si="131"/>
        <v>0</v>
      </c>
      <c r="AS120" s="7">
        <f t="shared" si="131"/>
        <v>0</v>
      </c>
      <c r="AT120" s="7">
        <f t="shared" si="131"/>
        <v>0</v>
      </c>
      <c r="AU120" s="7">
        <f t="shared" si="132"/>
        <v>0</v>
      </c>
      <c r="AV120" s="7">
        <f t="shared" si="133"/>
        <v>0</v>
      </c>
      <c r="AW120" s="7">
        <f t="shared" si="133"/>
        <v>0</v>
      </c>
      <c r="AX120" s="7"/>
      <c r="AY120" s="7"/>
      <c r="AZ120" s="7">
        <f>SUM($B$120:B120)</f>
        <v>0</v>
      </c>
      <c r="BA120" s="7">
        <f>SUM($B$120:C120)</f>
        <v>0</v>
      </c>
      <c r="BB120" s="7">
        <f>SUM($B$120:D120)</f>
        <v>0</v>
      </c>
      <c r="BC120" s="7">
        <f>SUM($B$120:E120)</f>
        <v>0</v>
      </c>
      <c r="BD120" s="7">
        <f>SUM($B$120:F120)</f>
        <v>0</v>
      </c>
      <c r="BE120" s="7">
        <f>SUM($B$120:G120)</f>
        <v>0</v>
      </c>
      <c r="BF120" s="7">
        <f>SUM($B$120:H120)</f>
        <v>0</v>
      </c>
      <c r="BG120" s="7">
        <f>SUM($B$120:I120)</f>
        <v>0</v>
      </c>
      <c r="BH120" s="7">
        <f>SUM($B$120:J120)</f>
        <v>0</v>
      </c>
      <c r="BI120" s="7">
        <f>SUM($B$120:K120)</f>
        <v>0</v>
      </c>
      <c r="BJ120" s="7">
        <f>SUM($B$120:L120)</f>
        <v>0</v>
      </c>
      <c r="BK120" s="7">
        <f>SUM($B$120:M120)</f>
        <v>0</v>
      </c>
      <c r="BL120" s="7">
        <f>SUM($B$120:Q120)</f>
        <v>0</v>
      </c>
      <c r="BM120" s="7">
        <f>SUM($B$120:N120)</f>
        <v>0</v>
      </c>
      <c r="BN120" s="7">
        <f>SUM($B$120:O120)</f>
        <v>0</v>
      </c>
      <c r="BO120" s="7">
        <f>SUM($B$120:P120)</f>
        <v>0</v>
      </c>
      <c r="BP120" s="7">
        <f>SUM($B$120:R120)</f>
        <v>0</v>
      </c>
      <c r="BQ120" s="7">
        <f>SUM($B$120:S120)</f>
        <v>0</v>
      </c>
      <c r="BR120" s="7">
        <f>SUM($B$120:T120)</f>
        <v>0</v>
      </c>
      <c r="BS120" s="7">
        <f>SUM($B$120:V120)</f>
        <v>0</v>
      </c>
      <c r="BT120" s="7"/>
      <c r="BU120" s="7">
        <f>SUM($BS$116:BS120)</f>
        <v>0</v>
      </c>
      <c r="BV120">
        <f t="shared" si="85"/>
        <v>0</v>
      </c>
      <c r="BW120">
        <f>SUM($BV$116:BV120)</f>
        <v>0</v>
      </c>
    </row>
    <row r="121" spans="1:75" x14ac:dyDescent="0.35">
      <c r="A121" s="149" t="s">
        <v>27</v>
      </c>
      <c r="B121" s="7"/>
      <c r="C121" s="7"/>
      <c r="D121" s="7"/>
      <c r="E121" s="7"/>
      <c r="F121" s="7"/>
      <c r="G121" s="7"/>
      <c r="H121" s="7"/>
      <c r="I121" s="7"/>
      <c r="J121" s="7"/>
      <c r="K121" s="7"/>
      <c r="L121" s="7"/>
      <c r="M121" s="7"/>
      <c r="N121" s="7"/>
      <c r="O121" s="7"/>
      <c r="P121" s="7"/>
      <c r="Q121" s="7"/>
      <c r="R121" s="7"/>
      <c r="S121" s="7"/>
      <c r="T121" s="7"/>
      <c r="U121" s="7"/>
      <c r="V121" s="7"/>
      <c r="W121" s="7">
        <f t="shared" si="125"/>
        <v>0</v>
      </c>
      <c r="X121" s="7">
        <f t="shared" si="126"/>
        <v>0</v>
      </c>
      <c r="Y121" s="7">
        <f t="shared" si="127"/>
        <v>0</v>
      </c>
      <c r="Z121" s="58"/>
      <c r="AA121" s="59"/>
      <c r="AB121" s="7">
        <f t="shared" si="129"/>
        <v>0</v>
      </c>
      <c r="AC121" s="7" t="s">
        <v>27</v>
      </c>
      <c r="AD121" s="7">
        <f t="shared" si="130"/>
        <v>0</v>
      </c>
      <c r="AE121" s="7">
        <f t="shared" si="130"/>
        <v>0</v>
      </c>
      <c r="AF121" s="7">
        <f t="shared" si="130"/>
        <v>0</v>
      </c>
      <c r="AG121" s="7">
        <f t="shared" si="130"/>
        <v>0</v>
      </c>
      <c r="AH121" s="7">
        <f t="shared" si="130"/>
        <v>0</v>
      </c>
      <c r="AI121" s="7">
        <f t="shared" si="130"/>
        <v>0</v>
      </c>
      <c r="AJ121" s="7">
        <f t="shared" si="130"/>
        <v>0</v>
      </c>
      <c r="AK121" s="7">
        <f t="shared" si="130"/>
        <v>0</v>
      </c>
      <c r="AL121" s="7">
        <f t="shared" si="130"/>
        <v>0</v>
      </c>
      <c r="AM121" s="7">
        <f t="shared" si="130"/>
        <v>0</v>
      </c>
      <c r="AN121" s="7">
        <f t="shared" si="131"/>
        <v>0</v>
      </c>
      <c r="AO121" s="7">
        <f t="shared" si="131"/>
        <v>0</v>
      </c>
      <c r="AP121" s="7">
        <f t="shared" si="131"/>
        <v>0</v>
      </c>
      <c r="AQ121" s="7">
        <f t="shared" si="131"/>
        <v>0</v>
      </c>
      <c r="AR121" s="7">
        <f t="shared" si="131"/>
        <v>0</v>
      </c>
      <c r="AS121" s="7">
        <f t="shared" si="131"/>
        <v>0</v>
      </c>
      <c r="AT121" s="7">
        <f t="shared" si="131"/>
        <v>0</v>
      </c>
      <c r="AU121" s="7">
        <f t="shared" si="132"/>
        <v>0</v>
      </c>
      <c r="AV121" s="7">
        <f t="shared" si="133"/>
        <v>0</v>
      </c>
      <c r="AW121" s="7">
        <f t="shared" si="133"/>
        <v>0</v>
      </c>
      <c r="AX121" s="7"/>
      <c r="AY121" s="7"/>
      <c r="AZ121" s="7">
        <f>SUM($B$121:B121)</f>
        <v>0</v>
      </c>
      <c r="BA121" s="7">
        <f>SUM($B$121:C121)</f>
        <v>0</v>
      </c>
      <c r="BB121" s="7">
        <f>SUM($B$121:D121)</f>
        <v>0</v>
      </c>
      <c r="BC121" s="7">
        <f>SUM($B$121:E121)</f>
        <v>0</v>
      </c>
      <c r="BD121" s="7">
        <f>SUM($B$121:F121)</f>
        <v>0</v>
      </c>
      <c r="BE121" s="7">
        <f>SUM($B$121:G121)</f>
        <v>0</v>
      </c>
      <c r="BF121" s="7">
        <f>SUM($B$121:H121)</f>
        <v>0</v>
      </c>
      <c r="BG121" s="7">
        <f>SUM($B$121:I121)</f>
        <v>0</v>
      </c>
      <c r="BH121" s="7">
        <f>SUM($B$121:J121)</f>
        <v>0</v>
      </c>
      <c r="BI121" s="7">
        <f>SUM($B$121:K121)</f>
        <v>0</v>
      </c>
      <c r="BJ121" s="7">
        <f>SUM($B$121:L121)</f>
        <v>0</v>
      </c>
      <c r="BK121" s="7">
        <f>SUM($B$121:M121)</f>
        <v>0</v>
      </c>
      <c r="BL121" s="7">
        <f>SUM($B$121:Q121)</f>
        <v>0</v>
      </c>
      <c r="BM121" s="7">
        <f>SUM($B$121:N121)</f>
        <v>0</v>
      </c>
      <c r="BN121" s="7">
        <f>SUM($B$121:O121)</f>
        <v>0</v>
      </c>
      <c r="BO121" s="7">
        <f>SUM($B$121:P121)</f>
        <v>0</v>
      </c>
      <c r="BP121" s="7">
        <f>SUM($B$121:R121)</f>
        <v>0</v>
      </c>
      <c r="BQ121" s="7">
        <f>SUM($B$121:S121)</f>
        <v>0</v>
      </c>
      <c r="BR121" s="7">
        <f>SUM($B$121:T121)</f>
        <v>0</v>
      </c>
      <c r="BS121" s="7">
        <f>SUM($B$121:V121)</f>
        <v>0</v>
      </c>
      <c r="BT121" s="7"/>
      <c r="BU121" s="7">
        <f>SUM($BS$116:BS121)</f>
        <v>0</v>
      </c>
      <c r="BV121">
        <f t="shared" si="85"/>
        <v>0</v>
      </c>
      <c r="BW121">
        <f>SUM($BV$116:BV121)</f>
        <v>0</v>
      </c>
    </row>
    <row r="122" spans="1:75" x14ac:dyDescent="0.35">
      <c r="A122" s="159" t="s">
        <v>28</v>
      </c>
      <c r="B122" s="7"/>
      <c r="C122" s="7"/>
      <c r="D122" s="7"/>
      <c r="E122" s="7"/>
      <c r="F122" s="7"/>
      <c r="G122" s="7"/>
      <c r="H122" s="7"/>
      <c r="I122" s="7"/>
      <c r="J122" s="7"/>
      <c r="K122" s="7"/>
      <c r="L122" s="7"/>
      <c r="M122" s="7"/>
      <c r="N122" s="7"/>
      <c r="O122" s="7"/>
      <c r="P122" s="7"/>
      <c r="Q122" s="7"/>
      <c r="R122" s="7"/>
      <c r="S122" s="7"/>
      <c r="T122" s="7"/>
      <c r="U122" s="7"/>
      <c r="V122" s="7"/>
      <c r="W122" s="7">
        <f t="shared" si="125"/>
        <v>0</v>
      </c>
      <c r="X122" s="7">
        <f t="shared" si="126"/>
        <v>0</v>
      </c>
      <c r="Y122" s="7">
        <f t="shared" si="127"/>
        <v>0</v>
      </c>
      <c r="Z122" s="58"/>
      <c r="AA122" s="59"/>
      <c r="AB122" s="7">
        <f t="shared" si="129"/>
        <v>0</v>
      </c>
      <c r="AC122" s="7" t="s">
        <v>28</v>
      </c>
      <c r="AD122" s="7">
        <f t="shared" si="130"/>
        <v>0</v>
      </c>
      <c r="AE122" s="7">
        <f t="shared" si="130"/>
        <v>0</v>
      </c>
      <c r="AF122" s="7">
        <f t="shared" si="130"/>
        <v>0</v>
      </c>
      <c r="AG122" s="7">
        <f t="shared" si="130"/>
        <v>0</v>
      </c>
      <c r="AH122" s="7">
        <f t="shared" si="130"/>
        <v>0</v>
      </c>
      <c r="AI122" s="7">
        <f t="shared" si="130"/>
        <v>0</v>
      </c>
      <c r="AJ122" s="7">
        <f t="shared" si="130"/>
        <v>0</v>
      </c>
      <c r="AK122" s="7">
        <f t="shared" si="130"/>
        <v>0</v>
      </c>
      <c r="AL122" s="7">
        <f t="shared" si="130"/>
        <v>0</v>
      </c>
      <c r="AM122" s="7">
        <f t="shared" si="130"/>
        <v>0</v>
      </c>
      <c r="AN122" s="7">
        <f t="shared" si="131"/>
        <v>0</v>
      </c>
      <c r="AO122" s="7">
        <f t="shared" si="131"/>
        <v>0</v>
      </c>
      <c r="AP122" s="7">
        <f t="shared" si="131"/>
        <v>0</v>
      </c>
      <c r="AQ122" s="7">
        <f t="shared" si="131"/>
        <v>0</v>
      </c>
      <c r="AR122" s="7">
        <f t="shared" si="131"/>
        <v>0</v>
      </c>
      <c r="AS122" s="7">
        <f t="shared" si="131"/>
        <v>0</v>
      </c>
      <c r="AT122" s="7">
        <f t="shared" si="131"/>
        <v>0</v>
      </c>
      <c r="AU122" s="7">
        <f t="shared" si="132"/>
        <v>0</v>
      </c>
      <c r="AV122" s="7">
        <f t="shared" si="133"/>
        <v>0</v>
      </c>
      <c r="AW122" s="7">
        <f t="shared" si="133"/>
        <v>0</v>
      </c>
      <c r="AX122" s="7"/>
      <c r="AY122" s="7"/>
      <c r="AZ122" s="7">
        <f>SUM($B$122:B122)</f>
        <v>0</v>
      </c>
      <c r="BA122" s="7">
        <f>SUM($B$122:C122)</f>
        <v>0</v>
      </c>
      <c r="BB122" s="7">
        <f>SUM($B$122:D122)</f>
        <v>0</v>
      </c>
      <c r="BC122" s="7">
        <f>SUM($B$122:E122)</f>
        <v>0</v>
      </c>
      <c r="BD122" s="7">
        <f>SUM($B$122:F122)</f>
        <v>0</v>
      </c>
      <c r="BE122" s="7">
        <f>SUM($B$122:G122)</f>
        <v>0</v>
      </c>
      <c r="BF122" s="7">
        <f>SUM($B$122:H122)</f>
        <v>0</v>
      </c>
      <c r="BG122" s="7">
        <f>SUM($B$122:I122)</f>
        <v>0</v>
      </c>
      <c r="BH122" s="7">
        <f>SUM($B$122:J122)</f>
        <v>0</v>
      </c>
      <c r="BI122" s="7">
        <f>SUM($B$122:K122)</f>
        <v>0</v>
      </c>
      <c r="BJ122" s="7">
        <f>SUM($B$122:L122)</f>
        <v>0</v>
      </c>
      <c r="BK122" s="7">
        <f>SUM($B$122:M122)</f>
        <v>0</v>
      </c>
      <c r="BL122" s="7">
        <f>SUM($B$122:Q122)</f>
        <v>0</v>
      </c>
      <c r="BM122" s="7">
        <f>SUM($B$122:N122)</f>
        <v>0</v>
      </c>
      <c r="BN122" s="7">
        <f>SUM($B$122:O122)</f>
        <v>0</v>
      </c>
      <c r="BO122" s="7">
        <f>SUM($B$122:P122)</f>
        <v>0</v>
      </c>
      <c r="BP122" s="7">
        <f>SUM($B$122:R122)</f>
        <v>0</v>
      </c>
      <c r="BQ122" s="7">
        <f>SUM($B$122:S122)</f>
        <v>0</v>
      </c>
      <c r="BR122" s="7">
        <f>SUM($B$122:T122)</f>
        <v>0</v>
      </c>
      <c r="BS122" s="7">
        <f>SUM($B$122:V122)</f>
        <v>0</v>
      </c>
      <c r="BT122" s="7"/>
      <c r="BU122" s="7">
        <f>SUM($BS$116:BS122)</f>
        <v>0</v>
      </c>
      <c r="BV122">
        <f t="shared" si="85"/>
        <v>0</v>
      </c>
      <c r="BW122">
        <f>SUM($BV$116:BV122)</f>
        <v>0</v>
      </c>
    </row>
    <row r="123" spans="1:75" x14ac:dyDescent="0.35">
      <c r="A123" s="60" t="s">
        <v>29</v>
      </c>
      <c r="B123" s="7">
        <f t="shared" ref="B123:T123" si="134">SUM(B116:B122)</f>
        <v>0</v>
      </c>
      <c r="C123" s="7">
        <f t="shared" si="134"/>
        <v>0</v>
      </c>
      <c r="D123" s="7">
        <f t="shared" si="134"/>
        <v>0</v>
      </c>
      <c r="E123" s="7">
        <f t="shared" si="134"/>
        <v>0</v>
      </c>
      <c r="F123" s="7">
        <f t="shared" si="134"/>
        <v>0</v>
      </c>
      <c r="G123" s="7">
        <f t="shared" si="134"/>
        <v>0</v>
      </c>
      <c r="H123" s="7">
        <f t="shared" si="134"/>
        <v>0</v>
      </c>
      <c r="I123" s="7">
        <f t="shared" si="134"/>
        <v>0</v>
      </c>
      <c r="J123" s="7">
        <f t="shared" si="134"/>
        <v>0</v>
      </c>
      <c r="K123" s="7">
        <f>SUM(K116:K122)</f>
        <v>0</v>
      </c>
      <c r="L123" s="7">
        <f t="shared" si="134"/>
        <v>0</v>
      </c>
      <c r="M123" s="7">
        <f t="shared" si="134"/>
        <v>0</v>
      </c>
      <c r="N123" s="7">
        <f t="shared" si="134"/>
        <v>0</v>
      </c>
      <c r="O123" s="7">
        <f t="shared" si="134"/>
        <v>0</v>
      </c>
      <c r="P123" s="7">
        <f t="shared" si="134"/>
        <v>0</v>
      </c>
      <c r="Q123" s="7">
        <f>SUM(Q116:Q122)</f>
        <v>0</v>
      </c>
      <c r="R123" s="7">
        <f t="shared" si="134"/>
        <v>0</v>
      </c>
      <c r="S123" s="7">
        <f t="shared" si="134"/>
        <v>0</v>
      </c>
      <c r="T123" s="7">
        <f t="shared" si="134"/>
        <v>0</v>
      </c>
      <c r="U123" s="7">
        <f t="shared" ref="U123" si="135">SUM(U116:U122)</f>
        <v>0</v>
      </c>
      <c r="V123" s="7">
        <f>SUM(V116:V122)</f>
        <v>0</v>
      </c>
      <c r="W123" s="31">
        <f>SUM(W116:W122)</f>
        <v>0</v>
      </c>
      <c r="X123" s="7"/>
      <c r="Y123" s="7"/>
      <c r="Z123" s="58" t="s">
        <v>173</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row>
    <row r="124" spans="1:75" x14ac:dyDescent="0.35">
      <c r="A124" s="60" t="s">
        <v>33</v>
      </c>
      <c r="B124" s="7">
        <f t="shared" ref="B124:U124" si="136">B123-B109</f>
        <v>0</v>
      </c>
      <c r="C124" s="7">
        <f t="shared" si="136"/>
        <v>0</v>
      </c>
      <c r="D124" s="7">
        <f t="shared" si="136"/>
        <v>0</v>
      </c>
      <c r="E124" s="7">
        <f t="shared" si="136"/>
        <v>0</v>
      </c>
      <c r="F124" s="7">
        <f t="shared" si="136"/>
        <v>0</v>
      </c>
      <c r="G124" s="7">
        <f t="shared" si="136"/>
        <v>0</v>
      </c>
      <c r="H124" s="7">
        <f t="shared" si="136"/>
        <v>0</v>
      </c>
      <c r="I124" s="7">
        <f t="shared" si="136"/>
        <v>0</v>
      </c>
      <c r="J124" s="7">
        <f t="shared" si="136"/>
        <v>0</v>
      </c>
      <c r="K124" s="7">
        <f t="shared" si="136"/>
        <v>0</v>
      </c>
      <c r="L124" s="7">
        <f t="shared" si="136"/>
        <v>0</v>
      </c>
      <c r="M124" s="7">
        <f t="shared" si="136"/>
        <v>0</v>
      </c>
      <c r="N124" s="7">
        <f t="shared" si="136"/>
        <v>0</v>
      </c>
      <c r="O124" s="7">
        <f t="shared" si="136"/>
        <v>0</v>
      </c>
      <c r="P124" s="7">
        <f t="shared" si="136"/>
        <v>0</v>
      </c>
      <c r="Q124" s="7">
        <f t="shared" si="136"/>
        <v>0</v>
      </c>
      <c r="R124" s="7">
        <f t="shared" si="136"/>
        <v>0</v>
      </c>
      <c r="S124" s="7">
        <f t="shared" si="136"/>
        <v>0</v>
      </c>
      <c r="T124" s="7">
        <f t="shared" si="136"/>
        <v>0</v>
      </c>
      <c r="U124" s="7">
        <f t="shared" si="136"/>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row>
    <row r="125" spans="1:75" x14ac:dyDescent="0.35">
      <c r="A125" s="60" t="s">
        <v>110</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cm="1">
        <f t="array" ref="S125">IF(COUNTIF(AU115:AU121,0)=0,
    LOOKUP(2,1/(AU115:AU121&lt;&gt;""),AU115:AU121),
    MATCH(0,INDEX(AU115:AU121,MAX(ROW(AU115:AU121))-ROW(AU115:AU121)+1),0)-1
)</f>
        <v>0</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IF(COUNTIF(AZ115:AZ121,0)=0,
    LOOKUP(2,1/(AZ115:AZ121&lt;&gt;""),AZ115:AZ121),
    MATCH(0,INDEX(AZ115:AZ121,MAX(ROW(AZ115:AZ121))-ROW(AZ115:AZ121)+1),0)-1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row>
    <row r="126" spans="1:75" x14ac:dyDescent="0.35">
      <c r="A126" s="60" t="s">
        <v>99</v>
      </c>
      <c r="B126" s="7">
        <f t="shared" ref="B126:U126" si="137">B123+B112</f>
        <v>2</v>
      </c>
      <c r="C126" s="7">
        <f t="shared" si="137"/>
        <v>0</v>
      </c>
      <c r="D126" s="7">
        <f t="shared" si="137"/>
        <v>5</v>
      </c>
      <c r="E126" s="7">
        <f t="shared" si="137"/>
        <v>9</v>
      </c>
      <c r="F126" s="7">
        <f t="shared" si="137"/>
        <v>4</v>
      </c>
      <c r="G126" s="7">
        <f t="shared" si="137"/>
        <v>0</v>
      </c>
      <c r="H126" s="7">
        <f t="shared" si="137"/>
        <v>0</v>
      </c>
      <c r="I126" s="7">
        <f t="shared" si="137"/>
        <v>3</v>
      </c>
      <c r="J126" s="7">
        <f t="shared" si="137"/>
        <v>0</v>
      </c>
      <c r="K126" s="7">
        <f t="shared" si="137"/>
        <v>0.75</v>
      </c>
      <c r="L126" s="7">
        <f t="shared" si="137"/>
        <v>2</v>
      </c>
      <c r="M126" s="7">
        <f t="shared" si="137"/>
        <v>1</v>
      </c>
      <c r="N126" s="7">
        <f t="shared" si="137"/>
        <v>2.5</v>
      </c>
      <c r="O126" s="7">
        <f t="shared" si="137"/>
        <v>2</v>
      </c>
      <c r="P126" s="7">
        <f t="shared" si="137"/>
        <v>0</v>
      </c>
      <c r="Q126" s="7">
        <f t="shared" si="137"/>
        <v>0</v>
      </c>
      <c r="R126" s="7">
        <f t="shared" si="137"/>
        <v>1</v>
      </c>
      <c r="S126" s="7">
        <f t="shared" si="137"/>
        <v>3</v>
      </c>
      <c r="T126" s="7">
        <f t="shared" si="137"/>
        <v>0</v>
      </c>
      <c r="U126" s="7">
        <f t="shared" si="137"/>
        <v>-1</v>
      </c>
      <c r="V126" s="7">
        <f>V123+V112</f>
        <v>2</v>
      </c>
      <c r="W126" s="7">
        <f>W123+W112</f>
        <v>36.25</v>
      </c>
      <c r="X126" s="7"/>
      <c r="Y126" s="7">
        <f>SUM(Y116:Y122)</f>
        <v>0</v>
      </c>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row>
    <row r="127" spans="1:75" x14ac:dyDescent="0.35">
      <c r="A127" s="60" t="s">
        <v>112</v>
      </c>
      <c r="B127" s="174">
        <f>(COUNTIF(B4:B10, "&gt;0")+COUNTIF(B18:B24, "&gt;0")+COUNTIF(B32:B38, "&gt;0")+COUNTIF(B46:B52, "&gt;0")+COUNTIF(B60:B66, "&gt;0")+COUNTIF(B74:B80, "&gt;0")+COUNTIF(B88:B94, "&gt;0")+COUNTIF(B102:B108, "&gt;0") + COUNTIF(B116:B122, "&gt;0")) / 63</f>
        <v>1.5873015873015872E-2</v>
      </c>
      <c r="C127" s="174">
        <f t="shared" ref="C127:O127" si="138">(COUNTIF(C4:C10, "&gt;0")+COUNTIF(C18:C24, "&gt;0")+COUNTIF(C32:C38, "&gt;0")+COUNTIF(C46:C52, "&gt;0")+COUNTIF(C60:C66, "&gt;0")+COUNTIF(C74:C80, "&gt;0")+COUNTIF(C88:C94, "&gt;0")+COUNTIF(C102:C108, "&gt;0") + COUNTIF(C116:C122, "&gt;0")) / 63</f>
        <v>0</v>
      </c>
      <c r="D127" s="174">
        <f t="shared" si="138"/>
        <v>1.5873015873015872E-2</v>
      </c>
      <c r="E127" s="174">
        <f t="shared" si="138"/>
        <v>1.5873015873015872E-2</v>
      </c>
      <c r="F127" s="174">
        <f t="shared" si="138"/>
        <v>1.5873015873015872E-2</v>
      </c>
      <c r="G127" s="174">
        <f t="shared" si="138"/>
        <v>0</v>
      </c>
      <c r="H127" s="174">
        <f t="shared" si="138"/>
        <v>0</v>
      </c>
      <c r="I127" s="174">
        <f t="shared" si="138"/>
        <v>1.5873015873015872E-2</v>
      </c>
      <c r="J127" s="174">
        <f t="shared" si="138"/>
        <v>0</v>
      </c>
      <c r="K127" s="174">
        <f t="shared" si="138"/>
        <v>1.5873015873015872E-2</v>
      </c>
      <c r="L127" s="174">
        <f t="shared" si="138"/>
        <v>1.5873015873015872E-2</v>
      </c>
      <c r="M127" s="174">
        <f t="shared" si="138"/>
        <v>1.5873015873015872E-2</v>
      </c>
      <c r="N127" s="174">
        <f t="shared" si="138"/>
        <v>1.5873015873015872E-2</v>
      </c>
      <c r="O127" s="174">
        <f t="shared" si="138"/>
        <v>1.5873015873015872E-2</v>
      </c>
      <c r="P127" s="7"/>
      <c r="Q127" s="7"/>
      <c r="R127" s="7"/>
      <c r="S127" s="7"/>
      <c r="T127" s="7"/>
      <c r="U127" s="60" t="s">
        <v>31</v>
      </c>
      <c r="V127" s="7">
        <f>SUMIF(B123:V123,"&lt;0",B123:V123)</f>
        <v>0</v>
      </c>
      <c r="W127" s="7">
        <f>SUMIF(B123:V123,"&gt;0",B123:V123)</f>
        <v>0</v>
      </c>
      <c r="Y127" s="7"/>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row>
    <row r="128" spans="1:75"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t="s">
        <v>129</v>
      </c>
      <c r="BA128" s="7"/>
      <c r="BB128" s="7"/>
      <c r="BC128" s="7"/>
      <c r="BD128" s="7"/>
      <c r="BE128" s="7"/>
      <c r="BF128" s="7"/>
      <c r="BG128" s="7"/>
      <c r="BH128" s="7"/>
      <c r="BI128" s="7"/>
      <c r="BJ128" s="7"/>
      <c r="BK128" s="7"/>
      <c r="BL128" s="7"/>
      <c r="BM128" s="7"/>
      <c r="BN128" s="7"/>
      <c r="BO128" s="7"/>
      <c r="BP128" s="7"/>
      <c r="BQ128" s="7"/>
      <c r="BR128" s="7"/>
      <c r="BS128" s="7"/>
      <c r="BT128" s="7"/>
      <c r="BU128" s="7"/>
    </row>
    <row r="129" spans="1:75" ht="29" x14ac:dyDescent="0.35">
      <c r="A129" s="105" t="s">
        <v>54</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71</v>
      </c>
      <c r="AD129" s="7"/>
      <c r="AE129" s="7"/>
      <c r="AF129" s="7"/>
      <c r="AG129" s="7"/>
      <c r="AH129" s="7"/>
      <c r="AI129" s="7"/>
      <c r="AJ129" s="7"/>
      <c r="AK129" s="7"/>
      <c r="AL129" s="7"/>
      <c r="AM129" s="7"/>
      <c r="AN129" s="7"/>
      <c r="AO129" s="7"/>
      <c r="AP129" s="7"/>
      <c r="AQ129" s="7"/>
      <c r="AR129" s="7"/>
      <c r="AS129" s="7"/>
      <c r="AT129" s="7"/>
      <c r="AU129" s="7"/>
      <c r="AV129" s="7"/>
      <c r="AW129" s="7"/>
      <c r="AX129" s="7"/>
      <c r="AY129" s="7"/>
      <c r="AZ129" s="12" t="s">
        <v>1</v>
      </c>
      <c r="BA129" s="12" t="s">
        <v>2</v>
      </c>
      <c r="BB129" s="12" t="s">
        <v>3</v>
      </c>
      <c r="BC129" s="12" t="s">
        <v>4</v>
      </c>
      <c r="BD129" s="12" t="s">
        <v>5</v>
      </c>
      <c r="BE129" s="12" t="s">
        <v>6</v>
      </c>
      <c r="BF129" s="12" t="s">
        <v>7</v>
      </c>
      <c r="BG129" s="12" t="s">
        <v>8</v>
      </c>
      <c r="BH129" s="12" t="s">
        <v>9</v>
      </c>
      <c r="BI129" s="12" t="s">
        <v>10</v>
      </c>
      <c r="BJ129" s="12" t="s">
        <v>11</v>
      </c>
      <c r="BK129" s="12" t="s">
        <v>12</v>
      </c>
      <c r="BL129" s="12" t="s">
        <v>13</v>
      </c>
      <c r="BM129" s="12" t="s">
        <v>14</v>
      </c>
      <c r="BN129" s="12" t="s">
        <v>15</v>
      </c>
      <c r="BO129" s="12" t="s">
        <v>16</v>
      </c>
      <c r="BP129" s="12" t="s">
        <v>17</v>
      </c>
      <c r="BQ129" s="12" t="s">
        <v>18</v>
      </c>
      <c r="BR129" s="12" t="s">
        <v>19</v>
      </c>
      <c r="BS129" s="12" t="s">
        <v>20</v>
      </c>
      <c r="BT129" s="203"/>
      <c r="BU129" s="12">
        <v>0</v>
      </c>
      <c r="BW129">
        <v>0</v>
      </c>
    </row>
    <row r="130" spans="1:75" x14ac:dyDescent="0.35">
      <c r="A130" s="83" t="s">
        <v>22</v>
      </c>
      <c r="B130" s="7"/>
      <c r="C130" s="7"/>
      <c r="D130" s="7"/>
      <c r="E130" s="7"/>
      <c r="F130" s="7"/>
      <c r="G130" s="7"/>
      <c r="H130" s="7"/>
      <c r="I130" s="7"/>
      <c r="J130" s="7"/>
      <c r="K130" s="7"/>
      <c r="L130" s="7"/>
      <c r="M130" s="7"/>
      <c r="N130" s="7"/>
      <c r="O130" s="7"/>
      <c r="P130" s="7"/>
      <c r="Q130" s="7"/>
      <c r="R130" s="7"/>
      <c r="S130" s="7"/>
      <c r="T130" s="7"/>
      <c r="U130" s="7"/>
      <c r="V130" s="7"/>
      <c r="W130" s="7">
        <f t="shared" ref="W130:W136" si="139">SUM(B130:V130)</f>
        <v>0</v>
      </c>
      <c r="X130" s="7">
        <f t="shared" ref="X130:X136" si="140">SUM(AD130:AW130)*0.1</f>
        <v>0</v>
      </c>
      <c r="Y130" s="7">
        <f t="shared" ref="Y130:Y136" si="141">W130+X130</f>
        <v>0</v>
      </c>
      <c r="Z130" s="62"/>
      <c r="AA130" s="195"/>
      <c r="AB130" s="7">
        <f t="shared" ref="AB130:AB136" si="142">AB116+W130</f>
        <v>36.25</v>
      </c>
      <c r="AC130" s="7" t="s">
        <v>22</v>
      </c>
      <c r="AD130" s="7">
        <f t="shared" ref="AD130:AW130" si="143">IF(B130 &gt; 0, IF(AD122&gt; 0, AD122+ 1, 0.1), 0)</f>
        <v>0</v>
      </c>
      <c r="AE130" s="7">
        <f t="shared" si="143"/>
        <v>0</v>
      </c>
      <c r="AF130" s="7">
        <f t="shared" si="143"/>
        <v>0</v>
      </c>
      <c r="AG130" s="7">
        <f t="shared" si="143"/>
        <v>0</v>
      </c>
      <c r="AH130" s="7">
        <f t="shared" si="143"/>
        <v>0</v>
      </c>
      <c r="AI130" s="7">
        <f t="shared" si="143"/>
        <v>0</v>
      </c>
      <c r="AJ130" s="7">
        <f t="shared" si="143"/>
        <v>0</v>
      </c>
      <c r="AK130" s="7">
        <f t="shared" si="143"/>
        <v>0</v>
      </c>
      <c r="AL130" s="7">
        <f t="shared" si="143"/>
        <v>0</v>
      </c>
      <c r="AM130" s="7">
        <f t="shared" si="143"/>
        <v>0</v>
      </c>
      <c r="AN130" s="7">
        <f t="shared" si="143"/>
        <v>0</v>
      </c>
      <c r="AO130" s="7">
        <f t="shared" si="143"/>
        <v>0</v>
      </c>
      <c r="AP130" s="7">
        <f t="shared" si="143"/>
        <v>0</v>
      </c>
      <c r="AQ130" s="7">
        <f t="shared" si="143"/>
        <v>0</v>
      </c>
      <c r="AR130" s="7">
        <f t="shared" si="143"/>
        <v>0</v>
      </c>
      <c r="AS130" s="7">
        <f t="shared" si="143"/>
        <v>0</v>
      </c>
      <c r="AT130" s="7">
        <f t="shared" si="143"/>
        <v>0</v>
      </c>
      <c r="AU130" s="7">
        <f t="shared" si="143"/>
        <v>0</v>
      </c>
      <c r="AV130" s="7">
        <f t="shared" si="143"/>
        <v>0</v>
      </c>
      <c r="AW130" s="7">
        <f t="shared" si="143"/>
        <v>0</v>
      </c>
      <c r="AX130" s="7"/>
      <c r="AY130" s="7"/>
      <c r="AZ130" s="7">
        <f>SUM($B$130:B130)</f>
        <v>0</v>
      </c>
      <c r="BA130" s="7">
        <f>SUM($B$130:C130)</f>
        <v>0</v>
      </c>
      <c r="BB130" s="7">
        <f>SUM($B$130:D130)</f>
        <v>0</v>
      </c>
      <c r="BC130" s="7">
        <f>SUM($B$130:E130)</f>
        <v>0</v>
      </c>
      <c r="BD130" s="7">
        <f>SUM($B$130:F130)</f>
        <v>0</v>
      </c>
      <c r="BE130" s="7">
        <f>SUM($B$130:G130)</f>
        <v>0</v>
      </c>
      <c r="BF130" s="7">
        <f>SUM($B$130:H130)</f>
        <v>0</v>
      </c>
      <c r="BG130" s="7">
        <f>SUM($B$130:I130)</f>
        <v>0</v>
      </c>
      <c r="BH130" s="7">
        <f>SUM($B$130:J130)</f>
        <v>0</v>
      </c>
      <c r="BI130" s="7">
        <f>SUM($B$130:K130)</f>
        <v>0</v>
      </c>
      <c r="BJ130" s="7">
        <f>SUM($B$130:L130)</f>
        <v>0</v>
      </c>
      <c r="BK130" s="7">
        <f>SUM($B$130:M130)</f>
        <v>0</v>
      </c>
      <c r="BL130" s="7">
        <f>SUM($B$130:Q130)</f>
        <v>0</v>
      </c>
      <c r="BM130" s="7">
        <f>SUM($B$130:N130)</f>
        <v>0</v>
      </c>
      <c r="BN130" s="7">
        <f>SUM($B$130:O130)</f>
        <v>0</v>
      </c>
      <c r="BO130" s="7">
        <f>SUM($B$130:P130)</f>
        <v>0</v>
      </c>
      <c r="BP130" s="7">
        <f>SUM($B$130:R130)</f>
        <v>0</v>
      </c>
      <c r="BQ130" s="7">
        <f>SUM($B$130:S130)</f>
        <v>0</v>
      </c>
      <c r="BR130" s="7">
        <f>SUM($B$130:T130)</f>
        <v>0</v>
      </c>
      <c r="BS130" s="7">
        <f>SUM($B$130:V130)</f>
        <v>0</v>
      </c>
      <c r="BT130" s="7"/>
      <c r="BU130" s="7">
        <f>SUM($BS$130:BS130)</f>
        <v>0</v>
      </c>
      <c r="BV130">
        <f t="shared" si="85"/>
        <v>0</v>
      </c>
      <c r="BW130">
        <f>SUM($BV$130:BV130)</f>
        <v>0</v>
      </c>
    </row>
    <row r="131" spans="1:75" x14ac:dyDescent="0.35">
      <c r="A131" s="94" t="s">
        <v>23</v>
      </c>
      <c r="B131" s="7"/>
      <c r="C131" s="7"/>
      <c r="D131" s="7"/>
      <c r="E131" s="7"/>
      <c r="F131" s="7"/>
      <c r="G131" s="7"/>
      <c r="H131" s="7"/>
      <c r="I131" s="7"/>
      <c r="J131" s="7"/>
      <c r="K131" s="7"/>
      <c r="L131" s="7"/>
      <c r="M131" s="7"/>
      <c r="N131" s="7"/>
      <c r="O131" s="7"/>
      <c r="P131" s="7"/>
      <c r="Q131" s="7"/>
      <c r="R131" s="7"/>
      <c r="S131" s="7"/>
      <c r="T131" s="7"/>
      <c r="U131" s="7"/>
      <c r="V131" s="7"/>
      <c r="W131" s="7">
        <f t="shared" si="139"/>
        <v>0</v>
      </c>
      <c r="X131" s="7">
        <f t="shared" si="140"/>
        <v>0</v>
      </c>
      <c r="Y131" s="7">
        <f t="shared" si="141"/>
        <v>0</v>
      </c>
      <c r="Z131" s="62"/>
      <c r="AA131" s="195"/>
      <c r="AB131" s="7">
        <f t="shared" si="142"/>
        <v>0</v>
      </c>
      <c r="AC131" s="7" t="s">
        <v>23</v>
      </c>
      <c r="AD131" s="7">
        <f t="shared" ref="AD131:AM136" si="144">IF(B131 &gt; 0, IF(AD130 &gt; 0, AD130 + 1, 0.1), 0)</f>
        <v>0</v>
      </c>
      <c r="AE131" s="7">
        <f t="shared" si="144"/>
        <v>0</v>
      </c>
      <c r="AF131" s="7">
        <f t="shared" si="144"/>
        <v>0</v>
      </c>
      <c r="AG131" s="7">
        <f t="shared" si="144"/>
        <v>0</v>
      </c>
      <c r="AH131" s="7">
        <f t="shared" si="144"/>
        <v>0</v>
      </c>
      <c r="AI131" s="7">
        <f t="shared" si="144"/>
        <v>0</v>
      </c>
      <c r="AJ131" s="7">
        <f t="shared" si="144"/>
        <v>0</v>
      </c>
      <c r="AK131" s="7">
        <f t="shared" si="144"/>
        <v>0</v>
      </c>
      <c r="AL131" s="7">
        <f t="shared" si="144"/>
        <v>0</v>
      </c>
      <c r="AM131" s="7">
        <f t="shared" si="144"/>
        <v>0</v>
      </c>
      <c r="AN131" s="7">
        <f t="shared" ref="AN131:AT136" si="145">IF(L131 &gt; 0, IF(AN130 &gt; 0, AN130 + 1, 0.1), 0)</f>
        <v>0</v>
      </c>
      <c r="AO131" s="7">
        <f t="shared" si="145"/>
        <v>0</v>
      </c>
      <c r="AP131" s="7">
        <f t="shared" si="145"/>
        <v>0</v>
      </c>
      <c r="AQ131" s="7">
        <f t="shared" si="145"/>
        <v>0</v>
      </c>
      <c r="AR131" s="7">
        <f t="shared" si="145"/>
        <v>0</v>
      </c>
      <c r="AS131" s="7">
        <f t="shared" si="145"/>
        <v>0</v>
      </c>
      <c r="AT131" s="7">
        <f t="shared" si="145"/>
        <v>0</v>
      </c>
      <c r="AU131" s="7">
        <f t="shared" ref="AU131:AU136" si="146">IF(S131 &gt; 0, IF(AU123&gt; 0, AU123+ 1, 0.1), 0)</f>
        <v>0</v>
      </c>
      <c r="AV131" s="7">
        <f t="shared" ref="AV131:AW136" si="147">IF(T131 &gt; 0, IF(AV130 &gt; 0, AV130 + 1, 0.1), 0)</f>
        <v>0</v>
      </c>
      <c r="AW131" s="7">
        <f t="shared" si="147"/>
        <v>0</v>
      </c>
      <c r="AX131" s="7"/>
      <c r="AY131" s="7"/>
      <c r="AZ131" s="7">
        <f>SUM($B$131:B131)</f>
        <v>0</v>
      </c>
      <c r="BA131" s="7">
        <f>SUM($B$131:C131)</f>
        <v>0</v>
      </c>
      <c r="BB131" s="7">
        <f>SUM($B$131:D131)</f>
        <v>0</v>
      </c>
      <c r="BC131" s="7">
        <f>SUM($B$131:E131)</f>
        <v>0</v>
      </c>
      <c r="BD131" s="7">
        <f>SUM($B$131:F131)</f>
        <v>0</v>
      </c>
      <c r="BE131" s="7">
        <f>SUM($B$131:G131)</f>
        <v>0</v>
      </c>
      <c r="BF131" s="7">
        <f>SUM($B$131:H131)</f>
        <v>0</v>
      </c>
      <c r="BG131" s="7">
        <f>SUM($B$131:I131)</f>
        <v>0</v>
      </c>
      <c r="BH131" s="7">
        <f>SUM($B$131:J131)</f>
        <v>0</v>
      </c>
      <c r="BI131" s="7">
        <f>SUM($B$131:K131)</f>
        <v>0</v>
      </c>
      <c r="BJ131" s="7">
        <f>SUM($B$131:L131)</f>
        <v>0</v>
      </c>
      <c r="BK131" s="7">
        <f>SUM($B$131:M131)</f>
        <v>0</v>
      </c>
      <c r="BL131" s="7">
        <f>SUM($B$131:Q131)</f>
        <v>0</v>
      </c>
      <c r="BM131" s="7">
        <f>SUM($B$131:N131)</f>
        <v>0</v>
      </c>
      <c r="BN131" s="7">
        <f>SUM($B$131:O131)</f>
        <v>0</v>
      </c>
      <c r="BO131" s="7">
        <f>SUM($B$131:P131)</f>
        <v>0</v>
      </c>
      <c r="BP131" s="7">
        <f>SUM($B$131:R131)</f>
        <v>0</v>
      </c>
      <c r="BQ131" s="7">
        <f>SUM($B$131:S131)</f>
        <v>0</v>
      </c>
      <c r="BR131" s="7">
        <f>SUM($B$131:T131)</f>
        <v>0</v>
      </c>
      <c r="BS131" s="7">
        <f>SUM($B$131:V131)</f>
        <v>0</v>
      </c>
      <c r="BT131" s="7"/>
      <c r="BU131" s="7">
        <f>SUM($BS$130:BS131)</f>
        <v>0</v>
      </c>
      <c r="BV131">
        <f t="shared" si="85"/>
        <v>0</v>
      </c>
      <c r="BW131">
        <f>SUM($BV$130:BV131)</f>
        <v>0</v>
      </c>
    </row>
    <row r="132" spans="1:75" x14ac:dyDescent="0.35">
      <c r="A132" s="117" t="s">
        <v>24</v>
      </c>
      <c r="B132" s="7"/>
      <c r="C132" s="7"/>
      <c r="D132" s="7"/>
      <c r="E132" s="7"/>
      <c r="F132" s="7"/>
      <c r="G132" s="7"/>
      <c r="H132" s="7"/>
      <c r="I132" s="7"/>
      <c r="J132" s="7"/>
      <c r="K132" s="7"/>
      <c r="L132" s="7"/>
      <c r="M132" s="7"/>
      <c r="N132" s="7"/>
      <c r="O132" s="7"/>
      <c r="P132" s="7"/>
      <c r="Q132" s="7"/>
      <c r="R132" s="7"/>
      <c r="S132" s="7"/>
      <c r="T132" s="7"/>
      <c r="U132" s="7"/>
      <c r="V132" s="7"/>
      <c r="W132" s="7">
        <f t="shared" si="139"/>
        <v>0</v>
      </c>
      <c r="X132" s="7">
        <f t="shared" si="140"/>
        <v>0</v>
      </c>
      <c r="Y132" s="7">
        <f t="shared" si="141"/>
        <v>0</v>
      </c>
      <c r="Z132" s="62"/>
      <c r="AA132" s="195"/>
      <c r="AB132" s="7">
        <f t="shared" si="142"/>
        <v>0</v>
      </c>
      <c r="AC132" s="7" t="s">
        <v>24</v>
      </c>
      <c r="AD132" s="7">
        <f t="shared" si="144"/>
        <v>0</v>
      </c>
      <c r="AE132" s="7">
        <f t="shared" si="144"/>
        <v>0</v>
      </c>
      <c r="AF132" s="7">
        <f t="shared" si="144"/>
        <v>0</v>
      </c>
      <c r="AG132" s="7">
        <f t="shared" si="144"/>
        <v>0</v>
      </c>
      <c r="AH132" s="7">
        <f t="shared" si="144"/>
        <v>0</v>
      </c>
      <c r="AI132" s="7">
        <f t="shared" si="144"/>
        <v>0</v>
      </c>
      <c r="AJ132" s="7">
        <f t="shared" si="144"/>
        <v>0</v>
      </c>
      <c r="AK132" s="7">
        <f t="shared" si="144"/>
        <v>0</v>
      </c>
      <c r="AL132" s="7">
        <f t="shared" si="144"/>
        <v>0</v>
      </c>
      <c r="AM132" s="7">
        <f t="shared" si="144"/>
        <v>0</v>
      </c>
      <c r="AN132" s="7">
        <f t="shared" si="145"/>
        <v>0</v>
      </c>
      <c r="AO132" s="7">
        <f t="shared" si="145"/>
        <v>0</v>
      </c>
      <c r="AP132" s="7">
        <f t="shared" si="145"/>
        <v>0</v>
      </c>
      <c r="AQ132" s="7">
        <f t="shared" si="145"/>
        <v>0</v>
      </c>
      <c r="AR132" s="7">
        <f t="shared" si="145"/>
        <v>0</v>
      </c>
      <c r="AS132" s="7">
        <f t="shared" si="145"/>
        <v>0</v>
      </c>
      <c r="AT132" s="7">
        <f t="shared" si="145"/>
        <v>0</v>
      </c>
      <c r="AU132" s="7">
        <f t="shared" si="146"/>
        <v>0</v>
      </c>
      <c r="AV132" s="7">
        <f t="shared" si="147"/>
        <v>0</v>
      </c>
      <c r="AW132" s="7">
        <f t="shared" si="147"/>
        <v>0</v>
      </c>
      <c r="AX132" s="7"/>
      <c r="AY132" s="7"/>
      <c r="AZ132" s="7">
        <f>SUM($B$132:B132)</f>
        <v>0</v>
      </c>
      <c r="BA132" s="7">
        <f>SUM($B$132:C132)</f>
        <v>0</v>
      </c>
      <c r="BB132" s="7">
        <f>SUM($B$132:D132)</f>
        <v>0</v>
      </c>
      <c r="BC132" s="7">
        <f>SUM($B$132:E132)</f>
        <v>0</v>
      </c>
      <c r="BD132" s="7">
        <f>SUM($B$132:F132)</f>
        <v>0</v>
      </c>
      <c r="BE132" s="7">
        <f>SUM($B$132:G132)</f>
        <v>0</v>
      </c>
      <c r="BF132" s="7">
        <f>SUM($B$132:H132)</f>
        <v>0</v>
      </c>
      <c r="BG132" s="7">
        <f>SUM($B$132:I132)</f>
        <v>0</v>
      </c>
      <c r="BH132" s="7">
        <f>SUM($B$132:J132)</f>
        <v>0</v>
      </c>
      <c r="BI132" s="7">
        <f>SUM($B$132:K132)</f>
        <v>0</v>
      </c>
      <c r="BJ132" s="7">
        <f>SUM($B$132:L132)</f>
        <v>0</v>
      </c>
      <c r="BK132" s="7">
        <f>SUM($B$132:M132)</f>
        <v>0</v>
      </c>
      <c r="BL132" s="7">
        <f>SUM($B$132:Q132)</f>
        <v>0</v>
      </c>
      <c r="BM132" s="7">
        <f>SUM($B$132:N132)</f>
        <v>0</v>
      </c>
      <c r="BN132" s="7">
        <f>SUM($B$132:O132)</f>
        <v>0</v>
      </c>
      <c r="BO132" s="7">
        <f>SUM($B$132:P132)</f>
        <v>0</v>
      </c>
      <c r="BP132" s="7">
        <f>SUM($B$132:R132)</f>
        <v>0</v>
      </c>
      <c r="BQ132" s="7">
        <f>SUM($B$132:S132)</f>
        <v>0</v>
      </c>
      <c r="BR132" s="7">
        <f>SUM($B$132:T132)</f>
        <v>0</v>
      </c>
      <c r="BS132" s="7">
        <f>SUM($B$132:V132)</f>
        <v>0</v>
      </c>
      <c r="BT132" s="7"/>
      <c r="BU132" s="7">
        <f>SUM($BS$130:BS132)</f>
        <v>0</v>
      </c>
      <c r="BV132">
        <f t="shared" si="85"/>
        <v>0</v>
      </c>
      <c r="BW132">
        <f>SUM($BV$130:BV132)</f>
        <v>0</v>
      </c>
    </row>
    <row r="133" spans="1:75" x14ac:dyDescent="0.35">
      <c r="A133" s="128" t="s">
        <v>25</v>
      </c>
      <c r="B133" s="7"/>
      <c r="C133" s="7"/>
      <c r="D133" s="7"/>
      <c r="E133" s="7"/>
      <c r="F133" s="7"/>
      <c r="G133" s="7"/>
      <c r="H133" s="7"/>
      <c r="I133" s="7"/>
      <c r="J133" s="7"/>
      <c r="K133" s="7"/>
      <c r="L133" s="7"/>
      <c r="M133" s="7"/>
      <c r="N133" s="7"/>
      <c r="O133" s="7"/>
      <c r="P133" s="7"/>
      <c r="Q133" s="7"/>
      <c r="R133" s="7"/>
      <c r="S133" s="7"/>
      <c r="T133" s="7"/>
      <c r="U133" s="7"/>
      <c r="V133" s="7"/>
      <c r="W133" s="7">
        <f t="shared" si="139"/>
        <v>0</v>
      </c>
      <c r="X133" s="7">
        <f t="shared" si="140"/>
        <v>0</v>
      </c>
      <c r="Y133" s="7">
        <f t="shared" si="141"/>
        <v>0</v>
      </c>
      <c r="Z133" s="62"/>
      <c r="AA133" s="195"/>
      <c r="AB133" s="7">
        <f t="shared" si="142"/>
        <v>0</v>
      </c>
      <c r="AC133" s="7" t="s">
        <v>25</v>
      </c>
      <c r="AD133" s="7">
        <f t="shared" si="144"/>
        <v>0</v>
      </c>
      <c r="AE133" s="7">
        <f t="shared" si="144"/>
        <v>0</v>
      </c>
      <c r="AF133" s="7">
        <f t="shared" si="144"/>
        <v>0</v>
      </c>
      <c r="AG133" s="7">
        <f t="shared" si="144"/>
        <v>0</v>
      </c>
      <c r="AH133" s="7">
        <f t="shared" si="144"/>
        <v>0</v>
      </c>
      <c r="AI133" s="7">
        <f t="shared" si="144"/>
        <v>0</v>
      </c>
      <c r="AJ133" s="7">
        <f t="shared" si="144"/>
        <v>0</v>
      </c>
      <c r="AK133" s="7">
        <f t="shared" si="144"/>
        <v>0</v>
      </c>
      <c r="AL133" s="7">
        <f t="shared" si="144"/>
        <v>0</v>
      </c>
      <c r="AM133" s="7">
        <f t="shared" si="144"/>
        <v>0</v>
      </c>
      <c r="AN133" s="7">
        <f t="shared" si="145"/>
        <v>0</v>
      </c>
      <c r="AO133" s="7">
        <f t="shared" si="145"/>
        <v>0</v>
      </c>
      <c r="AP133" s="7">
        <f t="shared" si="145"/>
        <v>0</v>
      </c>
      <c r="AQ133" s="7">
        <f t="shared" si="145"/>
        <v>0</v>
      </c>
      <c r="AR133" s="7">
        <f t="shared" si="145"/>
        <v>0</v>
      </c>
      <c r="AS133" s="7">
        <f t="shared" si="145"/>
        <v>0</v>
      </c>
      <c r="AT133" s="7">
        <f t="shared" si="145"/>
        <v>0</v>
      </c>
      <c r="AU133" s="7">
        <f t="shared" si="146"/>
        <v>0</v>
      </c>
      <c r="AV133" s="7">
        <f t="shared" si="147"/>
        <v>0</v>
      </c>
      <c r="AW133" s="7">
        <f t="shared" si="147"/>
        <v>0</v>
      </c>
      <c r="AX133" s="7"/>
      <c r="AY133" s="7"/>
      <c r="AZ133" s="7">
        <f>SUM($B$133:B133)</f>
        <v>0</v>
      </c>
      <c r="BA133" s="7">
        <f>SUM($B$133:C133)</f>
        <v>0</v>
      </c>
      <c r="BB133" s="7">
        <f>SUM($B$133:D133)</f>
        <v>0</v>
      </c>
      <c r="BC133" s="7">
        <f>SUM($B$133:E133)</f>
        <v>0</v>
      </c>
      <c r="BD133" s="7">
        <f>SUM($B$133:F133)</f>
        <v>0</v>
      </c>
      <c r="BE133" s="7">
        <f>SUM($B$133:G133)</f>
        <v>0</v>
      </c>
      <c r="BF133" s="7">
        <f>SUM($B$133:H133)</f>
        <v>0</v>
      </c>
      <c r="BG133" s="7">
        <f>SUM($B$133:I133)</f>
        <v>0</v>
      </c>
      <c r="BH133" s="7">
        <f>SUM($B$133:J133)</f>
        <v>0</v>
      </c>
      <c r="BI133" s="7">
        <f>SUM($B$133:K133)</f>
        <v>0</v>
      </c>
      <c r="BJ133" s="7">
        <f>SUM($B$133:L133)</f>
        <v>0</v>
      </c>
      <c r="BK133" s="7">
        <f>SUM($B$133:M133)</f>
        <v>0</v>
      </c>
      <c r="BL133" s="7">
        <f>SUM($B$133:Q133)</f>
        <v>0</v>
      </c>
      <c r="BM133" s="7">
        <f>SUM($B$133:N133)</f>
        <v>0</v>
      </c>
      <c r="BN133" s="7">
        <f>SUM($B$133:O133)</f>
        <v>0</v>
      </c>
      <c r="BO133" s="7">
        <f>SUM($B$133:P133)</f>
        <v>0</v>
      </c>
      <c r="BP133" s="7">
        <f>SUM($B$133:R133)</f>
        <v>0</v>
      </c>
      <c r="BQ133" s="7">
        <f>SUM($B$133:S133)</f>
        <v>0</v>
      </c>
      <c r="BR133" s="7">
        <f>SUM($B$133:T133)</f>
        <v>0</v>
      </c>
      <c r="BS133" s="7">
        <f>SUM($B$133:V133)</f>
        <v>0</v>
      </c>
      <c r="BT133" s="7"/>
      <c r="BU133" s="7">
        <f>SUM($BS$130:BS133)</f>
        <v>0</v>
      </c>
      <c r="BV133">
        <f t="shared" ref="BV133:BV164" si="148">BS133+X133</f>
        <v>0</v>
      </c>
      <c r="BW133">
        <f>SUM($BV$130:BV133)</f>
        <v>0</v>
      </c>
    </row>
    <row r="134" spans="1:75" x14ac:dyDescent="0.35">
      <c r="A134" s="139" t="s">
        <v>26</v>
      </c>
      <c r="B134" s="7"/>
      <c r="C134" s="7"/>
      <c r="D134" s="7"/>
      <c r="E134" s="7"/>
      <c r="F134" s="7"/>
      <c r="G134" s="7"/>
      <c r="H134" s="7"/>
      <c r="I134" s="7"/>
      <c r="J134" s="7"/>
      <c r="K134" s="7"/>
      <c r="L134" s="7"/>
      <c r="M134" s="7"/>
      <c r="N134" s="7"/>
      <c r="O134" s="7"/>
      <c r="P134" s="7"/>
      <c r="Q134" s="7"/>
      <c r="R134" s="7"/>
      <c r="S134" s="7"/>
      <c r="T134" s="7"/>
      <c r="U134" s="7"/>
      <c r="V134" s="7"/>
      <c r="W134" s="7">
        <f t="shared" si="139"/>
        <v>0</v>
      </c>
      <c r="X134" s="7">
        <f t="shared" si="140"/>
        <v>0</v>
      </c>
      <c r="Y134" s="7">
        <f t="shared" si="141"/>
        <v>0</v>
      </c>
      <c r="Z134" s="62"/>
      <c r="AA134" s="195"/>
      <c r="AB134" s="7">
        <f t="shared" si="142"/>
        <v>0</v>
      </c>
      <c r="AC134" s="7" t="s">
        <v>26</v>
      </c>
      <c r="AD134" s="7">
        <f t="shared" si="144"/>
        <v>0</v>
      </c>
      <c r="AE134" s="7">
        <f t="shared" si="144"/>
        <v>0</v>
      </c>
      <c r="AF134" s="7">
        <f t="shared" si="144"/>
        <v>0</v>
      </c>
      <c r="AG134" s="7">
        <f t="shared" si="144"/>
        <v>0</v>
      </c>
      <c r="AH134" s="7">
        <f t="shared" si="144"/>
        <v>0</v>
      </c>
      <c r="AI134" s="7">
        <f t="shared" si="144"/>
        <v>0</v>
      </c>
      <c r="AJ134" s="7">
        <f t="shared" si="144"/>
        <v>0</v>
      </c>
      <c r="AK134" s="7">
        <f t="shared" si="144"/>
        <v>0</v>
      </c>
      <c r="AL134" s="7">
        <f t="shared" si="144"/>
        <v>0</v>
      </c>
      <c r="AM134" s="7">
        <f t="shared" si="144"/>
        <v>0</v>
      </c>
      <c r="AN134" s="7">
        <f t="shared" si="145"/>
        <v>0</v>
      </c>
      <c r="AO134" s="7">
        <f t="shared" si="145"/>
        <v>0</v>
      </c>
      <c r="AP134" s="7">
        <f t="shared" si="145"/>
        <v>0</v>
      </c>
      <c r="AQ134" s="7">
        <f t="shared" si="145"/>
        <v>0</v>
      </c>
      <c r="AR134" s="7">
        <f t="shared" si="145"/>
        <v>0</v>
      </c>
      <c r="AS134" s="7">
        <f t="shared" si="145"/>
        <v>0</v>
      </c>
      <c r="AT134" s="7">
        <f t="shared" si="145"/>
        <v>0</v>
      </c>
      <c r="AU134" s="7">
        <f t="shared" si="146"/>
        <v>0</v>
      </c>
      <c r="AV134" s="7">
        <f t="shared" si="147"/>
        <v>0</v>
      </c>
      <c r="AW134" s="7">
        <f t="shared" si="147"/>
        <v>0</v>
      </c>
      <c r="AX134" s="7"/>
      <c r="AY134" s="7"/>
      <c r="AZ134" s="7">
        <f>SUM($B$134:B134)</f>
        <v>0</v>
      </c>
      <c r="BA134" s="7">
        <f>SUM($B$134:C134)</f>
        <v>0</v>
      </c>
      <c r="BB134" s="7">
        <f>SUM($B$134:D134)</f>
        <v>0</v>
      </c>
      <c r="BC134" s="7">
        <f>SUM($B$134:E134)</f>
        <v>0</v>
      </c>
      <c r="BD134" s="7">
        <f>SUM($B$134:F134)</f>
        <v>0</v>
      </c>
      <c r="BE134" s="7">
        <f>SUM($B$134:G134)</f>
        <v>0</v>
      </c>
      <c r="BF134" s="7">
        <f>SUM($B$134:H134)</f>
        <v>0</v>
      </c>
      <c r="BG134" s="7">
        <f>SUM($B$134:I134)</f>
        <v>0</v>
      </c>
      <c r="BH134" s="7">
        <f>SUM($B$134:J134)</f>
        <v>0</v>
      </c>
      <c r="BI134" s="7">
        <f>SUM($B$134:K134)</f>
        <v>0</v>
      </c>
      <c r="BJ134" s="7">
        <f>SUM($B$134:L134)</f>
        <v>0</v>
      </c>
      <c r="BK134" s="7">
        <f>SUM($B$134:M134)</f>
        <v>0</v>
      </c>
      <c r="BL134" s="7">
        <f>SUM($B$134:Q134)</f>
        <v>0</v>
      </c>
      <c r="BM134" s="7">
        <f>SUM($B$134:N134)</f>
        <v>0</v>
      </c>
      <c r="BN134" s="7">
        <f>SUM($B$134:O134)</f>
        <v>0</v>
      </c>
      <c r="BO134" s="7">
        <f>SUM($B$134:P134)</f>
        <v>0</v>
      </c>
      <c r="BP134" s="7">
        <f>SUM($B$134:R134)</f>
        <v>0</v>
      </c>
      <c r="BQ134" s="7">
        <f>SUM($B$134:S134)</f>
        <v>0</v>
      </c>
      <c r="BR134" s="7">
        <f>SUM($B$134:T134)</f>
        <v>0</v>
      </c>
      <c r="BS134" s="7">
        <f>SUM($B$134:V134)</f>
        <v>0</v>
      </c>
      <c r="BT134" s="7"/>
      <c r="BU134" s="7">
        <f>SUM($BS$130:BS134)</f>
        <v>0</v>
      </c>
      <c r="BV134">
        <f t="shared" si="148"/>
        <v>0</v>
      </c>
      <c r="BW134">
        <f>SUM($BV$130:BV134)</f>
        <v>0</v>
      </c>
    </row>
    <row r="135" spans="1:75" x14ac:dyDescent="0.35">
      <c r="A135" s="150" t="s">
        <v>27</v>
      </c>
      <c r="B135" s="7"/>
      <c r="C135" s="7"/>
      <c r="D135" s="7"/>
      <c r="E135" s="7"/>
      <c r="F135" s="7"/>
      <c r="G135" s="7"/>
      <c r="H135" s="7"/>
      <c r="I135" s="7"/>
      <c r="J135" s="7"/>
      <c r="K135" s="7"/>
      <c r="L135" s="7"/>
      <c r="M135" s="7"/>
      <c r="N135" s="7"/>
      <c r="O135" s="7"/>
      <c r="P135" s="7"/>
      <c r="Q135" s="7"/>
      <c r="R135" s="7"/>
      <c r="S135" s="7"/>
      <c r="T135" s="7"/>
      <c r="U135" s="7"/>
      <c r="V135" s="7"/>
      <c r="W135" s="7">
        <f t="shared" si="139"/>
        <v>0</v>
      </c>
      <c r="X135" s="7">
        <f t="shared" si="140"/>
        <v>0</v>
      </c>
      <c r="Y135" s="7">
        <f t="shared" si="141"/>
        <v>0</v>
      </c>
      <c r="Z135" s="62"/>
      <c r="AA135" s="195"/>
      <c r="AB135" s="7">
        <f t="shared" si="142"/>
        <v>0</v>
      </c>
      <c r="AC135" s="7" t="s">
        <v>27</v>
      </c>
      <c r="AD135" s="7">
        <f t="shared" si="144"/>
        <v>0</v>
      </c>
      <c r="AE135" s="7">
        <f t="shared" si="144"/>
        <v>0</v>
      </c>
      <c r="AF135" s="7">
        <f t="shared" si="144"/>
        <v>0</v>
      </c>
      <c r="AG135" s="7">
        <f t="shared" si="144"/>
        <v>0</v>
      </c>
      <c r="AH135" s="7">
        <f t="shared" si="144"/>
        <v>0</v>
      </c>
      <c r="AI135" s="7">
        <f t="shared" si="144"/>
        <v>0</v>
      </c>
      <c r="AJ135" s="7">
        <f t="shared" si="144"/>
        <v>0</v>
      </c>
      <c r="AK135" s="7">
        <f t="shared" si="144"/>
        <v>0</v>
      </c>
      <c r="AL135" s="7">
        <f t="shared" si="144"/>
        <v>0</v>
      </c>
      <c r="AM135" s="7">
        <f t="shared" si="144"/>
        <v>0</v>
      </c>
      <c r="AN135" s="7">
        <f t="shared" si="145"/>
        <v>0</v>
      </c>
      <c r="AO135" s="7">
        <f t="shared" si="145"/>
        <v>0</v>
      </c>
      <c r="AP135" s="7">
        <f t="shared" si="145"/>
        <v>0</v>
      </c>
      <c r="AQ135" s="7">
        <f t="shared" si="145"/>
        <v>0</v>
      </c>
      <c r="AR135" s="7">
        <f t="shared" si="145"/>
        <v>0</v>
      </c>
      <c r="AS135" s="7">
        <f t="shared" si="145"/>
        <v>0</v>
      </c>
      <c r="AT135" s="7">
        <f t="shared" si="145"/>
        <v>0</v>
      </c>
      <c r="AU135" s="7">
        <f t="shared" si="146"/>
        <v>0</v>
      </c>
      <c r="AV135" s="7">
        <f t="shared" si="147"/>
        <v>0</v>
      </c>
      <c r="AW135" s="7">
        <f t="shared" si="147"/>
        <v>0</v>
      </c>
      <c r="AX135" s="7"/>
      <c r="AY135" s="7"/>
      <c r="AZ135" s="7">
        <f>SUM($B$135:B135)</f>
        <v>0</v>
      </c>
      <c r="BA135" s="7">
        <f>SUM($B$135:C135)</f>
        <v>0</v>
      </c>
      <c r="BB135" s="7">
        <f>SUM($B$135:D135)</f>
        <v>0</v>
      </c>
      <c r="BC135" s="7">
        <f>SUM($B$135:E135)</f>
        <v>0</v>
      </c>
      <c r="BD135" s="7">
        <f>SUM($B$135:F135)</f>
        <v>0</v>
      </c>
      <c r="BE135" s="7">
        <f>SUM($B$135:G135)</f>
        <v>0</v>
      </c>
      <c r="BF135" s="7">
        <f>SUM($B$135:H135)</f>
        <v>0</v>
      </c>
      <c r="BG135" s="7">
        <f>SUM($B$135:I135)</f>
        <v>0</v>
      </c>
      <c r="BH135" s="7">
        <f>SUM($B$135:J135)</f>
        <v>0</v>
      </c>
      <c r="BI135" s="7">
        <f>SUM($B$135:K135)</f>
        <v>0</v>
      </c>
      <c r="BJ135" s="7">
        <f>SUM($B$135:L135)</f>
        <v>0</v>
      </c>
      <c r="BK135" s="7">
        <f>SUM($B$135:M135)</f>
        <v>0</v>
      </c>
      <c r="BL135" s="7">
        <f>SUM($B$135:Q135)</f>
        <v>0</v>
      </c>
      <c r="BM135" s="7">
        <f>SUM($B$135:N135)</f>
        <v>0</v>
      </c>
      <c r="BN135" s="7">
        <f>SUM($B$135:O135)</f>
        <v>0</v>
      </c>
      <c r="BO135" s="7">
        <f>SUM($B$135:P135)</f>
        <v>0</v>
      </c>
      <c r="BP135" s="7">
        <f>SUM($B$135:R135)</f>
        <v>0</v>
      </c>
      <c r="BQ135" s="7">
        <f>SUM($B$135:S135)</f>
        <v>0</v>
      </c>
      <c r="BR135" s="7">
        <f>SUM($B$135:T135)</f>
        <v>0</v>
      </c>
      <c r="BS135" s="7">
        <f>SUM($B$135:V135)</f>
        <v>0</v>
      </c>
      <c r="BT135" s="7"/>
      <c r="BU135" s="7">
        <f>SUM($BS$130:BS135)</f>
        <v>0</v>
      </c>
      <c r="BV135">
        <f t="shared" si="148"/>
        <v>0</v>
      </c>
      <c r="BW135">
        <f>SUM($BV$130:BV135)</f>
        <v>0</v>
      </c>
    </row>
    <row r="136" spans="1:75" x14ac:dyDescent="0.35">
      <c r="A136" s="160" t="s">
        <v>28</v>
      </c>
      <c r="B136" s="7"/>
      <c r="C136" s="7"/>
      <c r="D136" s="7"/>
      <c r="E136" s="7"/>
      <c r="F136" s="7"/>
      <c r="G136" s="7"/>
      <c r="H136" s="7"/>
      <c r="I136" s="7"/>
      <c r="J136" s="7"/>
      <c r="K136" s="7"/>
      <c r="L136" s="7"/>
      <c r="M136" s="7"/>
      <c r="N136" s="7"/>
      <c r="O136" s="7"/>
      <c r="P136" s="7"/>
      <c r="Q136" s="7"/>
      <c r="R136" s="7"/>
      <c r="S136" s="7"/>
      <c r="T136" s="7"/>
      <c r="U136" s="7"/>
      <c r="V136" s="7"/>
      <c r="W136" s="7">
        <f t="shared" si="139"/>
        <v>0</v>
      </c>
      <c r="X136" s="7">
        <f t="shared" si="140"/>
        <v>0</v>
      </c>
      <c r="Y136" s="7">
        <f t="shared" si="141"/>
        <v>0</v>
      </c>
      <c r="Z136" s="62"/>
      <c r="AA136" s="195"/>
      <c r="AB136" s="7">
        <f t="shared" si="142"/>
        <v>0</v>
      </c>
      <c r="AC136" s="7" t="s">
        <v>28</v>
      </c>
      <c r="AD136" s="7">
        <f t="shared" si="144"/>
        <v>0</v>
      </c>
      <c r="AE136" s="7">
        <f t="shared" si="144"/>
        <v>0</v>
      </c>
      <c r="AF136" s="7">
        <f t="shared" si="144"/>
        <v>0</v>
      </c>
      <c r="AG136" s="7">
        <f t="shared" si="144"/>
        <v>0</v>
      </c>
      <c r="AH136" s="7">
        <f t="shared" si="144"/>
        <v>0</v>
      </c>
      <c r="AI136" s="7">
        <f t="shared" si="144"/>
        <v>0</v>
      </c>
      <c r="AJ136" s="7">
        <f t="shared" si="144"/>
        <v>0</v>
      </c>
      <c r="AK136" s="7">
        <f t="shared" si="144"/>
        <v>0</v>
      </c>
      <c r="AL136" s="7">
        <f t="shared" si="144"/>
        <v>0</v>
      </c>
      <c r="AM136" s="7">
        <f t="shared" si="144"/>
        <v>0</v>
      </c>
      <c r="AN136" s="7">
        <f t="shared" si="145"/>
        <v>0</v>
      </c>
      <c r="AO136" s="7">
        <f t="shared" si="145"/>
        <v>0</v>
      </c>
      <c r="AP136" s="7">
        <f t="shared" si="145"/>
        <v>0</v>
      </c>
      <c r="AQ136" s="7">
        <f t="shared" si="145"/>
        <v>0</v>
      </c>
      <c r="AR136" s="7">
        <f t="shared" si="145"/>
        <v>0</v>
      </c>
      <c r="AS136" s="7">
        <f t="shared" si="145"/>
        <v>0</v>
      </c>
      <c r="AT136" s="7">
        <f t="shared" si="145"/>
        <v>0</v>
      </c>
      <c r="AU136" s="7">
        <f t="shared" si="146"/>
        <v>0</v>
      </c>
      <c r="AV136" s="7">
        <f t="shared" si="147"/>
        <v>0</v>
      </c>
      <c r="AW136" s="7">
        <f t="shared" si="147"/>
        <v>0</v>
      </c>
      <c r="AX136" s="7"/>
      <c r="AY136" s="7"/>
      <c r="AZ136" s="7">
        <f>SUM($B$136:B136)</f>
        <v>0</v>
      </c>
      <c r="BA136" s="7">
        <f>SUM($B$136:C136)</f>
        <v>0</v>
      </c>
      <c r="BB136" s="7">
        <f>SUM($B$136:D136)</f>
        <v>0</v>
      </c>
      <c r="BC136" s="7">
        <f>SUM($B$136:E136)</f>
        <v>0</v>
      </c>
      <c r="BD136" s="7">
        <f>SUM($B$136:F136)</f>
        <v>0</v>
      </c>
      <c r="BE136" s="7">
        <f>SUM($B$136:G136)</f>
        <v>0</v>
      </c>
      <c r="BF136" s="7">
        <f>SUM($B$136:H136)</f>
        <v>0</v>
      </c>
      <c r="BG136" s="7">
        <f>SUM($B$136:I136)</f>
        <v>0</v>
      </c>
      <c r="BH136" s="7">
        <f>SUM($B$136:J136)</f>
        <v>0</v>
      </c>
      <c r="BI136" s="7">
        <f>SUM($B$136:K136)</f>
        <v>0</v>
      </c>
      <c r="BJ136" s="7">
        <f>SUM($B$136:L136)</f>
        <v>0</v>
      </c>
      <c r="BK136" s="7">
        <f>SUM($B$136:M136)</f>
        <v>0</v>
      </c>
      <c r="BL136" s="7">
        <f>SUM($B$136:Q136)</f>
        <v>0</v>
      </c>
      <c r="BM136" s="7">
        <f>SUM($B$136:N136)</f>
        <v>0</v>
      </c>
      <c r="BN136" s="7">
        <f>SUM($B$136:O136)</f>
        <v>0</v>
      </c>
      <c r="BO136" s="7">
        <f>SUM($B$136:P136)</f>
        <v>0</v>
      </c>
      <c r="BP136" s="7">
        <f>SUM($B$136:R136)</f>
        <v>0</v>
      </c>
      <c r="BQ136" s="7">
        <f>SUM($B$136:S136)</f>
        <v>0</v>
      </c>
      <c r="BR136" s="7">
        <f>SUM($B$136:T136)</f>
        <v>0</v>
      </c>
      <c r="BS136" s="7">
        <f>SUM($B$136:V136)</f>
        <v>0</v>
      </c>
      <c r="BT136" s="7"/>
      <c r="BU136" s="7">
        <f>SUM($BS$130:BS136)</f>
        <v>0</v>
      </c>
      <c r="BV136">
        <f t="shared" si="148"/>
        <v>0</v>
      </c>
      <c r="BW136">
        <f>SUM($BV$130:BV136)</f>
        <v>0</v>
      </c>
    </row>
    <row r="137" spans="1:75" x14ac:dyDescent="0.35">
      <c r="A137" s="63" t="s">
        <v>29</v>
      </c>
      <c r="B137" s="7">
        <f t="shared" ref="B137:T137" si="149">SUM(B130:B136)</f>
        <v>0</v>
      </c>
      <c r="C137" s="7">
        <f t="shared" si="149"/>
        <v>0</v>
      </c>
      <c r="D137" s="7">
        <f t="shared" si="149"/>
        <v>0</v>
      </c>
      <c r="E137" s="7">
        <f t="shared" si="149"/>
        <v>0</v>
      </c>
      <c r="F137" s="7">
        <f t="shared" si="149"/>
        <v>0</v>
      </c>
      <c r="G137" s="7">
        <f t="shared" si="149"/>
        <v>0</v>
      </c>
      <c r="H137" s="7">
        <f t="shared" si="149"/>
        <v>0</v>
      </c>
      <c r="I137" s="7">
        <f t="shared" si="149"/>
        <v>0</v>
      </c>
      <c r="J137" s="7">
        <f t="shared" si="149"/>
        <v>0</v>
      </c>
      <c r="K137" s="7">
        <f>SUM(K130:K136)</f>
        <v>0</v>
      </c>
      <c r="L137" s="7">
        <f t="shared" si="149"/>
        <v>0</v>
      </c>
      <c r="M137" s="7">
        <f t="shared" si="149"/>
        <v>0</v>
      </c>
      <c r="N137" s="7">
        <f t="shared" si="149"/>
        <v>0</v>
      </c>
      <c r="O137" s="7">
        <f t="shared" si="149"/>
        <v>0</v>
      </c>
      <c r="P137" s="7">
        <f t="shared" si="149"/>
        <v>0</v>
      </c>
      <c r="Q137" s="7">
        <f>SUM(Q130:Q136)</f>
        <v>0</v>
      </c>
      <c r="R137" s="7">
        <f t="shared" si="149"/>
        <v>0</v>
      </c>
      <c r="S137" s="7">
        <f t="shared" si="149"/>
        <v>0</v>
      </c>
      <c r="T137" s="7">
        <f t="shared" si="149"/>
        <v>0</v>
      </c>
      <c r="U137" s="7">
        <f t="shared" ref="U137" si="150">SUM(U130:U136)</f>
        <v>0</v>
      </c>
      <c r="V137" s="7">
        <f>SUM(V130:V136)</f>
        <v>0</v>
      </c>
      <c r="W137" s="31">
        <f>SUM(W130:W136)</f>
        <v>0</v>
      </c>
      <c r="X137" s="7"/>
      <c r="Y137" s="7"/>
      <c r="Z137" s="62" t="s">
        <v>175</v>
      </c>
      <c r="AA137" s="19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row>
    <row r="138" spans="1:75" x14ac:dyDescent="0.35">
      <c r="A138" s="63" t="s">
        <v>33</v>
      </c>
      <c r="B138" s="7">
        <f t="shared" ref="B138:U138" si="151">B137-B123</f>
        <v>0</v>
      </c>
      <c r="C138" s="7">
        <f t="shared" si="151"/>
        <v>0</v>
      </c>
      <c r="D138" s="7">
        <f t="shared" si="151"/>
        <v>0</v>
      </c>
      <c r="E138" s="7">
        <f t="shared" si="151"/>
        <v>0</v>
      </c>
      <c r="F138" s="7">
        <f t="shared" si="151"/>
        <v>0</v>
      </c>
      <c r="G138" s="7">
        <f t="shared" si="151"/>
        <v>0</v>
      </c>
      <c r="H138" s="7">
        <f t="shared" si="151"/>
        <v>0</v>
      </c>
      <c r="I138" s="7">
        <f t="shared" si="151"/>
        <v>0</v>
      </c>
      <c r="J138" s="7">
        <f t="shared" si="151"/>
        <v>0</v>
      </c>
      <c r="K138" s="7">
        <f t="shared" si="151"/>
        <v>0</v>
      </c>
      <c r="L138" s="7">
        <f t="shared" si="151"/>
        <v>0</v>
      </c>
      <c r="M138" s="7">
        <f t="shared" si="151"/>
        <v>0</v>
      </c>
      <c r="N138" s="7">
        <f t="shared" si="151"/>
        <v>0</v>
      </c>
      <c r="O138" s="7">
        <f t="shared" si="151"/>
        <v>0</v>
      </c>
      <c r="P138" s="7">
        <f t="shared" si="151"/>
        <v>0</v>
      </c>
      <c r="Q138" s="7">
        <f t="shared" si="151"/>
        <v>0</v>
      </c>
      <c r="R138" s="7">
        <f t="shared" si="151"/>
        <v>0</v>
      </c>
      <c r="S138" s="7">
        <f t="shared" si="151"/>
        <v>0</v>
      </c>
      <c r="T138" s="7">
        <f t="shared" si="151"/>
        <v>0</v>
      </c>
      <c r="U138" s="7">
        <f t="shared" si="151"/>
        <v>0</v>
      </c>
      <c r="V138" s="7">
        <f>V137-V123</f>
        <v>0</v>
      </c>
      <c r="W138" s="7">
        <f>W137-W123</f>
        <v>0</v>
      </c>
      <c r="X138" s="7"/>
      <c r="Y138" s="7"/>
      <c r="Z138" s="62"/>
      <c r="AA138" s="19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row>
    <row r="139" spans="1:75" x14ac:dyDescent="0.35">
      <c r="A139" s="63" t="s">
        <v>110</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cm="1">
        <f t="array" ref="S139">IF(COUNTIF(AU129:AU135,0)=0,
    LOOKUP(2,1/(AU129:AU135&lt;&gt;""),AU129:AU135),
    MATCH(0,INDEX(AU129:AU135,MAX(ROW(AU129:AU135))-ROW(AU129:AU135)+1),0)-1
)</f>
        <v>0</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IF(COUNTIF(AZ129:AZ135,0)=0,
    LOOKUP(2,1/(AZ129:AZ135&lt;&gt;""),AZ129:AZ135),
    MATCH(0,INDEX(AZ129:AZ135,MAX(ROW(AZ129:AZ135))-ROW(AZ129:AZ135)+1),0)-1
)</f>
        <v>0</v>
      </c>
      <c r="W139" s="7"/>
      <c r="X139" s="7"/>
      <c r="Y139" s="7"/>
      <c r="Z139" s="62"/>
      <c r="AA139" s="19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row>
    <row r="140" spans="1:75" x14ac:dyDescent="0.35">
      <c r="A140" s="63" t="s">
        <v>99</v>
      </c>
      <c r="B140" s="7">
        <f t="shared" ref="B140:U140" si="152">B137+B126</f>
        <v>2</v>
      </c>
      <c r="C140" s="7">
        <f t="shared" si="152"/>
        <v>0</v>
      </c>
      <c r="D140" s="7">
        <f t="shared" si="152"/>
        <v>5</v>
      </c>
      <c r="E140" s="7">
        <f t="shared" si="152"/>
        <v>9</v>
      </c>
      <c r="F140" s="7">
        <f t="shared" si="152"/>
        <v>4</v>
      </c>
      <c r="G140" s="7">
        <f t="shared" si="152"/>
        <v>0</v>
      </c>
      <c r="H140" s="7">
        <f t="shared" si="152"/>
        <v>0</v>
      </c>
      <c r="I140" s="7">
        <f t="shared" si="152"/>
        <v>3</v>
      </c>
      <c r="J140" s="7">
        <f t="shared" si="152"/>
        <v>0</v>
      </c>
      <c r="K140" s="7">
        <f t="shared" si="152"/>
        <v>0.75</v>
      </c>
      <c r="L140" s="7">
        <f t="shared" si="152"/>
        <v>2</v>
      </c>
      <c r="M140" s="7">
        <f t="shared" si="152"/>
        <v>1</v>
      </c>
      <c r="N140" s="7">
        <f t="shared" si="152"/>
        <v>2.5</v>
      </c>
      <c r="O140" s="7">
        <f t="shared" si="152"/>
        <v>2</v>
      </c>
      <c r="P140" s="7">
        <f t="shared" si="152"/>
        <v>0</v>
      </c>
      <c r="Q140" s="7">
        <f t="shared" si="152"/>
        <v>0</v>
      </c>
      <c r="R140" s="7">
        <f t="shared" si="152"/>
        <v>1</v>
      </c>
      <c r="S140" s="7">
        <f t="shared" si="152"/>
        <v>3</v>
      </c>
      <c r="T140" s="7">
        <f t="shared" si="152"/>
        <v>0</v>
      </c>
      <c r="U140" s="7">
        <f t="shared" si="152"/>
        <v>-1</v>
      </c>
      <c r="V140" s="7">
        <f>V137+V126</f>
        <v>2</v>
      </c>
      <c r="W140" s="7">
        <f>W126+W137</f>
        <v>36.25</v>
      </c>
      <c r="X140" s="7"/>
      <c r="Y140" s="7">
        <f>SUM(Y130:Y136)</f>
        <v>0</v>
      </c>
      <c r="Z140" s="62"/>
      <c r="AA140" s="19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row>
    <row r="141" spans="1:75" x14ac:dyDescent="0.35">
      <c r="A141" s="63" t="s">
        <v>112</v>
      </c>
      <c r="B141" s="174">
        <f>(COUNTIF(B4:B10, "&gt;0")+COUNTIF(B18:B24, "&gt;0")+COUNTIF(B32:B38, "&gt;0")+COUNTIF(B46:B52, "&gt;0")+COUNTIF(B60:B66, "&gt;0")+COUNTIF(B74:B80, "&gt;0")+COUNTIF(B88:B94, "&gt;0")+COUNTIF(B102:B108, "&gt;0")+COUNTIF(B116:B122, "&gt;0") + COUNTIF(B130:B136, "&gt;0")) / 70</f>
        <v>1.4285714285714285E-2</v>
      </c>
      <c r="C141" s="174">
        <f t="shared" ref="C141:O141" si="153">(COUNTIF(C4:C10, "&gt;0")+COUNTIF(C18:C24, "&gt;0")+COUNTIF(C32:C38, "&gt;0")+COUNTIF(C46:C52, "&gt;0")+COUNTIF(C60:C66, "&gt;0")+COUNTIF(C74:C80, "&gt;0")+COUNTIF(C88:C94, "&gt;0")+COUNTIF(C102:C108, "&gt;0")+COUNTIF(C116:C122, "&gt;0") + COUNTIF(C130:C136, "&gt;0")) / 70</f>
        <v>0</v>
      </c>
      <c r="D141" s="174">
        <f t="shared" si="153"/>
        <v>1.4285714285714285E-2</v>
      </c>
      <c r="E141" s="174">
        <f t="shared" si="153"/>
        <v>1.4285714285714285E-2</v>
      </c>
      <c r="F141" s="174">
        <f t="shared" si="153"/>
        <v>1.4285714285714285E-2</v>
      </c>
      <c r="G141" s="174">
        <f t="shared" si="153"/>
        <v>0</v>
      </c>
      <c r="H141" s="174">
        <f t="shared" si="153"/>
        <v>0</v>
      </c>
      <c r="I141" s="174">
        <f t="shared" si="153"/>
        <v>1.4285714285714285E-2</v>
      </c>
      <c r="J141" s="174">
        <f t="shared" si="153"/>
        <v>0</v>
      </c>
      <c r="K141" s="174">
        <f t="shared" si="153"/>
        <v>1.4285714285714285E-2</v>
      </c>
      <c r="L141" s="174">
        <f t="shared" si="153"/>
        <v>1.4285714285714285E-2</v>
      </c>
      <c r="M141" s="174">
        <f t="shared" si="153"/>
        <v>1.4285714285714285E-2</v>
      </c>
      <c r="N141" s="174">
        <f t="shared" si="153"/>
        <v>1.4285714285714285E-2</v>
      </c>
      <c r="O141" s="174">
        <f t="shared" si="153"/>
        <v>1.4285714285714285E-2</v>
      </c>
      <c r="P141" s="7"/>
      <c r="Q141" s="7"/>
      <c r="R141" s="7"/>
      <c r="S141" s="7"/>
      <c r="T141" s="7"/>
      <c r="U141" s="63" t="s">
        <v>31</v>
      </c>
      <c r="V141" s="7">
        <f>SUMIF(B137:V137,"&lt;0",B137:V137)</f>
        <v>0</v>
      </c>
      <c r="W141" s="7">
        <f>SUMIF(B137:V137,"&gt;0",B137:V137)</f>
        <v>0</v>
      </c>
      <c r="Y141" s="7"/>
      <c r="Z141" s="62"/>
      <c r="AA141" s="19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row>
    <row r="142" spans="1:75"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t="s">
        <v>130</v>
      </c>
      <c r="BA142" s="7"/>
      <c r="BB142" s="7"/>
      <c r="BC142" s="7"/>
      <c r="BD142" s="7"/>
      <c r="BE142" s="7"/>
      <c r="BF142" s="7"/>
      <c r="BG142" s="7"/>
      <c r="BH142" s="7"/>
      <c r="BI142" s="7"/>
      <c r="BJ142" s="7"/>
      <c r="BK142" s="7"/>
      <c r="BL142" s="7"/>
      <c r="BM142" s="7"/>
      <c r="BN142" s="7"/>
      <c r="BO142" s="7"/>
      <c r="BP142" s="7"/>
      <c r="BQ142" s="7"/>
      <c r="BR142" s="7"/>
      <c r="BS142" s="7"/>
      <c r="BT142" s="7"/>
      <c r="BU142" s="7"/>
    </row>
    <row r="143" spans="1:75" x14ac:dyDescent="0.35">
      <c r="A143" s="106" t="s">
        <v>55</v>
      </c>
      <c r="B143" s="66">
        <f>C129+1</f>
        <v>46097</v>
      </c>
      <c r="C143" s="66">
        <f>B143+6</f>
        <v>46103</v>
      </c>
      <c r="D143" s="7"/>
      <c r="E143" s="7"/>
      <c r="F143" s="7"/>
      <c r="G143" s="7"/>
      <c r="H143" s="7"/>
      <c r="I143" s="7"/>
      <c r="J143" s="7"/>
      <c r="K143" s="7" t="s">
        <v>146</v>
      </c>
      <c r="L143" s="7" t="s">
        <v>146</v>
      </c>
      <c r="M143" s="7" t="s">
        <v>146</v>
      </c>
      <c r="N143" s="7"/>
      <c r="O143" s="7"/>
      <c r="P143" s="7"/>
      <c r="Q143" s="7"/>
      <c r="R143" s="7"/>
      <c r="S143" s="7"/>
      <c r="T143" s="7"/>
      <c r="U143" s="7"/>
      <c r="V143" s="7"/>
      <c r="W143" s="7"/>
      <c r="X143" s="7"/>
      <c r="Y143" s="7"/>
      <c r="Z143" s="11"/>
      <c r="AA143" s="11"/>
      <c r="AB143" s="7"/>
      <c r="AC143" s="7" t="s">
        <v>72</v>
      </c>
      <c r="AD143" s="7"/>
      <c r="AE143" s="7"/>
      <c r="AF143" s="7"/>
      <c r="AG143" s="7"/>
      <c r="AH143" s="7"/>
      <c r="AI143" s="7"/>
      <c r="AJ143" s="7"/>
      <c r="AK143" s="7"/>
      <c r="AL143" s="7"/>
      <c r="AM143" s="7"/>
      <c r="AN143" s="7"/>
      <c r="AO143" s="7"/>
      <c r="AP143" s="7"/>
      <c r="AQ143" s="7"/>
      <c r="AR143" s="7"/>
      <c r="AS143" s="7"/>
      <c r="AT143" s="7"/>
      <c r="AU143" s="7"/>
      <c r="AV143" s="7"/>
      <c r="AW143" s="7"/>
      <c r="AX143" s="7"/>
      <c r="AY143" s="7"/>
      <c r="AZ143" s="12"/>
      <c r="BA143" s="12"/>
      <c r="BB143" s="12"/>
      <c r="BC143" s="12"/>
      <c r="BD143" s="12"/>
      <c r="BE143" s="12"/>
      <c r="BF143" s="12"/>
      <c r="BG143" s="12"/>
      <c r="BH143" s="12"/>
      <c r="BI143" s="12"/>
      <c r="BJ143" s="12"/>
      <c r="BK143" s="12"/>
      <c r="BL143" s="12"/>
      <c r="BM143" s="12"/>
      <c r="BN143" s="12"/>
      <c r="BO143" s="12"/>
      <c r="BP143" s="12"/>
      <c r="BQ143" s="12"/>
      <c r="BR143" s="12"/>
      <c r="BS143" s="12"/>
      <c r="BT143" s="203"/>
      <c r="BU143" s="12">
        <v>0</v>
      </c>
      <c r="BW143">
        <v>0</v>
      </c>
    </row>
    <row r="144" spans="1:75" ht="29" x14ac:dyDescent="0.35">
      <c r="A144" s="84" t="s">
        <v>22</v>
      </c>
      <c r="B144" s="7"/>
      <c r="C144" s="7"/>
      <c r="D144" s="7"/>
      <c r="E144" s="7"/>
      <c r="F144" s="7"/>
      <c r="G144" s="7"/>
      <c r="H144" s="7"/>
      <c r="I144" s="7"/>
      <c r="J144" s="7"/>
      <c r="K144" s="7"/>
      <c r="L144" s="7"/>
      <c r="M144" s="7"/>
      <c r="N144" s="7"/>
      <c r="O144" s="7"/>
      <c r="P144" s="7"/>
      <c r="Q144" s="7"/>
      <c r="R144" s="7"/>
      <c r="S144" s="7"/>
      <c r="T144" s="7"/>
      <c r="U144" s="7"/>
      <c r="V144" s="7"/>
      <c r="W144" s="7">
        <f t="shared" ref="W144:W150" si="154">SUM(B144:V144)</f>
        <v>0</v>
      </c>
      <c r="X144" s="7">
        <f t="shared" ref="X144:X150" si="155">SUM(AD144:AW144)*0.1</f>
        <v>0</v>
      </c>
      <c r="Y144" s="7">
        <f t="shared" ref="Y144:Y150" si="156">W144+X144</f>
        <v>0</v>
      </c>
      <c r="Z144" s="67"/>
      <c r="AA144" s="188" t="s">
        <v>178</v>
      </c>
      <c r="AB144" s="7">
        <f t="shared" ref="AB144:AB150" si="157">AB130+W144</f>
        <v>36.25</v>
      </c>
      <c r="AC144" s="7" t="s">
        <v>22</v>
      </c>
      <c r="AD144" s="7">
        <f t="shared" ref="AD144:AW144" si="158">IF(B144 &gt; 0, IF(AD136&gt; 0, AD136+ 1, 0.1), 0)</f>
        <v>0</v>
      </c>
      <c r="AE144" s="7">
        <f t="shared" si="158"/>
        <v>0</v>
      </c>
      <c r="AF144" s="7">
        <f t="shared" si="158"/>
        <v>0</v>
      </c>
      <c r="AG144" s="7">
        <f t="shared" si="158"/>
        <v>0</v>
      </c>
      <c r="AH144" s="7">
        <f t="shared" si="158"/>
        <v>0</v>
      </c>
      <c r="AI144" s="7">
        <f t="shared" si="158"/>
        <v>0</v>
      </c>
      <c r="AJ144" s="7">
        <f t="shared" si="158"/>
        <v>0</v>
      </c>
      <c r="AK144" s="7">
        <f t="shared" si="158"/>
        <v>0</v>
      </c>
      <c r="AL144" s="7">
        <f t="shared" si="158"/>
        <v>0</v>
      </c>
      <c r="AM144" s="7">
        <f t="shared" si="158"/>
        <v>0</v>
      </c>
      <c r="AN144" s="7">
        <f t="shared" si="158"/>
        <v>0</v>
      </c>
      <c r="AO144" s="7">
        <f t="shared" si="158"/>
        <v>0</v>
      </c>
      <c r="AP144" s="7">
        <f t="shared" si="158"/>
        <v>0</v>
      </c>
      <c r="AQ144" s="7">
        <f t="shared" si="158"/>
        <v>0</v>
      </c>
      <c r="AR144" s="7">
        <f t="shared" si="158"/>
        <v>0</v>
      </c>
      <c r="AS144" s="7">
        <f t="shared" si="158"/>
        <v>0</v>
      </c>
      <c r="AT144" s="7">
        <f t="shared" si="158"/>
        <v>0</v>
      </c>
      <c r="AU144" s="7">
        <f t="shared" si="158"/>
        <v>0</v>
      </c>
      <c r="AV144" s="7">
        <f t="shared" si="158"/>
        <v>0</v>
      </c>
      <c r="AW144" s="7">
        <f t="shared" si="158"/>
        <v>0</v>
      </c>
      <c r="AX144" s="7"/>
      <c r="AY144" s="7"/>
      <c r="AZ144" s="7">
        <f>SUM($B$144:B144)</f>
        <v>0</v>
      </c>
      <c r="BA144" s="7">
        <f>SUM($B$144:C144)</f>
        <v>0</v>
      </c>
      <c r="BB144" s="7">
        <f>SUM($B$144:D144)</f>
        <v>0</v>
      </c>
      <c r="BC144" s="7">
        <f>SUM($B$144:E144)</f>
        <v>0</v>
      </c>
      <c r="BD144" s="7">
        <f>SUM($B$144:F144)</f>
        <v>0</v>
      </c>
      <c r="BE144" s="7">
        <f>SUM($B$144:G144)</f>
        <v>0</v>
      </c>
      <c r="BF144" s="7">
        <f>SUM($B$144:H144)</f>
        <v>0</v>
      </c>
      <c r="BG144" s="7">
        <f>SUM($B$144:I144)</f>
        <v>0</v>
      </c>
      <c r="BH144" s="7">
        <f>SUM($B$144:J144)</f>
        <v>0</v>
      </c>
      <c r="BI144" s="7">
        <f>SUM($B$144:K144)</f>
        <v>0</v>
      </c>
      <c r="BJ144" s="7">
        <f>SUM($B$144:L144)</f>
        <v>0</v>
      </c>
      <c r="BK144" s="7">
        <f>SUM($B$144:M144)</f>
        <v>0</v>
      </c>
      <c r="BL144" s="7">
        <f>SUM($B$144:Q144)</f>
        <v>0</v>
      </c>
      <c r="BM144" s="7">
        <f>SUM($B$144:N144)</f>
        <v>0</v>
      </c>
      <c r="BN144" s="7">
        <f>SUM($B$144:O144)</f>
        <v>0</v>
      </c>
      <c r="BO144" s="7">
        <f>SUM($B$144:P144)</f>
        <v>0</v>
      </c>
      <c r="BP144" s="7">
        <f>SUM($B$144:R144)</f>
        <v>0</v>
      </c>
      <c r="BQ144" s="7">
        <f>SUM($B$144:S144)</f>
        <v>0</v>
      </c>
      <c r="BR144" s="7">
        <f>SUM($B$144:T144)</f>
        <v>0</v>
      </c>
      <c r="BS144" s="7">
        <f>SUM($B$144:V144)</f>
        <v>0</v>
      </c>
      <c r="BT144" s="7"/>
      <c r="BU144" s="7">
        <f>SUM($BS$144:BS144)</f>
        <v>0</v>
      </c>
      <c r="BV144">
        <f t="shared" si="148"/>
        <v>0</v>
      </c>
      <c r="BW144">
        <f>SUM($BV$144:BV144)</f>
        <v>0</v>
      </c>
    </row>
    <row r="145" spans="1:75" x14ac:dyDescent="0.35">
      <c r="A145" s="95" t="s">
        <v>23</v>
      </c>
      <c r="B145" s="7"/>
      <c r="C145" s="7"/>
      <c r="D145" s="7"/>
      <c r="E145" s="7"/>
      <c r="F145" s="7"/>
      <c r="G145" s="7"/>
      <c r="H145" s="7"/>
      <c r="I145" s="7"/>
      <c r="J145" s="7"/>
      <c r="K145" s="7"/>
      <c r="L145" s="7"/>
      <c r="M145" s="7"/>
      <c r="N145" s="7"/>
      <c r="O145" s="7"/>
      <c r="P145" s="7"/>
      <c r="Q145" s="7"/>
      <c r="R145" s="7"/>
      <c r="S145" s="7"/>
      <c r="T145" s="7"/>
      <c r="U145" s="7"/>
      <c r="V145" s="7"/>
      <c r="W145" s="7">
        <f t="shared" si="154"/>
        <v>0</v>
      </c>
      <c r="X145" s="7">
        <f t="shared" si="155"/>
        <v>0</v>
      </c>
      <c r="Y145" s="7">
        <f t="shared" si="156"/>
        <v>0</v>
      </c>
      <c r="Z145" s="67"/>
      <c r="AA145" s="188"/>
      <c r="AB145" s="7">
        <f t="shared" si="157"/>
        <v>0</v>
      </c>
      <c r="AC145" s="7" t="s">
        <v>23</v>
      </c>
      <c r="AD145" s="7">
        <f t="shared" ref="AD145:AM150" si="159">IF(B145 &gt; 0, IF(AD144 &gt; 0, AD144 + 1, 0.1), 0)</f>
        <v>0</v>
      </c>
      <c r="AE145" s="7">
        <f t="shared" si="159"/>
        <v>0</v>
      </c>
      <c r="AF145" s="7">
        <f t="shared" si="159"/>
        <v>0</v>
      </c>
      <c r="AG145" s="7">
        <f t="shared" si="159"/>
        <v>0</v>
      </c>
      <c r="AH145" s="7">
        <f t="shared" si="159"/>
        <v>0</v>
      </c>
      <c r="AI145" s="7">
        <f t="shared" si="159"/>
        <v>0</v>
      </c>
      <c r="AJ145" s="7">
        <f t="shared" si="159"/>
        <v>0</v>
      </c>
      <c r="AK145" s="7">
        <f t="shared" si="159"/>
        <v>0</v>
      </c>
      <c r="AL145" s="7">
        <f t="shared" si="159"/>
        <v>0</v>
      </c>
      <c r="AM145" s="7">
        <f t="shared" si="159"/>
        <v>0</v>
      </c>
      <c r="AN145" s="7">
        <f t="shared" ref="AN145:AT150" si="160">IF(L145 &gt; 0, IF(AN144 &gt; 0, AN144 + 1, 0.1), 0)</f>
        <v>0</v>
      </c>
      <c r="AO145" s="7">
        <f t="shared" si="160"/>
        <v>0</v>
      </c>
      <c r="AP145" s="7">
        <f t="shared" si="160"/>
        <v>0</v>
      </c>
      <c r="AQ145" s="7">
        <f t="shared" si="160"/>
        <v>0</v>
      </c>
      <c r="AR145" s="7">
        <f t="shared" si="160"/>
        <v>0</v>
      </c>
      <c r="AS145" s="7">
        <f t="shared" si="160"/>
        <v>0</v>
      </c>
      <c r="AT145" s="7">
        <f t="shared" si="160"/>
        <v>0</v>
      </c>
      <c r="AU145" s="7">
        <f t="shared" ref="AU145:AU150" si="161">IF(S145 &gt; 0, IF(AU137&gt; 0, AU137+ 1, 0.1), 0)</f>
        <v>0</v>
      </c>
      <c r="AV145" s="7">
        <f t="shared" ref="AV145:AW150" si="162">IF(T145 &gt; 0, IF(AV144 &gt; 0, AV144 + 1, 0.1), 0)</f>
        <v>0</v>
      </c>
      <c r="AW145" s="7">
        <f t="shared" si="162"/>
        <v>0</v>
      </c>
      <c r="AX145" s="7"/>
      <c r="AY145" s="7"/>
      <c r="AZ145" s="7">
        <f>SUM($B$145:B145)</f>
        <v>0</v>
      </c>
      <c r="BA145" s="7">
        <f>SUM($B$145:C145)</f>
        <v>0</v>
      </c>
      <c r="BB145" s="7">
        <f>SUM($B$145:D145)</f>
        <v>0</v>
      </c>
      <c r="BC145" s="7">
        <f>SUM($B$145:E145)</f>
        <v>0</v>
      </c>
      <c r="BD145" s="7">
        <f>SUM($B$145:F145)</f>
        <v>0</v>
      </c>
      <c r="BE145" s="7">
        <f>SUM($B$145:G145)</f>
        <v>0</v>
      </c>
      <c r="BF145" s="7">
        <f>SUM($B$145:H145)</f>
        <v>0</v>
      </c>
      <c r="BG145" s="7">
        <f>SUM($B$145:I145)</f>
        <v>0</v>
      </c>
      <c r="BH145" s="7">
        <f>SUM($B$145:J145)</f>
        <v>0</v>
      </c>
      <c r="BI145" s="7">
        <f>SUM($B$145:K145)</f>
        <v>0</v>
      </c>
      <c r="BJ145" s="7">
        <f>SUM($B$145:L145)</f>
        <v>0</v>
      </c>
      <c r="BK145" s="7">
        <f>SUM($B$145:M145)</f>
        <v>0</v>
      </c>
      <c r="BL145" s="7">
        <f>SUM($B$145:Q145)</f>
        <v>0</v>
      </c>
      <c r="BM145" s="7">
        <f>SUM($B$145:N145)</f>
        <v>0</v>
      </c>
      <c r="BN145" s="7">
        <f>SUM($B$145:O145)</f>
        <v>0</v>
      </c>
      <c r="BO145" s="7">
        <f>SUM($B$145:P145)</f>
        <v>0</v>
      </c>
      <c r="BP145" s="7">
        <f>SUM($B$145:R145)</f>
        <v>0</v>
      </c>
      <c r="BQ145" s="7">
        <f>SUM($B$145:S145)</f>
        <v>0</v>
      </c>
      <c r="BR145" s="7">
        <f>SUM($B$145:T145)</f>
        <v>0</v>
      </c>
      <c r="BS145" s="7">
        <f>SUM($B$145:V145)</f>
        <v>0</v>
      </c>
      <c r="BT145" s="7"/>
      <c r="BU145" s="7">
        <f>SUM($BS$144:BS145)</f>
        <v>0</v>
      </c>
      <c r="BV145">
        <f t="shared" si="148"/>
        <v>0</v>
      </c>
      <c r="BW145">
        <f>SUM($BV$144:BV145)</f>
        <v>0</v>
      </c>
    </row>
    <row r="146" spans="1:75" x14ac:dyDescent="0.35">
      <c r="A146" s="118" t="s">
        <v>24</v>
      </c>
      <c r="B146" s="7"/>
      <c r="C146" s="7"/>
      <c r="D146" s="7"/>
      <c r="E146" s="7"/>
      <c r="F146" s="7"/>
      <c r="G146" s="7"/>
      <c r="H146" s="7"/>
      <c r="I146" s="7"/>
      <c r="J146" s="7"/>
      <c r="K146" s="7"/>
      <c r="L146" s="7"/>
      <c r="M146" s="7"/>
      <c r="N146" s="7"/>
      <c r="O146" s="7"/>
      <c r="P146" s="7"/>
      <c r="Q146" s="7"/>
      <c r="R146" s="7"/>
      <c r="S146" s="7"/>
      <c r="T146" s="7"/>
      <c r="U146" s="7"/>
      <c r="V146" s="7"/>
      <c r="W146" s="7">
        <f t="shared" si="154"/>
        <v>0</v>
      </c>
      <c r="X146" s="7">
        <f t="shared" si="155"/>
        <v>0</v>
      </c>
      <c r="Y146" s="7">
        <f t="shared" si="156"/>
        <v>0</v>
      </c>
      <c r="Z146" s="67"/>
      <c r="AA146" s="188"/>
      <c r="AB146" s="7">
        <f t="shared" si="157"/>
        <v>0</v>
      </c>
      <c r="AC146" s="7" t="s">
        <v>24</v>
      </c>
      <c r="AD146" s="7">
        <f t="shared" si="159"/>
        <v>0</v>
      </c>
      <c r="AE146" s="7">
        <f t="shared" si="159"/>
        <v>0</v>
      </c>
      <c r="AF146" s="7">
        <f t="shared" si="159"/>
        <v>0</v>
      </c>
      <c r="AG146" s="7">
        <f t="shared" si="159"/>
        <v>0</v>
      </c>
      <c r="AH146" s="7">
        <f t="shared" si="159"/>
        <v>0</v>
      </c>
      <c r="AI146" s="7">
        <f t="shared" si="159"/>
        <v>0</v>
      </c>
      <c r="AJ146" s="7">
        <f t="shared" si="159"/>
        <v>0</v>
      </c>
      <c r="AK146" s="7">
        <f t="shared" si="159"/>
        <v>0</v>
      </c>
      <c r="AL146" s="7">
        <f t="shared" si="159"/>
        <v>0</v>
      </c>
      <c r="AM146" s="7">
        <f t="shared" si="159"/>
        <v>0</v>
      </c>
      <c r="AN146" s="7">
        <f t="shared" si="160"/>
        <v>0</v>
      </c>
      <c r="AO146" s="7">
        <f t="shared" si="160"/>
        <v>0</v>
      </c>
      <c r="AP146" s="7">
        <f t="shared" si="160"/>
        <v>0</v>
      </c>
      <c r="AQ146" s="7">
        <f t="shared" si="160"/>
        <v>0</v>
      </c>
      <c r="AR146" s="7">
        <f t="shared" si="160"/>
        <v>0</v>
      </c>
      <c r="AS146" s="7">
        <f t="shared" si="160"/>
        <v>0</v>
      </c>
      <c r="AT146" s="7">
        <f t="shared" si="160"/>
        <v>0</v>
      </c>
      <c r="AU146" s="7">
        <f t="shared" si="161"/>
        <v>0</v>
      </c>
      <c r="AV146" s="7">
        <f t="shared" si="162"/>
        <v>0</v>
      </c>
      <c r="AW146" s="7">
        <f t="shared" si="162"/>
        <v>0</v>
      </c>
      <c r="AX146" s="7"/>
      <c r="AY146" s="7"/>
      <c r="AZ146" s="7">
        <f>SUM($B$146:B146)</f>
        <v>0</v>
      </c>
      <c r="BA146" s="7">
        <f>SUM($B$146:C146)</f>
        <v>0</v>
      </c>
      <c r="BB146" s="7">
        <f>SUM($B$146:D146)</f>
        <v>0</v>
      </c>
      <c r="BC146" s="7">
        <f>SUM($B$146:E146)</f>
        <v>0</v>
      </c>
      <c r="BD146" s="7">
        <f>SUM($B$146:F146)</f>
        <v>0</v>
      </c>
      <c r="BE146" s="7">
        <f>SUM($B$146:G146)</f>
        <v>0</v>
      </c>
      <c r="BF146" s="7">
        <f>SUM($B$146:H146)</f>
        <v>0</v>
      </c>
      <c r="BG146" s="7">
        <f>SUM($B$146:I146)</f>
        <v>0</v>
      </c>
      <c r="BH146" s="7">
        <f>SUM($B$146:J146)</f>
        <v>0</v>
      </c>
      <c r="BI146" s="7">
        <f>SUM($B$146:K146)</f>
        <v>0</v>
      </c>
      <c r="BJ146" s="7">
        <f>SUM($B$146:L146)</f>
        <v>0</v>
      </c>
      <c r="BK146" s="7">
        <f>SUM($B$146:M146)</f>
        <v>0</v>
      </c>
      <c r="BL146" s="7">
        <f>SUM($B$146:Q146)</f>
        <v>0</v>
      </c>
      <c r="BM146" s="7">
        <f>SUM($B$146:N146)</f>
        <v>0</v>
      </c>
      <c r="BN146" s="7">
        <f>SUM($B$146:O146)</f>
        <v>0</v>
      </c>
      <c r="BO146" s="7">
        <f>SUM($B$146:P146)</f>
        <v>0</v>
      </c>
      <c r="BP146" s="7">
        <f>SUM($B$146:R146)</f>
        <v>0</v>
      </c>
      <c r="BQ146" s="7">
        <f>SUM($B$146:S146)</f>
        <v>0</v>
      </c>
      <c r="BR146" s="7">
        <f>SUM($B$146:T146)</f>
        <v>0</v>
      </c>
      <c r="BS146" s="7">
        <f>SUM($B$146:V146)</f>
        <v>0</v>
      </c>
      <c r="BT146" s="7"/>
      <c r="BU146" s="7">
        <f>SUM($BS$144:BS146)</f>
        <v>0</v>
      </c>
      <c r="BV146">
        <f t="shared" si="148"/>
        <v>0</v>
      </c>
      <c r="BW146">
        <f>SUM($BV$144:BV146)</f>
        <v>0</v>
      </c>
    </row>
    <row r="147" spans="1:75" x14ac:dyDescent="0.35">
      <c r="A147" s="129" t="s">
        <v>25</v>
      </c>
      <c r="B147" s="7"/>
      <c r="C147" s="7"/>
      <c r="D147" s="7"/>
      <c r="E147" s="7"/>
      <c r="F147" s="7"/>
      <c r="G147" s="7"/>
      <c r="H147" s="7"/>
      <c r="I147" s="7"/>
      <c r="J147" s="7"/>
      <c r="K147" s="7"/>
      <c r="L147" s="7"/>
      <c r="M147" s="7"/>
      <c r="N147" s="7"/>
      <c r="O147" s="7"/>
      <c r="P147" s="7"/>
      <c r="Q147" s="7"/>
      <c r="R147" s="7"/>
      <c r="S147" s="7"/>
      <c r="T147" s="7"/>
      <c r="U147" s="7"/>
      <c r="V147" s="7"/>
      <c r="W147" s="7">
        <f t="shared" si="154"/>
        <v>0</v>
      </c>
      <c r="X147" s="7">
        <f t="shared" si="155"/>
        <v>0</v>
      </c>
      <c r="Y147" s="7">
        <f t="shared" si="156"/>
        <v>0</v>
      </c>
      <c r="Z147" s="67"/>
      <c r="AA147" s="188"/>
      <c r="AB147" s="7">
        <f t="shared" si="157"/>
        <v>0</v>
      </c>
      <c r="AC147" s="7" t="s">
        <v>25</v>
      </c>
      <c r="AD147" s="7">
        <f t="shared" si="159"/>
        <v>0</v>
      </c>
      <c r="AE147" s="7">
        <f t="shared" si="159"/>
        <v>0</v>
      </c>
      <c r="AF147" s="7">
        <f t="shared" si="159"/>
        <v>0</v>
      </c>
      <c r="AG147" s="7">
        <f t="shared" si="159"/>
        <v>0</v>
      </c>
      <c r="AH147" s="7">
        <f t="shared" si="159"/>
        <v>0</v>
      </c>
      <c r="AI147" s="7">
        <f t="shared" si="159"/>
        <v>0</v>
      </c>
      <c r="AJ147" s="7">
        <f t="shared" si="159"/>
        <v>0</v>
      </c>
      <c r="AK147" s="7">
        <f t="shared" si="159"/>
        <v>0</v>
      </c>
      <c r="AL147" s="7">
        <f t="shared" si="159"/>
        <v>0</v>
      </c>
      <c r="AM147" s="7">
        <f t="shared" si="159"/>
        <v>0</v>
      </c>
      <c r="AN147" s="7">
        <f t="shared" si="160"/>
        <v>0</v>
      </c>
      <c r="AO147" s="7">
        <f t="shared" si="160"/>
        <v>0</v>
      </c>
      <c r="AP147" s="7">
        <f t="shared" si="160"/>
        <v>0</v>
      </c>
      <c r="AQ147" s="7">
        <f t="shared" si="160"/>
        <v>0</v>
      </c>
      <c r="AR147" s="7">
        <f t="shared" si="160"/>
        <v>0</v>
      </c>
      <c r="AS147" s="7">
        <f t="shared" si="160"/>
        <v>0</v>
      </c>
      <c r="AT147" s="7">
        <f t="shared" si="160"/>
        <v>0</v>
      </c>
      <c r="AU147" s="7">
        <f t="shared" si="161"/>
        <v>0</v>
      </c>
      <c r="AV147" s="7">
        <f t="shared" si="162"/>
        <v>0</v>
      </c>
      <c r="AW147" s="7">
        <f t="shared" si="162"/>
        <v>0</v>
      </c>
      <c r="AX147" s="7"/>
      <c r="AY147" s="7"/>
      <c r="AZ147" s="7">
        <f>SUM($B$147:B147)</f>
        <v>0</v>
      </c>
      <c r="BA147" s="7">
        <f>SUM($B$147:C147)</f>
        <v>0</v>
      </c>
      <c r="BB147" s="7">
        <f>SUM($B$147:D147)</f>
        <v>0</v>
      </c>
      <c r="BC147" s="7">
        <f>SUM($B$147:E147)</f>
        <v>0</v>
      </c>
      <c r="BD147" s="7">
        <f>SUM($B$147:F147)</f>
        <v>0</v>
      </c>
      <c r="BE147" s="7">
        <f>SUM($B$147:G147)</f>
        <v>0</v>
      </c>
      <c r="BF147" s="7">
        <f>SUM($B$147:H147)</f>
        <v>0</v>
      </c>
      <c r="BG147" s="7">
        <f>SUM($B$147:I147)</f>
        <v>0</v>
      </c>
      <c r="BH147" s="7">
        <f>SUM($B$147:J147)</f>
        <v>0</v>
      </c>
      <c r="BI147" s="7">
        <f>SUM($B$147:K147)</f>
        <v>0</v>
      </c>
      <c r="BJ147" s="7">
        <f>SUM($B$147:L147)</f>
        <v>0</v>
      </c>
      <c r="BK147" s="7">
        <f>SUM($B$147:M147)</f>
        <v>0</v>
      </c>
      <c r="BL147" s="7">
        <f>SUM($B$147:Q147)</f>
        <v>0</v>
      </c>
      <c r="BM147" s="7">
        <f>SUM($B$147:N147)</f>
        <v>0</v>
      </c>
      <c r="BN147" s="7">
        <f>SUM($B$147:O147)</f>
        <v>0</v>
      </c>
      <c r="BO147" s="7">
        <f>SUM($B$147:P147)</f>
        <v>0</v>
      </c>
      <c r="BP147" s="7">
        <f>SUM($B$147:R147)</f>
        <v>0</v>
      </c>
      <c r="BQ147" s="7">
        <f>SUM($B$147:S147)</f>
        <v>0</v>
      </c>
      <c r="BR147" s="7">
        <f>SUM($B$147:T147)</f>
        <v>0</v>
      </c>
      <c r="BS147" s="7">
        <f>SUM($B$147:V147)</f>
        <v>0</v>
      </c>
      <c r="BT147" s="7"/>
      <c r="BU147" s="7">
        <f>SUM($BS$144:BS147)</f>
        <v>0</v>
      </c>
      <c r="BV147">
        <f t="shared" si="148"/>
        <v>0</v>
      </c>
      <c r="BW147">
        <f>SUM($BV$144:BV147)</f>
        <v>0</v>
      </c>
    </row>
    <row r="148" spans="1:75" x14ac:dyDescent="0.35">
      <c r="A148" s="140" t="s">
        <v>26</v>
      </c>
      <c r="B148" s="7"/>
      <c r="C148" s="7"/>
      <c r="D148" s="7"/>
      <c r="E148" s="7"/>
      <c r="F148" s="7"/>
      <c r="G148" s="7"/>
      <c r="H148" s="7"/>
      <c r="I148" s="7"/>
      <c r="J148" s="7"/>
      <c r="K148" s="7"/>
      <c r="L148" s="7"/>
      <c r="M148" s="7"/>
      <c r="N148" s="7"/>
      <c r="O148" s="7"/>
      <c r="P148" s="7"/>
      <c r="Q148" s="7"/>
      <c r="R148" s="7"/>
      <c r="S148" s="7"/>
      <c r="T148" s="7"/>
      <c r="U148" s="7"/>
      <c r="V148" s="7"/>
      <c r="W148" s="7">
        <f t="shared" si="154"/>
        <v>0</v>
      </c>
      <c r="X148" s="7">
        <f t="shared" si="155"/>
        <v>0</v>
      </c>
      <c r="Y148" s="7">
        <f t="shared" si="156"/>
        <v>0</v>
      </c>
      <c r="Z148" s="67"/>
      <c r="AA148" s="188"/>
      <c r="AB148" s="7">
        <f t="shared" si="157"/>
        <v>0</v>
      </c>
      <c r="AC148" s="7" t="s">
        <v>26</v>
      </c>
      <c r="AD148" s="7">
        <f t="shared" si="159"/>
        <v>0</v>
      </c>
      <c r="AE148" s="7">
        <f t="shared" si="159"/>
        <v>0</v>
      </c>
      <c r="AF148" s="7">
        <f t="shared" si="159"/>
        <v>0</v>
      </c>
      <c r="AG148" s="7">
        <f t="shared" si="159"/>
        <v>0</v>
      </c>
      <c r="AH148" s="7">
        <f t="shared" si="159"/>
        <v>0</v>
      </c>
      <c r="AI148" s="7">
        <f t="shared" si="159"/>
        <v>0</v>
      </c>
      <c r="AJ148" s="7">
        <f t="shared" si="159"/>
        <v>0</v>
      </c>
      <c r="AK148" s="7">
        <f t="shared" si="159"/>
        <v>0</v>
      </c>
      <c r="AL148" s="7">
        <f t="shared" si="159"/>
        <v>0</v>
      </c>
      <c r="AM148" s="7">
        <f t="shared" si="159"/>
        <v>0</v>
      </c>
      <c r="AN148" s="7">
        <f t="shared" si="160"/>
        <v>0</v>
      </c>
      <c r="AO148" s="7">
        <f t="shared" si="160"/>
        <v>0</v>
      </c>
      <c r="AP148" s="7">
        <f t="shared" si="160"/>
        <v>0</v>
      </c>
      <c r="AQ148" s="7">
        <f t="shared" si="160"/>
        <v>0</v>
      </c>
      <c r="AR148" s="7">
        <f t="shared" si="160"/>
        <v>0</v>
      </c>
      <c r="AS148" s="7">
        <f t="shared" si="160"/>
        <v>0</v>
      </c>
      <c r="AT148" s="7">
        <f t="shared" si="160"/>
        <v>0</v>
      </c>
      <c r="AU148" s="7">
        <f t="shared" si="161"/>
        <v>0</v>
      </c>
      <c r="AV148" s="7">
        <f t="shared" si="162"/>
        <v>0</v>
      </c>
      <c r="AW148" s="7">
        <f t="shared" si="162"/>
        <v>0</v>
      </c>
      <c r="AX148" s="7"/>
      <c r="AY148" s="7"/>
      <c r="AZ148" s="7">
        <f>SUM($B$148:B148)</f>
        <v>0</v>
      </c>
      <c r="BA148" s="7">
        <f>SUM($B$148:C148)</f>
        <v>0</v>
      </c>
      <c r="BB148" s="7">
        <f>SUM($B$148:D148)</f>
        <v>0</v>
      </c>
      <c r="BC148" s="7">
        <f>SUM($B$148:E148)</f>
        <v>0</v>
      </c>
      <c r="BD148" s="7">
        <f>SUM($B$148:F148)</f>
        <v>0</v>
      </c>
      <c r="BE148" s="7">
        <f>SUM($B$148:G148)</f>
        <v>0</v>
      </c>
      <c r="BF148" s="7">
        <f>SUM($B$148:H148)</f>
        <v>0</v>
      </c>
      <c r="BG148" s="7">
        <f>SUM($B$148:I148)</f>
        <v>0</v>
      </c>
      <c r="BH148" s="7">
        <f>SUM($B$148:J148)</f>
        <v>0</v>
      </c>
      <c r="BI148" s="7">
        <f>SUM($B$148:K148)</f>
        <v>0</v>
      </c>
      <c r="BJ148" s="7">
        <f>SUM($B$148:L148)</f>
        <v>0</v>
      </c>
      <c r="BK148" s="7">
        <f>SUM($B$148:M148)</f>
        <v>0</v>
      </c>
      <c r="BL148" s="7">
        <f>SUM($B$148:Q148)</f>
        <v>0</v>
      </c>
      <c r="BM148" s="7">
        <f>SUM($B$148:N148)</f>
        <v>0</v>
      </c>
      <c r="BN148" s="7">
        <f>SUM($B$148:O148)</f>
        <v>0</v>
      </c>
      <c r="BO148" s="7">
        <f>SUM($B$148:P148)</f>
        <v>0</v>
      </c>
      <c r="BP148" s="7">
        <f>SUM($B$148:R148)</f>
        <v>0</v>
      </c>
      <c r="BQ148" s="7">
        <f>SUM($B$148:S148)</f>
        <v>0</v>
      </c>
      <c r="BR148" s="7">
        <f>SUM($B$148:T148)</f>
        <v>0</v>
      </c>
      <c r="BS148" s="7">
        <f>SUM($B$148:V148)</f>
        <v>0</v>
      </c>
      <c r="BT148" s="7"/>
      <c r="BU148" s="7">
        <f>SUM($BS$144:BS148)</f>
        <v>0</v>
      </c>
      <c r="BV148">
        <f t="shared" si="148"/>
        <v>0</v>
      </c>
      <c r="BW148">
        <f>SUM($BV$144:BV148)</f>
        <v>0</v>
      </c>
    </row>
    <row r="149" spans="1:75" x14ac:dyDescent="0.35">
      <c r="A149" s="151" t="s">
        <v>27</v>
      </c>
      <c r="B149" s="7"/>
      <c r="C149" s="7"/>
      <c r="D149" s="7"/>
      <c r="E149" s="7"/>
      <c r="F149" s="7"/>
      <c r="G149" s="7"/>
      <c r="H149" s="7"/>
      <c r="I149" s="7"/>
      <c r="J149" s="7"/>
      <c r="K149" s="7"/>
      <c r="L149" s="7"/>
      <c r="M149" s="7"/>
      <c r="N149" s="7"/>
      <c r="O149" s="7"/>
      <c r="P149" s="7"/>
      <c r="Q149" s="7"/>
      <c r="R149" s="7"/>
      <c r="S149" s="7"/>
      <c r="T149" s="7"/>
      <c r="U149" s="7"/>
      <c r="V149" s="7"/>
      <c r="W149" s="7">
        <f t="shared" si="154"/>
        <v>0</v>
      </c>
      <c r="X149" s="7">
        <f t="shared" si="155"/>
        <v>0</v>
      </c>
      <c r="Y149" s="7">
        <f t="shared" si="156"/>
        <v>0</v>
      </c>
      <c r="Z149" s="67"/>
      <c r="AA149" s="188"/>
      <c r="AB149" s="7">
        <f t="shared" si="157"/>
        <v>0</v>
      </c>
      <c r="AC149" s="7" t="s">
        <v>27</v>
      </c>
      <c r="AD149" s="7">
        <f t="shared" si="159"/>
        <v>0</v>
      </c>
      <c r="AE149" s="7">
        <f t="shared" si="159"/>
        <v>0</v>
      </c>
      <c r="AF149" s="7">
        <f t="shared" si="159"/>
        <v>0</v>
      </c>
      <c r="AG149" s="7">
        <f t="shared" si="159"/>
        <v>0</v>
      </c>
      <c r="AH149" s="7">
        <f t="shared" si="159"/>
        <v>0</v>
      </c>
      <c r="AI149" s="7">
        <f t="shared" si="159"/>
        <v>0</v>
      </c>
      <c r="AJ149" s="7">
        <f t="shared" si="159"/>
        <v>0</v>
      </c>
      <c r="AK149" s="7">
        <f t="shared" si="159"/>
        <v>0</v>
      </c>
      <c r="AL149" s="7">
        <f t="shared" si="159"/>
        <v>0</v>
      </c>
      <c r="AM149" s="7">
        <f t="shared" si="159"/>
        <v>0</v>
      </c>
      <c r="AN149" s="7">
        <f t="shared" si="160"/>
        <v>0</v>
      </c>
      <c r="AO149" s="7">
        <f t="shared" si="160"/>
        <v>0</v>
      </c>
      <c r="AP149" s="7">
        <f t="shared" si="160"/>
        <v>0</v>
      </c>
      <c r="AQ149" s="7">
        <f t="shared" si="160"/>
        <v>0</v>
      </c>
      <c r="AR149" s="7">
        <f t="shared" si="160"/>
        <v>0</v>
      </c>
      <c r="AS149" s="7">
        <f t="shared" si="160"/>
        <v>0</v>
      </c>
      <c r="AT149" s="7">
        <f t="shared" si="160"/>
        <v>0</v>
      </c>
      <c r="AU149" s="7">
        <f t="shared" si="161"/>
        <v>0</v>
      </c>
      <c r="AV149" s="7">
        <f t="shared" si="162"/>
        <v>0</v>
      </c>
      <c r="AW149" s="7">
        <f t="shared" si="162"/>
        <v>0</v>
      </c>
      <c r="AX149" s="7"/>
      <c r="AY149" s="7"/>
      <c r="AZ149" s="7">
        <f>SUM($B$149:B149)</f>
        <v>0</v>
      </c>
      <c r="BA149" s="7">
        <f>SUM($B$149:C149)</f>
        <v>0</v>
      </c>
      <c r="BB149" s="7">
        <f>SUM($B$149:D149)</f>
        <v>0</v>
      </c>
      <c r="BC149" s="7">
        <f>SUM($B$149:E149)</f>
        <v>0</v>
      </c>
      <c r="BD149" s="7">
        <f>SUM($B$149:F149)</f>
        <v>0</v>
      </c>
      <c r="BE149" s="7">
        <f>SUM($B$149:G149)</f>
        <v>0</v>
      </c>
      <c r="BF149" s="7">
        <f>SUM($B$149:H149)</f>
        <v>0</v>
      </c>
      <c r="BG149" s="7">
        <f>SUM($B$149:I149)</f>
        <v>0</v>
      </c>
      <c r="BH149" s="7">
        <f>SUM($B$149:J149)</f>
        <v>0</v>
      </c>
      <c r="BI149" s="7">
        <f>SUM($B$149:K149)</f>
        <v>0</v>
      </c>
      <c r="BJ149" s="7">
        <f>SUM($B$149:L149)</f>
        <v>0</v>
      </c>
      <c r="BK149" s="7">
        <f>SUM($B$149:M149)</f>
        <v>0</v>
      </c>
      <c r="BL149" s="7">
        <f>SUM($B$149:Q149)</f>
        <v>0</v>
      </c>
      <c r="BM149" s="7">
        <f>SUM($B$149:N149)</f>
        <v>0</v>
      </c>
      <c r="BN149" s="7">
        <f>SUM($B$149:O149)</f>
        <v>0</v>
      </c>
      <c r="BO149" s="7">
        <f>SUM($B$149:P149)</f>
        <v>0</v>
      </c>
      <c r="BP149" s="7">
        <f>SUM($B$149:R149)</f>
        <v>0</v>
      </c>
      <c r="BQ149" s="7">
        <f>SUM($B$149:S149)</f>
        <v>0</v>
      </c>
      <c r="BR149" s="7">
        <f>SUM($B$149:T149)</f>
        <v>0</v>
      </c>
      <c r="BS149" s="7">
        <f>SUM($B$149:V149)</f>
        <v>0</v>
      </c>
      <c r="BT149" s="7"/>
      <c r="BU149" s="7">
        <f>SUM($BS$144:BS149)</f>
        <v>0</v>
      </c>
      <c r="BV149">
        <f t="shared" si="148"/>
        <v>0</v>
      </c>
      <c r="BW149">
        <f>SUM($BV$144:BV149)</f>
        <v>0</v>
      </c>
    </row>
    <row r="150" spans="1:75" x14ac:dyDescent="0.35">
      <c r="A150" s="161" t="s">
        <v>28</v>
      </c>
      <c r="B150" s="7"/>
      <c r="C150" s="7"/>
      <c r="D150" s="7"/>
      <c r="E150" s="7"/>
      <c r="F150" s="7"/>
      <c r="G150" s="7"/>
      <c r="H150" s="7"/>
      <c r="I150" s="7"/>
      <c r="J150" s="7"/>
      <c r="K150" s="7"/>
      <c r="L150" s="7"/>
      <c r="M150" s="7"/>
      <c r="N150" s="7"/>
      <c r="O150" s="7"/>
      <c r="P150" s="7"/>
      <c r="Q150" s="7"/>
      <c r="R150" s="7"/>
      <c r="S150" s="7"/>
      <c r="T150" s="7"/>
      <c r="U150" s="7"/>
      <c r="V150" s="7"/>
      <c r="W150" s="7">
        <f t="shared" si="154"/>
        <v>0</v>
      </c>
      <c r="X150" s="7">
        <f t="shared" si="155"/>
        <v>0</v>
      </c>
      <c r="Y150" s="7">
        <f t="shared" si="156"/>
        <v>0</v>
      </c>
      <c r="Z150" s="67"/>
      <c r="AA150" s="188"/>
      <c r="AB150" s="7">
        <f t="shared" si="157"/>
        <v>0</v>
      </c>
      <c r="AC150" s="7" t="s">
        <v>28</v>
      </c>
      <c r="AD150" s="7">
        <f t="shared" si="159"/>
        <v>0</v>
      </c>
      <c r="AE150" s="7">
        <f t="shared" si="159"/>
        <v>0</v>
      </c>
      <c r="AF150" s="7">
        <f t="shared" si="159"/>
        <v>0</v>
      </c>
      <c r="AG150" s="7">
        <f t="shared" si="159"/>
        <v>0</v>
      </c>
      <c r="AH150" s="7">
        <f t="shared" si="159"/>
        <v>0</v>
      </c>
      <c r="AI150" s="7">
        <f t="shared" si="159"/>
        <v>0</v>
      </c>
      <c r="AJ150" s="7">
        <f t="shared" si="159"/>
        <v>0</v>
      </c>
      <c r="AK150" s="7">
        <f t="shared" si="159"/>
        <v>0</v>
      </c>
      <c r="AL150" s="7">
        <f t="shared" si="159"/>
        <v>0</v>
      </c>
      <c r="AM150" s="7">
        <f t="shared" si="159"/>
        <v>0</v>
      </c>
      <c r="AN150" s="7">
        <f t="shared" si="160"/>
        <v>0</v>
      </c>
      <c r="AO150" s="7">
        <f t="shared" si="160"/>
        <v>0</v>
      </c>
      <c r="AP150" s="7">
        <f t="shared" si="160"/>
        <v>0</v>
      </c>
      <c r="AQ150" s="7">
        <f t="shared" si="160"/>
        <v>0</v>
      </c>
      <c r="AR150" s="7">
        <f t="shared" si="160"/>
        <v>0</v>
      </c>
      <c r="AS150" s="7">
        <f t="shared" si="160"/>
        <v>0</v>
      </c>
      <c r="AT150" s="7">
        <f t="shared" si="160"/>
        <v>0</v>
      </c>
      <c r="AU150" s="7">
        <f t="shared" si="161"/>
        <v>0</v>
      </c>
      <c r="AV150" s="7">
        <f t="shared" si="162"/>
        <v>0</v>
      </c>
      <c r="AW150" s="7">
        <f t="shared" si="162"/>
        <v>0</v>
      </c>
      <c r="AX150" s="7"/>
      <c r="AY150" s="7"/>
      <c r="AZ150" s="7">
        <f>SUM($B$150:B150)</f>
        <v>0</v>
      </c>
      <c r="BA150" s="7">
        <f>SUM($B$150:C150)</f>
        <v>0</v>
      </c>
      <c r="BB150" s="7">
        <f>SUM($B$150:D150)</f>
        <v>0</v>
      </c>
      <c r="BC150" s="7">
        <f>SUM($B$150:E150)</f>
        <v>0</v>
      </c>
      <c r="BD150" s="7">
        <f>SUM($B$150:F150)</f>
        <v>0</v>
      </c>
      <c r="BE150" s="7">
        <f>SUM($B$150:G150)</f>
        <v>0</v>
      </c>
      <c r="BF150" s="7">
        <f>SUM($B$150:H150)</f>
        <v>0</v>
      </c>
      <c r="BG150" s="7">
        <f>SUM($B$150:I150)</f>
        <v>0</v>
      </c>
      <c r="BH150" s="7">
        <f>SUM($B$150:J150)</f>
        <v>0</v>
      </c>
      <c r="BI150" s="7">
        <f>SUM($B$150:K150)</f>
        <v>0</v>
      </c>
      <c r="BJ150" s="7">
        <f>SUM($B$150:L150)</f>
        <v>0</v>
      </c>
      <c r="BK150" s="7">
        <f>SUM($B$150:M150)</f>
        <v>0</v>
      </c>
      <c r="BL150" s="7">
        <f>SUM($B$150:Q150)</f>
        <v>0</v>
      </c>
      <c r="BM150" s="7">
        <f>SUM($B$150:N150)</f>
        <v>0</v>
      </c>
      <c r="BN150" s="7">
        <f>SUM($B$150:O150)</f>
        <v>0</v>
      </c>
      <c r="BO150" s="7">
        <f>SUM($B$150:P150)</f>
        <v>0</v>
      </c>
      <c r="BP150" s="7">
        <f>SUM($B$150:R150)</f>
        <v>0</v>
      </c>
      <c r="BQ150" s="7">
        <f>SUM($B$150:S150)</f>
        <v>0</v>
      </c>
      <c r="BR150" s="7">
        <f>SUM($B$150:T150)</f>
        <v>0</v>
      </c>
      <c r="BS150" s="7">
        <f>SUM($B$150:V150)</f>
        <v>0</v>
      </c>
      <c r="BT150" s="7"/>
      <c r="BU150" s="7">
        <f>SUM($BS$144:BS150)</f>
        <v>0</v>
      </c>
      <c r="BV150">
        <f t="shared" si="148"/>
        <v>0</v>
      </c>
      <c r="BW150">
        <f>SUM($BV$144:BV150)</f>
        <v>0</v>
      </c>
    </row>
    <row r="151" spans="1:75" x14ac:dyDescent="0.35">
      <c r="A151" s="65" t="s">
        <v>29</v>
      </c>
      <c r="B151" s="7">
        <f t="shared" ref="B151:T151" si="163">SUM(B144:B150)</f>
        <v>0</v>
      </c>
      <c r="C151" s="7">
        <f t="shared" si="163"/>
        <v>0</v>
      </c>
      <c r="D151" s="7">
        <f t="shared" si="163"/>
        <v>0</v>
      </c>
      <c r="E151" s="7">
        <f t="shared" si="163"/>
        <v>0</v>
      </c>
      <c r="F151" s="7">
        <f t="shared" si="163"/>
        <v>0</v>
      </c>
      <c r="G151" s="7">
        <f t="shared" si="163"/>
        <v>0</v>
      </c>
      <c r="H151" s="7">
        <f t="shared" si="163"/>
        <v>0</v>
      </c>
      <c r="I151" s="7">
        <f t="shared" si="163"/>
        <v>0</v>
      </c>
      <c r="J151" s="7">
        <f t="shared" si="163"/>
        <v>0</v>
      </c>
      <c r="K151" s="7">
        <f>SUM(K144:K150)</f>
        <v>0</v>
      </c>
      <c r="L151" s="7">
        <f t="shared" si="163"/>
        <v>0</v>
      </c>
      <c r="M151" s="7">
        <f t="shared" si="163"/>
        <v>0</v>
      </c>
      <c r="N151" s="7">
        <f t="shared" si="163"/>
        <v>0</v>
      </c>
      <c r="O151" s="7">
        <f t="shared" si="163"/>
        <v>0</v>
      </c>
      <c r="P151" s="7">
        <f t="shared" si="163"/>
        <v>0</v>
      </c>
      <c r="Q151" s="7">
        <f>SUM(Q144:Q150)</f>
        <v>0</v>
      </c>
      <c r="R151" s="7">
        <f t="shared" si="163"/>
        <v>0</v>
      </c>
      <c r="S151" s="7">
        <f t="shared" si="163"/>
        <v>0</v>
      </c>
      <c r="T151" s="7">
        <f t="shared" si="163"/>
        <v>0</v>
      </c>
      <c r="U151" s="7">
        <f t="shared" ref="U151" si="164">SUM(U144:U150)</f>
        <v>0</v>
      </c>
      <c r="V151" s="7">
        <f>SUM(V144:V150)</f>
        <v>0</v>
      </c>
      <c r="W151" s="31">
        <f>SUM(W144:W150)</f>
        <v>0</v>
      </c>
      <c r="X151" s="7"/>
      <c r="Y151" s="7"/>
      <c r="Z151" s="67" t="s">
        <v>173</v>
      </c>
      <c r="AA151" s="18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row>
    <row r="152" spans="1:75" x14ac:dyDescent="0.35">
      <c r="A152" s="65" t="s">
        <v>33</v>
      </c>
      <c r="B152" s="7">
        <f t="shared" ref="B152:U152" si="165">B151-B137</f>
        <v>0</v>
      </c>
      <c r="C152" s="7">
        <f t="shared" si="165"/>
        <v>0</v>
      </c>
      <c r="D152" s="7">
        <f t="shared" si="165"/>
        <v>0</v>
      </c>
      <c r="E152" s="7">
        <f t="shared" si="165"/>
        <v>0</v>
      </c>
      <c r="F152" s="7">
        <f t="shared" si="165"/>
        <v>0</v>
      </c>
      <c r="G152" s="7">
        <f t="shared" si="165"/>
        <v>0</v>
      </c>
      <c r="H152" s="7">
        <f t="shared" si="165"/>
        <v>0</v>
      </c>
      <c r="I152" s="7">
        <f t="shared" si="165"/>
        <v>0</v>
      </c>
      <c r="J152" s="7">
        <f t="shared" si="165"/>
        <v>0</v>
      </c>
      <c r="K152" s="7">
        <f t="shared" si="165"/>
        <v>0</v>
      </c>
      <c r="L152" s="7">
        <f t="shared" si="165"/>
        <v>0</v>
      </c>
      <c r="M152" s="7">
        <f t="shared" si="165"/>
        <v>0</v>
      </c>
      <c r="N152" s="7">
        <f t="shared" si="165"/>
        <v>0</v>
      </c>
      <c r="O152" s="7">
        <f t="shared" si="165"/>
        <v>0</v>
      </c>
      <c r="P152" s="7">
        <f t="shared" si="165"/>
        <v>0</v>
      </c>
      <c r="Q152" s="7">
        <f t="shared" si="165"/>
        <v>0</v>
      </c>
      <c r="R152" s="7">
        <f t="shared" si="165"/>
        <v>0</v>
      </c>
      <c r="S152" s="7">
        <f t="shared" si="165"/>
        <v>0</v>
      </c>
      <c r="T152" s="7">
        <f t="shared" si="165"/>
        <v>0</v>
      </c>
      <c r="U152" s="7">
        <f t="shared" si="165"/>
        <v>0</v>
      </c>
      <c r="V152" s="7">
        <f>V151-V137</f>
        <v>0</v>
      </c>
      <c r="W152" s="7">
        <f>W151-W137</f>
        <v>0</v>
      </c>
      <c r="X152" s="7"/>
      <c r="Y152" s="7"/>
      <c r="Z152" s="67"/>
      <c r="AA152" s="18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row>
    <row r="153" spans="1:75" x14ac:dyDescent="0.35">
      <c r="A153" s="65" t="s">
        <v>110</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cm="1">
        <f t="array" ref="S153">IF(COUNTIF(AU143:AU149,0)=0,
    LOOKUP(2,1/(AU143:AU149&lt;&gt;""),AU143:AU149),
    MATCH(0,INDEX(AU143:AU149,MAX(ROW(AU143:AU149))-ROW(AU143:AU149)+1),0)-1
)</f>
        <v>0</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IF(COUNTIF(AZ143:AZ149,0)=0,
    LOOKUP(2,1/(AZ143:AZ149&lt;&gt;""),AZ143:AZ149),
    MATCH(0,INDEX(AZ143:AZ149,MAX(ROW(AZ143:AZ149))-ROW(AZ143:AZ149)+1),0)-1
)</f>
        <v>0</v>
      </c>
      <c r="W153" s="7"/>
      <c r="X153" s="7" cm="1">
        <f t="array" ref="X153">IF(COUNTIF(Y143:Y149,0)=0,
    LOOKUP(2,1/(Y143:Y149&lt;&gt;""),Y143:Y149),
    MATCH(0,INDEX(Y143:Y149,MAX(ROW(Y143:Y149))-ROW(Y143:Y149)+1),0)-1
)</f>
        <v>0</v>
      </c>
      <c r="Y153" s="7"/>
      <c r="Z153" s="67"/>
      <c r="AA153" s="18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row>
    <row r="154" spans="1:75" x14ac:dyDescent="0.35">
      <c r="A154" s="65" t="s">
        <v>99</v>
      </c>
      <c r="B154" s="7">
        <f t="shared" ref="B154:U154" si="166">B151+B140</f>
        <v>2</v>
      </c>
      <c r="C154" s="7">
        <f t="shared" si="166"/>
        <v>0</v>
      </c>
      <c r="D154" s="7">
        <f t="shared" si="166"/>
        <v>5</v>
      </c>
      <c r="E154" s="7">
        <f t="shared" si="166"/>
        <v>9</v>
      </c>
      <c r="F154" s="7">
        <f t="shared" si="166"/>
        <v>4</v>
      </c>
      <c r="G154" s="7">
        <f t="shared" si="166"/>
        <v>0</v>
      </c>
      <c r="H154" s="7">
        <f t="shared" si="166"/>
        <v>0</v>
      </c>
      <c r="I154" s="7">
        <f t="shared" si="166"/>
        <v>3</v>
      </c>
      <c r="J154" s="7">
        <f t="shared" si="166"/>
        <v>0</v>
      </c>
      <c r="K154" s="7">
        <f t="shared" si="166"/>
        <v>0.75</v>
      </c>
      <c r="L154" s="7">
        <f t="shared" si="166"/>
        <v>2</v>
      </c>
      <c r="M154" s="7">
        <f t="shared" si="166"/>
        <v>1</v>
      </c>
      <c r="N154" s="7">
        <f t="shared" si="166"/>
        <v>2.5</v>
      </c>
      <c r="O154" s="7">
        <f t="shared" si="166"/>
        <v>2</v>
      </c>
      <c r="P154" s="7">
        <f t="shared" si="166"/>
        <v>0</v>
      </c>
      <c r="Q154" s="7">
        <f t="shared" si="166"/>
        <v>0</v>
      </c>
      <c r="R154" s="7">
        <f t="shared" si="166"/>
        <v>1</v>
      </c>
      <c r="S154" s="7">
        <f t="shared" si="166"/>
        <v>3</v>
      </c>
      <c r="T154" s="7">
        <f t="shared" si="166"/>
        <v>0</v>
      </c>
      <c r="U154" s="7">
        <f t="shared" si="166"/>
        <v>-1</v>
      </c>
      <c r="V154" s="7">
        <f>V151+V140</f>
        <v>2</v>
      </c>
      <c r="W154" s="7">
        <f>W140+W151</f>
        <v>36.25</v>
      </c>
      <c r="X154" s="7"/>
      <c r="Y154" s="7">
        <f>SUM(Y144:Y150)</f>
        <v>0</v>
      </c>
      <c r="Z154" s="67"/>
      <c r="AA154" s="18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row>
    <row r="155" spans="1:75" x14ac:dyDescent="0.35">
      <c r="A155" s="65" t="s">
        <v>112</v>
      </c>
      <c r="B155" s="174">
        <f>(COUNTIF(B4:B10, "&gt;0")+COUNTIF(B18:B24, "&gt;0")+COUNTIF(B32:B38, "&gt;0")+COUNTIF(B46:B52, "&gt;0")+COUNTIF(B60:B66, "&gt;0")+COUNTIF(B74:B80, "&gt;0")+COUNTIF(B88:B94, "&gt;0")+COUNTIF(B102:B108, "&gt;0")+COUNTIF(B116:B122, "&gt;0")+COUNTIF(B130:B136, "&gt;0") + COUNTIF(B144:B150, "&gt;0")) / 77</f>
        <v>1.2987012987012988E-2</v>
      </c>
      <c r="C155" s="174">
        <f t="shared" ref="C155:O155" si="167">(COUNTIF(C4:C10, "&gt;0")+COUNTIF(C18:C24, "&gt;0")+COUNTIF(C32:C38, "&gt;0")+COUNTIF(C46:C52, "&gt;0")+COUNTIF(C60:C66, "&gt;0")+COUNTIF(C74:C80, "&gt;0")+COUNTIF(C88:C94, "&gt;0")+COUNTIF(C102:C108, "&gt;0")+COUNTIF(C116:C122, "&gt;0")+COUNTIF(C130:C136, "&gt;0") + COUNTIF(C144:C150, "&gt;0")) / 77</f>
        <v>0</v>
      </c>
      <c r="D155" s="174">
        <f t="shared" si="167"/>
        <v>1.2987012987012988E-2</v>
      </c>
      <c r="E155" s="174">
        <f t="shared" si="167"/>
        <v>1.2987012987012988E-2</v>
      </c>
      <c r="F155" s="174">
        <f t="shared" si="167"/>
        <v>1.2987012987012988E-2</v>
      </c>
      <c r="G155" s="174">
        <f t="shared" si="167"/>
        <v>0</v>
      </c>
      <c r="H155" s="174">
        <f t="shared" si="167"/>
        <v>0</v>
      </c>
      <c r="I155" s="174">
        <f t="shared" si="167"/>
        <v>1.2987012987012988E-2</v>
      </c>
      <c r="J155" s="174">
        <f t="shared" si="167"/>
        <v>0</v>
      </c>
      <c r="K155" s="174">
        <f t="shared" si="167"/>
        <v>1.2987012987012988E-2</v>
      </c>
      <c r="L155" s="174">
        <f t="shared" si="167"/>
        <v>1.2987012987012988E-2</v>
      </c>
      <c r="M155" s="174">
        <f t="shared" si="167"/>
        <v>1.2987012987012988E-2</v>
      </c>
      <c r="N155" s="174">
        <f t="shared" si="167"/>
        <v>1.2987012987012988E-2</v>
      </c>
      <c r="O155" s="174">
        <f t="shared" si="167"/>
        <v>1.2987012987012988E-2</v>
      </c>
      <c r="P155" s="7"/>
      <c r="Q155" s="7"/>
      <c r="R155" s="7"/>
      <c r="S155" s="7"/>
      <c r="T155" s="7"/>
      <c r="U155" s="65" t="s">
        <v>31</v>
      </c>
      <c r="V155" s="7">
        <f>SUMIF(B151:V151,"&lt;0",B151:V151)</f>
        <v>0</v>
      </c>
      <c r="W155" s="7">
        <f>SUMIF(B151:V151,"&gt;0",B151:V151)</f>
        <v>0</v>
      </c>
      <c r="Y155" s="7"/>
      <c r="Z155" s="67"/>
      <c r="AA155" s="18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row>
    <row r="156" spans="1:75"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t="s">
        <v>131</v>
      </c>
      <c r="BA156" s="7"/>
      <c r="BB156" s="7"/>
      <c r="BC156" s="7"/>
      <c r="BD156" s="7"/>
      <c r="BE156" s="7"/>
      <c r="BF156" s="7"/>
      <c r="BG156" s="7"/>
      <c r="BH156" s="7"/>
      <c r="BI156" s="7"/>
      <c r="BJ156" s="7"/>
      <c r="BK156" s="7"/>
      <c r="BL156" s="7"/>
      <c r="BM156" s="7"/>
      <c r="BN156" s="7"/>
      <c r="BO156" s="7"/>
      <c r="BP156" s="7"/>
      <c r="BQ156" s="7"/>
      <c r="BR156" s="7"/>
      <c r="BS156" s="7"/>
      <c r="BT156" s="7"/>
      <c r="BU156" s="7"/>
    </row>
    <row r="157" spans="1:75" x14ac:dyDescent="0.35">
      <c r="A157" s="107" t="s">
        <v>56</v>
      </c>
      <c r="B157" s="52">
        <f>C143+1</f>
        <v>46104</v>
      </c>
      <c r="C157" s="52">
        <f>B157+6</f>
        <v>46110</v>
      </c>
      <c r="D157" s="7"/>
      <c r="E157" s="7"/>
      <c r="F157" s="7"/>
      <c r="G157" s="7"/>
      <c r="H157" s="7"/>
      <c r="I157" s="7"/>
      <c r="J157" s="7"/>
      <c r="K157" s="7" t="s">
        <v>141</v>
      </c>
      <c r="L157" s="7" t="s">
        <v>142</v>
      </c>
      <c r="M157" s="7" t="s">
        <v>143</v>
      </c>
      <c r="N157" s="7" t="s">
        <v>144</v>
      </c>
      <c r="O157" s="7" t="s">
        <v>145</v>
      </c>
      <c r="P157" s="7"/>
      <c r="Q157" s="7"/>
      <c r="R157" s="7"/>
      <c r="S157" s="7"/>
      <c r="T157" s="7"/>
      <c r="U157" s="7"/>
      <c r="V157" s="7"/>
      <c r="W157" s="7"/>
      <c r="X157" s="7"/>
      <c r="Y157" s="7"/>
      <c r="Z157" s="11"/>
      <c r="AA157" s="11"/>
      <c r="AB157" s="7"/>
      <c r="AC157" s="7" t="s">
        <v>73</v>
      </c>
      <c r="AD157" s="7"/>
      <c r="AE157" s="7"/>
      <c r="AF157" s="7"/>
      <c r="AG157" s="7"/>
      <c r="AH157" s="7"/>
      <c r="AI157" s="7"/>
      <c r="AJ157" s="7"/>
      <c r="AK157" s="7"/>
      <c r="AL157" s="7"/>
      <c r="AM157" s="7"/>
      <c r="AN157" s="7"/>
      <c r="AO157" s="7"/>
      <c r="AP157" s="7"/>
      <c r="AQ157" s="7"/>
      <c r="AR157" s="7"/>
      <c r="AS157" s="7"/>
      <c r="AT157" s="7"/>
      <c r="AU157" s="7"/>
      <c r="AV157" s="7"/>
      <c r="AW157" s="7"/>
      <c r="AX157" s="7"/>
      <c r="AY157" s="7"/>
      <c r="AZ157" s="12"/>
      <c r="BA157" s="12"/>
      <c r="BB157" s="12"/>
      <c r="BC157" s="12"/>
      <c r="BD157" s="12"/>
      <c r="BE157" s="12"/>
      <c r="BF157" s="12"/>
      <c r="BG157" s="12"/>
      <c r="BH157" s="12"/>
      <c r="BI157" s="12"/>
      <c r="BJ157" s="12"/>
      <c r="BK157" s="12"/>
      <c r="BL157" s="12"/>
      <c r="BM157" s="12"/>
      <c r="BN157" s="12"/>
      <c r="BO157" s="12"/>
      <c r="BP157" s="12"/>
      <c r="BQ157" s="12"/>
      <c r="BR157" s="12"/>
      <c r="BS157" s="12"/>
      <c r="BT157" s="203"/>
      <c r="BU157" s="12">
        <v>0</v>
      </c>
      <c r="BW157">
        <v>0</v>
      </c>
    </row>
    <row r="158" spans="1:75" x14ac:dyDescent="0.35">
      <c r="A158" s="85" t="s">
        <v>22</v>
      </c>
      <c r="B158" s="7"/>
      <c r="C158" s="7"/>
      <c r="D158" s="7"/>
      <c r="E158" s="7"/>
      <c r="F158" s="7"/>
      <c r="G158" s="7"/>
      <c r="H158" s="7"/>
      <c r="I158" s="7"/>
      <c r="J158" s="7"/>
      <c r="K158" s="7"/>
      <c r="L158" s="7"/>
      <c r="M158" s="7"/>
      <c r="N158" s="7"/>
      <c r="O158" s="7"/>
      <c r="P158" s="7"/>
      <c r="Q158" s="7"/>
      <c r="R158" s="7"/>
      <c r="S158" s="7"/>
      <c r="T158" s="7"/>
      <c r="U158" s="7"/>
      <c r="V158" s="7"/>
      <c r="W158" s="7">
        <f t="shared" ref="W158:W164" si="168">SUM(B158:V158)</f>
        <v>0</v>
      </c>
      <c r="X158" s="7">
        <f t="shared" ref="X158:X164" si="169">SUM(AD158:AW158)*0.1</f>
        <v>0</v>
      </c>
      <c r="Y158" s="7">
        <f t="shared" ref="Y158:Y164" si="170">W158+X158</f>
        <v>0</v>
      </c>
      <c r="Z158" s="54"/>
      <c r="AA158" s="196"/>
      <c r="AB158" s="7">
        <f>W158+AB144</f>
        <v>36.25</v>
      </c>
      <c r="AC158" s="7" t="s">
        <v>22</v>
      </c>
      <c r="AD158" s="7">
        <f t="shared" ref="AD158:AW158" si="171">IF(B158 &gt; 0, IF(AD150&gt; 0, AD150+ 1, 0.1), 0)</f>
        <v>0</v>
      </c>
      <c r="AE158" s="7">
        <f t="shared" si="171"/>
        <v>0</v>
      </c>
      <c r="AF158" s="7">
        <f t="shared" si="171"/>
        <v>0</v>
      </c>
      <c r="AG158" s="7">
        <f t="shared" si="171"/>
        <v>0</v>
      </c>
      <c r="AH158" s="7">
        <f t="shared" si="171"/>
        <v>0</v>
      </c>
      <c r="AI158" s="7">
        <f t="shared" si="171"/>
        <v>0</v>
      </c>
      <c r="AJ158" s="7">
        <f t="shared" si="171"/>
        <v>0</v>
      </c>
      <c r="AK158" s="7">
        <f t="shared" si="171"/>
        <v>0</v>
      </c>
      <c r="AL158" s="7">
        <f t="shared" si="171"/>
        <v>0</v>
      </c>
      <c r="AM158" s="7">
        <f t="shared" si="171"/>
        <v>0</v>
      </c>
      <c r="AN158" s="7">
        <f t="shared" si="171"/>
        <v>0</v>
      </c>
      <c r="AO158" s="7">
        <f t="shared" si="171"/>
        <v>0</v>
      </c>
      <c r="AP158" s="7">
        <f t="shared" si="171"/>
        <v>0</v>
      </c>
      <c r="AQ158" s="7">
        <f t="shared" si="171"/>
        <v>0</v>
      </c>
      <c r="AR158" s="7">
        <f t="shared" si="171"/>
        <v>0</v>
      </c>
      <c r="AS158" s="7">
        <f t="shared" si="171"/>
        <v>0</v>
      </c>
      <c r="AT158" s="7">
        <f t="shared" si="171"/>
        <v>0</v>
      </c>
      <c r="AU158" s="7">
        <f t="shared" si="171"/>
        <v>0</v>
      </c>
      <c r="AV158" s="7">
        <f t="shared" si="171"/>
        <v>0</v>
      </c>
      <c r="AW158" s="7">
        <f t="shared" si="171"/>
        <v>0</v>
      </c>
      <c r="AX158" s="7"/>
      <c r="AY158" s="7"/>
      <c r="AZ158" s="7">
        <f>SUM($B$158:B158)</f>
        <v>0</v>
      </c>
      <c r="BA158" s="7">
        <f>SUM($B$158:C158)</f>
        <v>0</v>
      </c>
      <c r="BB158" s="7">
        <f>SUM($B$158:D158)</f>
        <v>0</v>
      </c>
      <c r="BC158" s="7">
        <f>SUM($B$158:E158)</f>
        <v>0</v>
      </c>
      <c r="BD158" s="7">
        <f>SUM($B$158:F158)</f>
        <v>0</v>
      </c>
      <c r="BE158" s="7">
        <f>SUM($B$158:G158)</f>
        <v>0</v>
      </c>
      <c r="BF158" s="7">
        <f>SUM($B$158:H158)</f>
        <v>0</v>
      </c>
      <c r="BG158" s="7">
        <f>SUM($B$158:I158)</f>
        <v>0</v>
      </c>
      <c r="BH158" s="7">
        <f>SUM($B$158:J158)</f>
        <v>0</v>
      </c>
      <c r="BI158" s="7">
        <f>SUM($B$158:K158)</f>
        <v>0</v>
      </c>
      <c r="BJ158" s="7">
        <f>SUM($B$158:L158)</f>
        <v>0</v>
      </c>
      <c r="BK158" s="7">
        <f>SUM($B$158:M158)</f>
        <v>0</v>
      </c>
      <c r="BL158" s="7">
        <f>SUM($B$158:Q158)</f>
        <v>0</v>
      </c>
      <c r="BM158" s="7">
        <f>SUM($B$158:N158)</f>
        <v>0</v>
      </c>
      <c r="BN158" s="7">
        <f>SUM($B$158:O158)</f>
        <v>0</v>
      </c>
      <c r="BO158" s="7">
        <f>SUM($B$158:P158)</f>
        <v>0</v>
      </c>
      <c r="BP158" s="7">
        <f>SUM($B$158:R158)</f>
        <v>0</v>
      </c>
      <c r="BQ158" s="7">
        <f>SUM($B$158:S158)</f>
        <v>0</v>
      </c>
      <c r="BR158" s="7">
        <f>SUM($B$158:T158)</f>
        <v>0</v>
      </c>
      <c r="BS158" s="7">
        <f>SUM($B$158:V158)</f>
        <v>0</v>
      </c>
      <c r="BT158" s="7"/>
      <c r="BU158" s="7">
        <f>SUM($BS$158:BS158)</f>
        <v>0</v>
      </c>
      <c r="BV158">
        <f t="shared" si="148"/>
        <v>0</v>
      </c>
      <c r="BW158">
        <f>SUM($BV$158:BV158)</f>
        <v>0</v>
      </c>
    </row>
    <row r="159" spans="1:75" x14ac:dyDescent="0.35">
      <c r="A159" s="96" t="s">
        <v>23</v>
      </c>
      <c r="B159" s="7"/>
      <c r="C159" s="7"/>
      <c r="D159" s="7"/>
      <c r="E159" s="7"/>
      <c r="F159" s="7"/>
      <c r="G159" s="7"/>
      <c r="H159" s="7"/>
      <c r="I159" s="7"/>
      <c r="J159" s="7"/>
      <c r="K159" s="7"/>
      <c r="L159" s="7"/>
      <c r="M159" s="7"/>
      <c r="N159" s="7"/>
      <c r="O159" s="7"/>
      <c r="P159" s="7"/>
      <c r="Q159" s="7"/>
      <c r="R159" s="7"/>
      <c r="S159" s="7"/>
      <c r="T159" s="7"/>
      <c r="U159" s="7"/>
      <c r="V159" s="7"/>
      <c r="W159" s="7">
        <f t="shared" si="168"/>
        <v>0</v>
      </c>
      <c r="X159" s="7">
        <f t="shared" si="169"/>
        <v>0</v>
      </c>
      <c r="Y159" s="7">
        <f t="shared" si="170"/>
        <v>0</v>
      </c>
      <c r="Z159" s="54"/>
      <c r="AA159" s="196"/>
      <c r="AB159" s="7">
        <f t="shared" ref="AB159:AB164" si="172">AB145+W159</f>
        <v>0</v>
      </c>
      <c r="AC159" s="7" t="s">
        <v>23</v>
      </c>
      <c r="AD159" s="7">
        <f t="shared" ref="AD159:AM164" si="173">IF(B159 &gt; 0, IF(AD158 &gt; 0, AD158 + 1, 0.1), 0)</f>
        <v>0</v>
      </c>
      <c r="AE159" s="7">
        <f t="shared" si="173"/>
        <v>0</v>
      </c>
      <c r="AF159" s="7">
        <f t="shared" si="173"/>
        <v>0</v>
      </c>
      <c r="AG159" s="7">
        <f t="shared" si="173"/>
        <v>0</v>
      </c>
      <c r="AH159" s="7">
        <f t="shared" si="173"/>
        <v>0</v>
      </c>
      <c r="AI159" s="7">
        <f t="shared" si="173"/>
        <v>0</v>
      </c>
      <c r="AJ159" s="7">
        <f t="shared" si="173"/>
        <v>0</v>
      </c>
      <c r="AK159" s="7">
        <f t="shared" si="173"/>
        <v>0</v>
      </c>
      <c r="AL159" s="7">
        <f t="shared" si="173"/>
        <v>0</v>
      </c>
      <c r="AM159" s="7">
        <f t="shared" si="173"/>
        <v>0</v>
      </c>
      <c r="AN159" s="7">
        <f t="shared" ref="AN159:AT164" si="174">IF(L159 &gt; 0, IF(AN158 &gt; 0, AN158 + 1, 0.1), 0)</f>
        <v>0</v>
      </c>
      <c r="AO159" s="7">
        <f t="shared" si="174"/>
        <v>0</v>
      </c>
      <c r="AP159" s="7">
        <f t="shared" si="174"/>
        <v>0</v>
      </c>
      <c r="AQ159" s="7">
        <f t="shared" si="174"/>
        <v>0</v>
      </c>
      <c r="AR159" s="7">
        <f t="shared" si="174"/>
        <v>0</v>
      </c>
      <c r="AS159" s="7">
        <f t="shared" si="174"/>
        <v>0</v>
      </c>
      <c r="AT159" s="7">
        <f t="shared" si="174"/>
        <v>0</v>
      </c>
      <c r="AU159" s="7">
        <f t="shared" ref="AU159:AU164" si="175">IF(S159 &gt; 0, IF(AU151&gt; 0, AU151+ 1, 0.1), 0)</f>
        <v>0</v>
      </c>
      <c r="AV159" s="7">
        <f t="shared" ref="AV159:AW164" si="176">IF(T159 &gt; 0, IF(AV158 &gt; 0, AV158 + 1, 0.1), 0)</f>
        <v>0</v>
      </c>
      <c r="AW159" s="7">
        <f t="shared" si="176"/>
        <v>0</v>
      </c>
      <c r="AX159" s="7"/>
      <c r="AY159" s="7"/>
      <c r="AZ159" s="7">
        <f>SUM($B$159:B159)</f>
        <v>0</v>
      </c>
      <c r="BA159" s="7">
        <f>SUM($B$159:C159)</f>
        <v>0</v>
      </c>
      <c r="BB159" s="7">
        <f>SUM($B$159:D159)</f>
        <v>0</v>
      </c>
      <c r="BC159" s="7">
        <f>SUM($B$159:E159)</f>
        <v>0</v>
      </c>
      <c r="BD159" s="7">
        <f>SUM($B$159:F159)</f>
        <v>0</v>
      </c>
      <c r="BE159" s="7">
        <f>SUM($B$159:G159)</f>
        <v>0</v>
      </c>
      <c r="BF159" s="7">
        <f>SUM($B$159:H159)</f>
        <v>0</v>
      </c>
      <c r="BG159" s="7">
        <f>SUM($B$159:I159)</f>
        <v>0</v>
      </c>
      <c r="BH159" s="7">
        <f>SUM($B$159:J159)</f>
        <v>0</v>
      </c>
      <c r="BI159" s="7">
        <f>SUM($B$159:K159)</f>
        <v>0</v>
      </c>
      <c r="BJ159" s="7">
        <f>SUM($B$159:L159)</f>
        <v>0</v>
      </c>
      <c r="BK159" s="7">
        <f>SUM($B$159:M159)</f>
        <v>0</v>
      </c>
      <c r="BL159" s="7">
        <f>SUM($B$159:Q159)</f>
        <v>0</v>
      </c>
      <c r="BM159" s="7">
        <f>SUM($B$159:N159)</f>
        <v>0</v>
      </c>
      <c r="BN159" s="7">
        <f>SUM($B$159:O159)</f>
        <v>0</v>
      </c>
      <c r="BO159" s="7">
        <f>SUM($B$159:P159)</f>
        <v>0</v>
      </c>
      <c r="BP159" s="7">
        <f>SUM($B$159:R159)</f>
        <v>0</v>
      </c>
      <c r="BQ159" s="7">
        <f>SUM($B$159:S159)</f>
        <v>0</v>
      </c>
      <c r="BR159" s="7">
        <f>SUM($B$159:T159)</f>
        <v>0</v>
      </c>
      <c r="BS159" s="7">
        <f>SUM($B$159:V159)</f>
        <v>0</v>
      </c>
      <c r="BT159" s="7"/>
      <c r="BU159" s="7">
        <f>SUM($BS$158:BS159)</f>
        <v>0</v>
      </c>
      <c r="BV159">
        <f t="shared" si="148"/>
        <v>0</v>
      </c>
      <c r="BW159">
        <f>SUM($BV$158:BV159)</f>
        <v>0</v>
      </c>
    </row>
    <row r="160" spans="1:75" x14ac:dyDescent="0.35">
      <c r="A160" s="119" t="s">
        <v>24</v>
      </c>
      <c r="B160" s="7"/>
      <c r="C160" s="7"/>
      <c r="D160" s="7"/>
      <c r="E160" s="7"/>
      <c r="F160" s="7"/>
      <c r="G160" s="7"/>
      <c r="H160" s="7"/>
      <c r="I160" s="7"/>
      <c r="J160" s="7"/>
      <c r="K160" s="7"/>
      <c r="L160" s="7"/>
      <c r="M160" s="7"/>
      <c r="N160" s="7"/>
      <c r="O160" s="7"/>
      <c r="P160" s="7"/>
      <c r="Q160" s="7"/>
      <c r="R160" s="7"/>
      <c r="S160" s="7"/>
      <c r="T160" s="7"/>
      <c r="U160" s="7"/>
      <c r="V160" s="7"/>
      <c r="W160" s="7">
        <f t="shared" si="168"/>
        <v>0</v>
      </c>
      <c r="X160" s="7">
        <f t="shared" si="169"/>
        <v>0</v>
      </c>
      <c r="Y160" s="7">
        <f t="shared" si="170"/>
        <v>0</v>
      </c>
      <c r="Z160" s="54"/>
      <c r="AA160" s="196"/>
      <c r="AB160" s="7">
        <f t="shared" si="172"/>
        <v>0</v>
      </c>
      <c r="AC160" s="7" t="s">
        <v>24</v>
      </c>
      <c r="AD160" s="7">
        <f t="shared" si="173"/>
        <v>0</v>
      </c>
      <c r="AE160" s="7">
        <f t="shared" si="173"/>
        <v>0</v>
      </c>
      <c r="AF160" s="7">
        <f t="shared" si="173"/>
        <v>0</v>
      </c>
      <c r="AG160" s="7">
        <f t="shared" si="173"/>
        <v>0</v>
      </c>
      <c r="AH160" s="7">
        <f t="shared" si="173"/>
        <v>0</v>
      </c>
      <c r="AI160" s="7">
        <f t="shared" si="173"/>
        <v>0</v>
      </c>
      <c r="AJ160" s="7">
        <f t="shared" si="173"/>
        <v>0</v>
      </c>
      <c r="AK160" s="7">
        <f t="shared" si="173"/>
        <v>0</v>
      </c>
      <c r="AL160" s="7">
        <f t="shared" si="173"/>
        <v>0</v>
      </c>
      <c r="AM160" s="7">
        <f t="shared" si="173"/>
        <v>0</v>
      </c>
      <c r="AN160" s="7">
        <f t="shared" si="174"/>
        <v>0</v>
      </c>
      <c r="AO160" s="7">
        <f t="shared" si="174"/>
        <v>0</v>
      </c>
      <c r="AP160" s="7">
        <f t="shared" si="174"/>
        <v>0</v>
      </c>
      <c r="AQ160" s="7">
        <f t="shared" si="174"/>
        <v>0</v>
      </c>
      <c r="AR160" s="7">
        <f t="shared" si="174"/>
        <v>0</v>
      </c>
      <c r="AS160" s="7">
        <f t="shared" si="174"/>
        <v>0</v>
      </c>
      <c r="AT160" s="7">
        <f t="shared" si="174"/>
        <v>0</v>
      </c>
      <c r="AU160" s="7">
        <f t="shared" si="175"/>
        <v>0</v>
      </c>
      <c r="AV160" s="7">
        <f t="shared" si="176"/>
        <v>0</v>
      </c>
      <c r="AW160" s="7">
        <f t="shared" si="176"/>
        <v>0</v>
      </c>
      <c r="AX160" s="7"/>
      <c r="AY160" s="7"/>
      <c r="AZ160" s="7">
        <f>SUM($B$160:B160)</f>
        <v>0</v>
      </c>
      <c r="BA160" s="7">
        <f>SUM($B$160:C160)</f>
        <v>0</v>
      </c>
      <c r="BB160" s="7">
        <f>SUM($B$160:D160)</f>
        <v>0</v>
      </c>
      <c r="BC160" s="7">
        <f>SUM($B$160:E160)</f>
        <v>0</v>
      </c>
      <c r="BD160" s="7">
        <f>SUM($B$160:F160)</f>
        <v>0</v>
      </c>
      <c r="BE160" s="7">
        <f>SUM($B$160:G160)</f>
        <v>0</v>
      </c>
      <c r="BF160" s="7">
        <f>SUM($B$160:H160)</f>
        <v>0</v>
      </c>
      <c r="BG160" s="7">
        <f>SUM($B$160:I160)</f>
        <v>0</v>
      </c>
      <c r="BH160" s="7">
        <f>SUM($B$160:J160)</f>
        <v>0</v>
      </c>
      <c r="BI160" s="7">
        <f>SUM($B$160:K160)</f>
        <v>0</v>
      </c>
      <c r="BJ160" s="7">
        <f>SUM($B$160:L160)</f>
        <v>0</v>
      </c>
      <c r="BK160" s="7">
        <f>SUM($B$160:M160)</f>
        <v>0</v>
      </c>
      <c r="BL160" s="7">
        <f>SUM($B$160:Q160)</f>
        <v>0</v>
      </c>
      <c r="BM160" s="7">
        <f>SUM($B$160:N160)</f>
        <v>0</v>
      </c>
      <c r="BN160" s="7">
        <f>SUM($B$160:O160)</f>
        <v>0</v>
      </c>
      <c r="BO160" s="7">
        <f>SUM($B$160:P160)</f>
        <v>0</v>
      </c>
      <c r="BP160" s="7">
        <f>SUM($B$160:R160)</f>
        <v>0</v>
      </c>
      <c r="BQ160" s="7">
        <f>SUM($B$160:S160)</f>
        <v>0</v>
      </c>
      <c r="BR160" s="7">
        <f>SUM($B$160:T160)</f>
        <v>0</v>
      </c>
      <c r="BS160" s="7">
        <f>SUM($B$160:V160)</f>
        <v>0</v>
      </c>
      <c r="BT160" s="7"/>
      <c r="BU160" s="7">
        <f>SUM($BS$158:BS160)</f>
        <v>0</v>
      </c>
      <c r="BV160">
        <f t="shared" si="148"/>
        <v>0</v>
      </c>
      <c r="BW160">
        <f>SUM($BV$158:BV160)</f>
        <v>0</v>
      </c>
    </row>
    <row r="161" spans="1:75" x14ac:dyDescent="0.35">
      <c r="A161" s="130" t="s">
        <v>25</v>
      </c>
      <c r="B161" s="7"/>
      <c r="C161" s="7"/>
      <c r="D161" s="7"/>
      <c r="E161" s="7"/>
      <c r="F161" s="7"/>
      <c r="G161" s="7"/>
      <c r="H161" s="7"/>
      <c r="I161" s="7"/>
      <c r="J161" s="7"/>
      <c r="K161" s="7"/>
      <c r="L161" s="7"/>
      <c r="M161" s="7"/>
      <c r="N161" s="7"/>
      <c r="O161" s="7"/>
      <c r="P161" s="7"/>
      <c r="Q161" s="7"/>
      <c r="R161" s="7"/>
      <c r="S161" s="7"/>
      <c r="T161" s="7"/>
      <c r="U161" s="7"/>
      <c r="V161" s="7"/>
      <c r="W161" s="7">
        <f t="shared" si="168"/>
        <v>0</v>
      </c>
      <c r="X161" s="7">
        <f t="shared" si="169"/>
        <v>0</v>
      </c>
      <c r="Y161" s="7">
        <f t="shared" si="170"/>
        <v>0</v>
      </c>
      <c r="Z161" s="54"/>
      <c r="AA161" s="196"/>
      <c r="AB161" s="7">
        <f t="shared" si="172"/>
        <v>0</v>
      </c>
      <c r="AC161" s="7" t="s">
        <v>25</v>
      </c>
      <c r="AD161" s="7">
        <f t="shared" si="173"/>
        <v>0</v>
      </c>
      <c r="AE161" s="7">
        <f t="shared" si="173"/>
        <v>0</v>
      </c>
      <c r="AF161" s="7">
        <f t="shared" si="173"/>
        <v>0</v>
      </c>
      <c r="AG161" s="7">
        <f t="shared" si="173"/>
        <v>0</v>
      </c>
      <c r="AH161" s="7">
        <f t="shared" si="173"/>
        <v>0</v>
      </c>
      <c r="AI161" s="7">
        <f t="shared" si="173"/>
        <v>0</v>
      </c>
      <c r="AJ161" s="7">
        <f t="shared" si="173"/>
        <v>0</v>
      </c>
      <c r="AK161" s="7">
        <f t="shared" si="173"/>
        <v>0</v>
      </c>
      <c r="AL161" s="7">
        <f t="shared" si="173"/>
        <v>0</v>
      </c>
      <c r="AM161" s="7">
        <f t="shared" si="173"/>
        <v>0</v>
      </c>
      <c r="AN161" s="7">
        <f t="shared" si="174"/>
        <v>0</v>
      </c>
      <c r="AO161" s="7">
        <f t="shared" si="174"/>
        <v>0</v>
      </c>
      <c r="AP161" s="7">
        <f t="shared" si="174"/>
        <v>0</v>
      </c>
      <c r="AQ161" s="7">
        <f t="shared" si="174"/>
        <v>0</v>
      </c>
      <c r="AR161" s="7">
        <f t="shared" si="174"/>
        <v>0</v>
      </c>
      <c r="AS161" s="7">
        <f t="shared" si="174"/>
        <v>0</v>
      </c>
      <c r="AT161" s="7">
        <f t="shared" si="174"/>
        <v>0</v>
      </c>
      <c r="AU161" s="7">
        <f t="shared" si="175"/>
        <v>0</v>
      </c>
      <c r="AV161" s="7">
        <f t="shared" si="176"/>
        <v>0</v>
      </c>
      <c r="AW161" s="7">
        <f t="shared" si="176"/>
        <v>0</v>
      </c>
      <c r="AX161" s="7"/>
      <c r="AY161" s="7"/>
      <c r="AZ161" s="7">
        <f>SUM($B$161:B161)</f>
        <v>0</v>
      </c>
      <c r="BA161" s="7">
        <f>SUM($B$161:C161)</f>
        <v>0</v>
      </c>
      <c r="BB161" s="7">
        <f>SUM($B$161:D161)</f>
        <v>0</v>
      </c>
      <c r="BC161" s="7">
        <f>SUM($B$161:E161)</f>
        <v>0</v>
      </c>
      <c r="BD161" s="7">
        <f>SUM($B$161:F161)</f>
        <v>0</v>
      </c>
      <c r="BE161" s="7">
        <f>SUM($B$161:G161)</f>
        <v>0</v>
      </c>
      <c r="BF161" s="7">
        <f>SUM($B$161:H161)</f>
        <v>0</v>
      </c>
      <c r="BG161" s="7">
        <f>SUM($B$161:I161)</f>
        <v>0</v>
      </c>
      <c r="BH161" s="7">
        <f>SUM($B$161:J161)</f>
        <v>0</v>
      </c>
      <c r="BI161" s="7">
        <f>SUM($B$161:K161)</f>
        <v>0</v>
      </c>
      <c r="BJ161" s="7">
        <f>SUM($B$161:L161)</f>
        <v>0</v>
      </c>
      <c r="BK161" s="7">
        <f>SUM($B$161:M161)</f>
        <v>0</v>
      </c>
      <c r="BL161" s="7">
        <f>SUM($B$161:Q161)</f>
        <v>0</v>
      </c>
      <c r="BM161" s="7">
        <f>SUM($B$161:N161)</f>
        <v>0</v>
      </c>
      <c r="BN161" s="7">
        <f>SUM($B$161:O161)</f>
        <v>0</v>
      </c>
      <c r="BO161" s="7">
        <f>SUM($B$161:P161)</f>
        <v>0</v>
      </c>
      <c r="BP161" s="7">
        <f>SUM($B$161:R161)</f>
        <v>0</v>
      </c>
      <c r="BQ161" s="7">
        <f>SUM($B$161:S161)</f>
        <v>0</v>
      </c>
      <c r="BR161" s="7">
        <f>SUM($B$161:T161)</f>
        <v>0</v>
      </c>
      <c r="BS161" s="7">
        <f>SUM($B$161:V161)</f>
        <v>0</v>
      </c>
      <c r="BT161" s="7"/>
      <c r="BU161" s="7">
        <f>SUM($BS$158:BS161)</f>
        <v>0</v>
      </c>
      <c r="BV161">
        <f t="shared" si="148"/>
        <v>0</v>
      </c>
      <c r="BW161">
        <f>SUM($BV$158:BV161)</f>
        <v>0</v>
      </c>
    </row>
    <row r="162" spans="1:75" x14ac:dyDescent="0.35">
      <c r="A162" s="141" t="s">
        <v>26</v>
      </c>
      <c r="B162" s="7"/>
      <c r="C162" s="7"/>
      <c r="D162" s="7"/>
      <c r="E162" s="7"/>
      <c r="F162" s="7"/>
      <c r="G162" s="7"/>
      <c r="H162" s="7"/>
      <c r="I162" s="7"/>
      <c r="J162" s="7"/>
      <c r="K162" s="7"/>
      <c r="L162" s="7"/>
      <c r="M162" s="7"/>
      <c r="N162" s="7"/>
      <c r="O162" s="7"/>
      <c r="P162" s="7"/>
      <c r="Q162" s="7"/>
      <c r="R162" s="7"/>
      <c r="S162" s="7"/>
      <c r="T162" s="7"/>
      <c r="U162" s="7"/>
      <c r="V162" s="7"/>
      <c r="W162" s="7">
        <f t="shared" si="168"/>
        <v>0</v>
      </c>
      <c r="X162" s="7">
        <f t="shared" si="169"/>
        <v>0</v>
      </c>
      <c r="Y162" s="7">
        <f t="shared" si="170"/>
        <v>0</v>
      </c>
      <c r="Z162" s="54"/>
      <c r="AA162" s="196"/>
      <c r="AB162" s="7">
        <f t="shared" si="172"/>
        <v>0</v>
      </c>
      <c r="AC162" s="7" t="s">
        <v>26</v>
      </c>
      <c r="AD162" s="7">
        <f t="shared" si="173"/>
        <v>0</v>
      </c>
      <c r="AE162" s="7">
        <f t="shared" si="173"/>
        <v>0</v>
      </c>
      <c r="AF162" s="7">
        <f t="shared" si="173"/>
        <v>0</v>
      </c>
      <c r="AG162" s="7">
        <f t="shared" si="173"/>
        <v>0</v>
      </c>
      <c r="AH162" s="7">
        <f t="shared" si="173"/>
        <v>0</v>
      </c>
      <c r="AI162" s="7">
        <f t="shared" si="173"/>
        <v>0</v>
      </c>
      <c r="AJ162" s="7">
        <f t="shared" si="173"/>
        <v>0</v>
      </c>
      <c r="AK162" s="7">
        <f t="shared" si="173"/>
        <v>0</v>
      </c>
      <c r="AL162" s="7">
        <f t="shared" si="173"/>
        <v>0</v>
      </c>
      <c r="AM162" s="7">
        <f t="shared" si="173"/>
        <v>0</v>
      </c>
      <c r="AN162" s="7">
        <f t="shared" si="174"/>
        <v>0</v>
      </c>
      <c r="AO162" s="7">
        <f t="shared" si="174"/>
        <v>0</v>
      </c>
      <c r="AP162" s="7">
        <f t="shared" si="174"/>
        <v>0</v>
      </c>
      <c r="AQ162" s="7">
        <f t="shared" si="174"/>
        <v>0</v>
      </c>
      <c r="AR162" s="7">
        <f t="shared" si="174"/>
        <v>0</v>
      </c>
      <c r="AS162" s="7">
        <f t="shared" si="174"/>
        <v>0</v>
      </c>
      <c r="AT162" s="7">
        <f t="shared" si="174"/>
        <v>0</v>
      </c>
      <c r="AU162" s="7">
        <f t="shared" si="175"/>
        <v>0</v>
      </c>
      <c r="AV162" s="7">
        <f t="shared" si="176"/>
        <v>0</v>
      </c>
      <c r="AW162" s="7">
        <f t="shared" si="176"/>
        <v>0</v>
      </c>
      <c r="AX162" s="7"/>
      <c r="AY162" s="7"/>
      <c r="AZ162" s="7">
        <f>SUM($B$162:B162)</f>
        <v>0</v>
      </c>
      <c r="BA162" s="7">
        <f>SUM($B$162:C162)</f>
        <v>0</v>
      </c>
      <c r="BB162" s="7">
        <f>SUM($B$162:D162)</f>
        <v>0</v>
      </c>
      <c r="BC162" s="7">
        <f>SUM($B$162:E162)</f>
        <v>0</v>
      </c>
      <c r="BD162" s="7">
        <f>SUM($B$162:F162)</f>
        <v>0</v>
      </c>
      <c r="BE162" s="7">
        <f>SUM($B$162:G162)</f>
        <v>0</v>
      </c>
      <c r="BF162" s="7">
        <f>SUM($B$162:H162)</f>
        <v>0</v>
      </c>
      <c r="BG162" s="7">
        <f>SUM($B$162:I162)</f>
        <v>0</v>
      </c>
      <c r="BH162" s="7">
        <f>SUM($B$162:J162)</f>
        <v>0</v>
      </c>
      <c r="BI162" s="7">
        <f>SUM($B$162:K162)</f>
        <v>0</v>
      </c>
      <c r="BJ162" s="7">
        <f>SUM($B$162:L162)</f>
        <v>0</v>
      </c>
      <c r="BK162" s="7">
        <f>SUM($B$162:M162)</f>
        <v>0</v>
      </c>
      <c r="BL162" s="7">
        <f>SUM($B$162:Q162)</f>
        <v>0</v>
      </c>
      <c r="BM162" s="7">
        <f>SUM($B$162:N162)</f>
        <v>0</v>
      </c>
      <c r="BN162" s="7">
        <f>SUM($B$162:O162)</f>
        <v>0</v>
      </c>
      <c r="BO162" s="7">
        <f>SUM($B$162:P162)</f>
        <v>0</v>
      </c>
      <c r="BP162" s="7">
        <f>SUM($B$162:R162)</f>
        <v>0</v>
      </c>
      <c r="BQ162" s="7">
        <f>SUM($B$162:S162)</f>
        <v>0</v>
      </c>
      <c r="BR162" s="7">
        <f>SUM($B$162:T162)</f>
        <v>0</v>
      </c>
      <c r="BS162" s="7">
        <f>SUM($B$162:V162)</f>
        <v>0</v>
      </c>
      <c r="BT162" s="7"/>
      <c r="BU162" s="7">
        <f>SUM($BS$158:BS162)</f>
        <v>0</v>
      </c>
      <c r="BV162">
        <f t="shared" si="148"/>
        <v>0</v>
      </c>
      <c r="BW162">
        <f>SUM($BV$158:BV162)</f>
        <v>0</v>
      </c>
    </row>
    <row r="163" spans="1:75" x14ac:dyDescent="0.35">
      <c r="A163" s="152" t="s">
        <v>27</v>
      </c>
      <c r="B163" s="7"/>
      <c r="C163" s="7"/>
      <c r="D163" s="7"/>
      <c r="E163" s="7"/>
      <c r="F163" s="7"/>
      <c r="G163" s="7"/>
      <c r="H163" s="7"/>
      <c r="I163" s="7"/>
      <c r="J163" s="7"/>
      <c r="K163" s="7"/>
      <c r="L163" s="7"/>
      <c r="M163" s="7"/>
      <c r="N163" s="7"/>
      <c r="O163" s="7"/>
      <c r="P163" s="7"/>
      <c r="Q163" s="7"/>
      <c r="R163" s="7"/>
      <c r="S163" s="7"/>
      <c r="T163" s="7"/>
      <c r="U163" s="7"/>
      <c r="V163" s="7"/>
      <c r="W163" s="7">
        <f t="shared" si="168"/>
        <v>0</v>
      </c>
      <c r="X163" s="7">
        <f t="shared" si="169"/>
        <v>0</v>
      </c>
      <c r="Y163" s="7">
        <f t="shared" si="170"/>
        <v>0</v>
      </c>
      <c r="Z163" s="54"/>
      <c r="AA163" s="196"/>
      <c r="AB163" s="7">
        <f t="shared" si="172"/>
        <v>0</v>
      </c>
      <c r="AC163" s="7" t="s">
        <v>27</v>
      </c>
      <c r="AD163" s="7">
        <f t="shared" si="173"/>
        <v>0</v>
      </c>
      <c r="AE163" s="7">
        <f t="shared" si="173"/>
        <v>0</v>
      </c>
      <c r="AF163" s="7">
        <f t="shared" si="173"/>
        <v>0</v>
      </c>
      <c r="AG163" s="7">
        <f t="shared" si="173"/>
        <v>0</v>
      </c>
      <c r="AH163" s="7">
        <f t="shared" si="173"/>
        <v>0</v>
      </c>
      <c r="AI163" s="7">
        <f t="shared" si="173"/>
        <v>0</v>
      </c>
      <c r="AJ163" s="7">
        <f t="shared" si="173"/>
        <v>0</v>
      </c>
      <c r="AK163" s="7">
        <f t="shared" si="173"/>
        <v>0</v>
      </c>
      <c r="AL163" s="7">
        <f t="shared" si="173"/>
        <v>0</v>
      </c>
      <c r="AM163" s="7">
        <f t="shared" si="173"/>
        <v>0</v>
      </c>
      <c r="AN163" s="7">
        <f t="shared" si="174"/>
        <v>0</v>
      </c>
      <c r="AO163" s="7">
        <f t="shared" si="174"/>
        <v>0</v>
      </c>
      <c r="AP163" s="7">
        <f t="shared" si="174"/>
        <v>0</v>
      </c>
      <c r="AQ163" s="7">
        <f t="shared" si="174"/>
        <v>0</v>
      </c>
      <c r="AR163" s="7">
        <f t="shared" si="174"/>
        <v>0</v>
      </c>
      <c r="AS163" s="7">
        <f t="shared" si="174"/>
        <v>0</v>
      </c>
      <c r="AT163" s="7">
        <f t="shared" si="174"/>
        <v>0</v>
      </c>
      <c r="AU163" s="7">
        <f t="shared" si="175"/>
        <v>0</v>
      </c>
      <c r="AV163" s="7">
        <f t="shared" si="176"/>
        <v>0</v>
      </c>
      <c r="AW163" s="7">
        <f t="shared" si="176"/>
        <v>0</v>
      </c>
      <c r="AX163" s="7"/>
      <c r="AY163" s="7"/>
      <c r="AZ163" s="7">
        <f>SUM($B$163:B163)</f>
        <v>0</v>
      </c>
      <c r="BA163" s="7">
        <f>SUM($B$163:C163)</f>
        <v>0</v>
      </c>
      <c r="BB163" s="7">
        <f>SUM($B$163:D163)</f>
        <v>0</v>
      </c>
      <c r="BC163" s="7">
        <f>SUM($B$163:E163)</f>
        <v>0</v>
      </c>
      <c r="BD163" s="7">
        <f>SUM($B$163:F163)</f>
        <v>0</v>
      </c>
      <c r="BE163" s="7">
        <f>SUM($B$163:G163)</f>
        <v>0</v>
      </c>
      <c r="BF163" s="7">
        <f>SUM($B$163:H163)</f>
        <v>0</v>
      </c>
      <c r="BG163" s="7">
        <f>SUM($B$163:I163)</f>
        <v>0</v>
      </c>
      <c r="BH163" s="7">
        <f>SUM($B$163:J163)</f>
        <v>0</v>
      </c>
      <c r="BI163" s="7">
        <f>SUM($B$163:K163)</f>
        <v>0</v>
      </c>
      <c r="BJ163" s="7">
        <f>SUM($B$163:L163)</f>
        <v>0</v>
      </c>
      <c r="BK163" s="7">
        <f>SUM($B$163:M163)</f>
        <v>0</v>
      </c>
      <c r="BL163" s="7">
        <f>SUM($B$163:Q163)</f>
        <v>0</v>
      </c>
      <c r="BM163" s="7">
        <f>SUM($B$163:N163)</f>
        <v>0</v>
      </c>
      <c r="BN163" s="7">
        <f>SUM($B$163:O163)</f>
        <v>0</v>
      </c>
      <c r="BO163" s="7">
        <f>SUM($B$163:P163)</f>
        <v>0</v>
      </c>
      <c r="BP163" s="7">
        <f>SUM($B$163:R163)</f>
        <v>0</v>
      </c>
      <c r="BQ163" s="7">
        <f>SUM($B$163:S163)</f>
        <v>0</v>
      </c>
      <c r="BR163" s="7">
        <f>SUM($B$163:T163)</f>
        <v>0</v>
      </c>
      <c r="BS163" s="7">
        <f>SUM($B$163:V163)</f>
        <v>0</v>
      </c>
      <c r="BT163" s="7"/>
      <c r="BU163" s="7">
        <f>SUM($BS$158:BS163)</f>
        <v>0</v>
      </c>
      <c r="BV163">
        <f t="shared" si="148"/>
        <v>0</v>
      </c>
      <c r="BW163">
        <f>SUM($BV$158:BV163)</f>
        <v>0</v>
      </c>
    </row>
    <row r="164" spans="1:75" x14ac:dyDescent="0.35">
      <c r="A164" s="162" t="s">
        <v>28</v>
      </c>
      <c r="B164" s="7"/>
      <c r="C164" s="7"/>
      <c r="D164" s="7"/>
      <c r="E164" s="7"/>
      <c r="F164" s="7"/>
      <c r="G164" s="7"/>
      <c r="H164" s="7"/>
      <c r="I164" s="7"/>
      <c r="J164" s="7"/>
      <c r="K164" s="7"/>
      <c r="L164" s="7"/>
      <c r="M164" s="7"/>
      <c r="N164" s="7"/>
      <c r="O164" s="7"/>
      <c r="P164" s="7"/>
      <c r="Q164" s="7"/>
      <c r="R164" s="7"/>
      <c r="S164" s="7"/>
      <c r="T164" s="7"/>
      <c r="U164" s="7"/>
      <c r="V164" s="7"/>
      <c r="W164" s="7">
        <f t="shared" si="168"/>
        <v>0</v>
      </c>
      <c r="X164" s="7">
        <f t="shared" si="169"/>
        <v>0</v>
      </c>
      <c r="Y164" s="7">
        <f t="shared" si="170"/>
        <v>0</v>
      </c>
      <c r="Z164" s="54"/>
      <c r="AA164" s="196"/>
      <c r="AB164" s="7">
        <f t="shared" si="172"/>
        <v>0</v>
      </c>
      <c r="AC164" s="7" t="s">
        <v>28</v>
      </c>
      <c r="AD164" s="7">
        <f t="shared" si="173"/>
        <v>0</v>
      </c>
      <c r="AE164" s="7">
        <f t="shared" si="173"/>
        <v>0</v>
      </c>
      <c r="AF164" s="7">
        <f t="shared" si="173"/>
        <v>0</v>
      </c>
      <c r="AG164" s="7">
        <f t="shared" si="173"/>
        <v>0</v>
      </c>
      <c r="AH164" s="7">
        <f t="shared" si="173"/>
        <v>0</v>
      </c>
      <c r="AI164" s="7">
        <f t="shared" si="173"/>
        <v>0</v>
      </c>
      <c r="AJ164" s="7">
        <f t="shared" si="173"/>
        <v>0</v>
      </c>
      <c r="AK164" s="7">
        <f t="shared" si="173"/>
        <v>0</v>
      </c>
      <c r="AL164" s="7">
        <f t="shared" si="173"/>
        <v>0</v>
      </c>
      <c r="AM164" s="7">
        <f t="shared" si="173"/>
        <v>0</v>
      </c>
      <c r="AN164" s="7">
        <f t="shared" si="174"/>
        <v>0</v>
      </c>
      <c r="AO164" s="7">
        <f t="shared" si="174"/>
        <v>0</v>
      </c>
      <c r="AP164" s="7">
        <f t="shared" si="174"/>
        <v>0</v>
      </c>
      <c r="AQ164" s="7">
        <f t="shared" si="174"/>
        <v>0</v>
      </c>
      <c r="AR164" s="7">
        <f t="shared" si="174"/>
        <v>0</v>
      </c>
      <c r="AS164" s="7">
        <f t="shared" si="174"/>
        <v>0</v>
      </c>
      <c r="AT164" s="7">
        <f t="shared" si="174"/>
        <v>0</v>
      </c>
      <c r="AU164" s="7">
        <f t="shared" si="175"/>
        <v>0</v>
      </c>
      <c r="AV164" s="7">
        <f t="shared" si="176"/>
        <v>0</v>
      </c>
      <c r="AW164" s="7">
        <f t="shared" si="176"/>
        <v>0</v>
      </c>
      <c r="AX164" s="7"/>
      <c r="AY164" s="7"/>
      <c r="AZ164" s="7">
        <f>SUM($B$164:B164)</f>
        <v>0</v>
      </c>
      <c r="BA164" s="7">
        <f>SUM($B$164:C164)</f>
        <v>0</v>
      </c>
      <c r="BB164" s="7">
        <f>SUM($B$164:D164)</f>
        <v>0</v>
      </c>
      <c r="BC164" s="7">
        <f>SUM($B$164:E164)</f>
        <v>0</v>
      </c>
      <c r="BD164" s="7">
        <f>SUM($B$164:F164)</f>
        <v>0</v>
      </c>
      <c r="BE164" s="7">
        <f>SUM($B$164:G164)</f>
        <v>0</v>
      </c>
      <c r="BF164" s="7">
        <f>SUM($B$164:H164)</f>
        <v>0</v>
      </c>
      <c r="BG164" s="7">
        <f>SUM($B$164:I164)</f>
        <v>0</v>
      </c>
      <c r="BH164" s="7">
        <f>SUM($B$164:J164)</f>
        <v>0</v>
      </c>
      <c r="BI164" s="7">
        <f>SUM($B$164:K164)</f>
        <v>0</v>
      </c>
      <c r="BJ164" s="7">
        <f>SUM($B$164:L164)</f>
        <v>0</v>
      </c>
      <c r="BK164" s="7">
        <f>SUM($B$164:M164)</f>
        <v>0</v>
      </c>
      <c r="BL164" s="7">
        <f>SUM($B$164:Q164)</f>
        <v>0</v>
      </c>
      <c r="BM164" s="7">
        <f>SUM($B$164:N164)</f>
        <v>0</v>
      </c>
      <c r="BN164" s="7">
        <f>SUM($B$164:O164)</f>
        <v>0</v>
      </c>
      <c r="BO164" s="7">
        <f>SUM($B$164:P164)</f>
        <v>0</v>
      </c>
      <c r="BP164" s="7">
        <f>SUM($B$164:R164)</f>
        <v>0</v>
      </c>
      <c r="BQ164" s="7">
        <f>SUM($B$164:S164)</f>
        <v>0</v>
      </c>
      <c r="BR164" s="7">
        <f>SUM($B$164:T164)</f>
        <v>0</v>
      </c>
      <c r="BS164" s="7">
        <f>SUM($B$164:V164)</f>
        <v>0</v>
      </c>
      <c r="BT164" s="7"/>
      <c r="BU164" s="7">
        <f>SUM($BS$158:BS164)</f>
        <v>0</v>
      </c>
      <c r="BV164">
        <f t="shared" si="148"/>
        <v>0</v>
      </c>
      <c r="BW164">
        <f>SUM($BV$158:BV164)</f>
        <v>0</v>
      </c>
    </row>
    <row r="165" spans="1:75" x14ac:dyDescent="0.35">
      <c r="A165" s="51" t="s">
        <v>29</v>
      </c>
      <c r="B165" s="7">
        <f t="shared" ref="B165:T165" si="177">SUM(B158:B164)</f>
        <v>0</v>
      </c>
      <c r="C165" s="7">
        <f t="shared" si="177"/>
        <v>0</v>
      </c>
      <c r="D165" s="7">
        <f t="shared" si="177"/>
        <v>0</v>
      </c>
      <c r="E165" s="7">
        <f t="shared" si="177"/>
        <v>0</v>
      </c>
      <c r="F165" s="7">
        <f t="shared" si="177"/>
        <v>0</v>
      </c>
      <c r="G165" s="7">
        <f t="shared" si="177"/>
        <v>0</v>
      </c>
      <c r="H165" s="7">
        <f t="shared" si="177"/>
        <v>0</v>
      </c>
      <c r="I165" s="7">
        <f t="shared" si="177"/>
        <v>0</v>
      </c>
      <c r="J165" s="7">
        <f t="shared" si="177"/>
        <v>0</v>
      </c>
      <c r="K165" s="7">
        <f>SUM(K158:K164)</f>
        <v>0</v>
      </c>
      <c r="L165" s="7">
        <f t="shared" si="177"/>
        <v>0</v>
      </c>
      <c r="M165" s="7">
        <f t="shared" si="177"/>
        <v>0</v>
      </c>
      <c r="N165" s="7">
        <f t="shared" si="177"/>
        <v>0</v>
      </c>
      <c r="O165" s="7">
        <f t="shared" si="177"/>
        <v>0</v>
      </c>
      <c r="P165" s="7">
        <f t="shared" si="177"/>
        <v>0</v>
      </c>
      <c r="Q165" s="7">
        <f>SUM(Q158:Q164)</f>
        <v>0</v>
      </c>
      <c r="R165" s="7">
        <f t="shared" si="177"/>
        <v>0</v>
      </c>
      <c r="S165" s="7">
        <f t="shared" si="177"/>
        <v>0</v>
      </c>
      <c r="T165" s="7">
        <f t="shared" si="177"/>
        <v>0</v>
      </c>
      <c r="U165" s="7">
        <f t="shared" ref="U165" si="178">SUM(U158:U164)</f>
        <v>0</v>
      </c>
      <c r="V165" s="7">
        <f>SUM(V158:V164)</f>
        <v>0</v>
      </c>
      <c r="W165" s="31">
        <f>SUM(W158:W164)</f>
        <v>0</v>
      </c>
      <c r="X165" s="7"/>
      <c r="Y165" s="7"/>
      <c r="Z165" s="54" t="s">
        <v>175</v>
      </c>
      <c r="AA165" s="19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row>
    <row r="166" spans="1:75" x14ac:dyDescent="0.35">
      <c r="A166" s="51" t="s">
        <v>33</v>
      </c>
      <c r="B166" s="7">
        <f t="shared" ref="B166:U166" si="179">B165-B151</f>
        <v>0</v>
      </c>
      <c r="C166" s="7">
        <f t="shared" si="179"/>
        <v>0</v>
      </c>
      <c r="D166" s="7">
        <f t="shared" si="179"/>
        <v>0</v>
      </c>
      <c r="E166" s="7">
        <f t="shared" si="179"/>
        <v>0</v>
      </c>
      <c r="F166" s="7">
        <f t="shared" si="179"/>
        <v>0</v>
      </c>
      <c r="G166" s="7">
        <f t="shared" si="179"/>
        <v>0</v>
      </c>
      <c r="H166" s="7">
        <f t="shared" si="179"/>
        <v>0</v>
      </c>
      <c r="I166" s="7">
        <f t="shared" si="179"/>
        <v>0</v>
      </c>
      <c r="J166" s="7">
        <f t="shared" si="179"/>
        <v>0</v>
      </c>
      <c r="K166" s="7">
        <f t="shared" si="179"/>
        <v>0</v>
      </c>
      <c r="L166" s="7">
        <f t="shared" si="179"/>
        <v>0</v>
      </c>
      <c r="M166" s="7">
        <f t="shared" si="179"/>
        <v>0</v>
      </c>
      <c r="N166" s="7">
        <f t="shared" si="179"/>
        <v>0</v>
      </c>
      <c r="O166" s="7">
        <f t="shared" si="179"/>
        <v>0</v>
      </c>
      <c r="P166" s="7">
        <f t="shared" si="179"/>
        <v>0</v>
      </c>
      <c r="Q166" s="7">
        <f t="shared" si="179"/>
        <v>0</v>
      </c>
      <c r="R166" s="7">
        <f t="shared" si="179"/>
        <v>0</v>
      </c>
      <c r="S166" s="7">
        <f t="shared" si="179"/>
        <v>0</v>
      </c>
      <c r="T166" s="7">
        <f t="shared" si="179"/>
        <v>0</v>
      </c>
      <c r="U166" s="7">
        <f t="shared" si="179"/>
        <v>0</v>
      </c>
      <c r="V166" s="7">
        <f>V165-V151</f>
        <v>0</v>
      </c>
      <c r="W166" s="7">
        <f>W165-W151</f>
        <v>0</v>
      </c>
      <c r="X166" s="7"/>
      <c r="Y166" s="7"/>
      <c r="Z166" s="54"/>
      <c r="AA166" s="19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row>
    <row r="167" spans="1:75" x14ac:dyDescent="0.35">
      <c r="A167" s="51" t="s">
        <v>110</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cm="1">
        <f t="array" ref="S167">IF(COUNTIF(AU157:AU163,0)=0,
    LOOKUP(2,1/(AU157:AU163&lt;&gt;""),AU157:AU163),
    MATCH(0,INDEX(AU157:AU163,MAX(ROW(AU157:AU163))-ROW(AU157:AU163)+1),0)-1
)</f>
        <v>0</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IF(COUNTIF(AZ157:AZ163,0)=0,
    LOOKUP(2,1/(AZ157:AZ163&lt;&gt;""),AZ157:AZ163),
    MATCH(0,INDEX(AZ157:AZ163,MAX(ROW(AZ157:AZ163))-ROW(AZ157:AZ163)+1),0)-1
)</f>
        <v>0</v>
      </c>
      <c r="W167" s="7"/>
      <c r="X167" s="7" cm="1">
        <f t="array" ref="X167">IF(COUNTIF(Y157:Y163,0)=0,
    LOOKUP(2,1/(Y157:Y163&lt;&gt;""),Y157:Y163),
    MATCH(0,INDEX(Y157:Y163,MAX(ROW(Y157:Y163))-ROW(Y157:Y163)+1),0)-1
)</f>
        <v>0</v>
      </c>
      <c r="Y167" s="7"/>
      <c r="Z167" s="54"/>
      <c r="AA167" s="19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row>
    <row r="168" spans="1:75" x14ac:dyDescent="0.35">
      <c r="A168" s="51" t="s">
        <v>99</v>
      </c>
      <c r="B168" s="7">
        <f t="shared" ref="B168:U168" si="180">B165+B154</f>
        <v>2</v>
      </c>
      <c r="C168" s="7">
        <f t="shared" si="180"/>
        <v>0</v>
      </c>
      <c r="D168" s="7">
        <f t="shared" si="180"/>
        <v>5</v>
      </c>
      <c r="E168" s="7">
        <f t="shared" si="180"/>
        <v>9</v>
      </c>
      <c r="F168" s="7">
        <f t="shared" si="180"/>
        <v>4</v>
      </c>
      <c r="G168" s="7">
        <f t="shared" si="180"/>
        <v>0</v>
      </c>
      <c r="H168" s="7">
        <f t="shared" si="180"/>
        <v>0</v>
      </c>
      <c r="I168" s="7">
        <f t="shared" si="180"/>
        <v>3</v>
      </c>
      <c r="J168" s="7">
        <f t="shared" si="180"/>
        <v>0</v>
      </c>
      <c r="K168" s="7">
        <f t="shared" si="180"/>
        <v>0.75</v>
      </c>
      <c r="L168" s="7">
        <f t="shared" si="180"/>
        <v>2</v>
      </c>
      <c r="M168" s="7">
        <f t="shared" si="180"/>
        <v>1</v>
      </c>
      <c r="N168" s="7">
        <f t="shared" si="180"/>
        <v>2.5</v>
      </c>
      <c r="O168" s="7">
        <f t="shared" si="180"/>
        <v>2</v>
      </c>
      <c r="P168" s="7">
        <f t="shared" si="180"/>
        <v>0</v>
      </c>
      <c r="Q168" s="7">
        <f t="shared" si="180"/>
        <v>0</v>
      </c>
      <c r="R168" s="7">
        <f t="shared" si="180"/>
        <v>1</v>
      </c>
      <c r="S168" s="7">
        <f t="shared" si="180"/>
        <v>3</v>
      </c>
      <c r="T168" s="7">
        <f t="shared" si="180"/>
        <v>0</v>
      </c>
      <c r="U168" s="7">
        <f t="shared" si="180"/>
        <v>-1</v>
      </c>
      <c r="V168" s="7">
        <f>V165+V154</f>
        <v>2</v>
      </c>
      <c r="W168" s="7">
        <f>W154+W165</f>
        <v>36.25</v>
      </c>
      <c r="X168" s="7"/>
      <c r="Y168" s="7">
        <f>SUM(Y158:Y164)</f>
        <v>0</v>
      </c>
      <c r="Z168" s="54" t="s">
        <v>176</v>
      </c>
      <c r="AA168" s="19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row>
    <row r="169" spans="1:75" x14ac:dyDescent="0.35">
      <c r="A169" s="51" t="s">
        <v>112</v>
      </c>
      <c r="B169" s="174">
        <f>(COUNTIF(B4:B10, "&gt;0")+COUNTIF(B18:B24, "&gt;0")+COUNTIF(B32:B38, "&gt;0")+COUNTIF(B46:B52, "&gt;0")+COUNTIF(B60:B66, "&gt;0")+COUNTIF(B74:B80, "&gt;0")+COUNTIF(B88:B94, "&gt;0")+COUNTIF(B102:B108, "&gt;0")+COUNTIF(B116:B122, "&gt;0")+COUNTIF(B130:B136, "&gt;0")+COUNTIF(B144:B150, "&gt;0") + COUNTIF(B158:B164, "&gt;0")) / 84</f>
        <v>1.1904761904761904E-2</v>
      </c>
      <c r="C169" s="174">
        <f t="shared" ref="C169:O169" si="181">(COUNTIF(C4:C10, "&gt;0")+COUNTIF(C18:C24, "&gt;0")+COUNTIF(C32:C38, "&gt;0")+COUNTIF(C46:C52, "&gt;0")+COUNTIF(C60:C66, "&gt;0")+COUNTIF(C74:C80, "&gt;0")+COUNTIF(C88:C94, "&gt;0")+COUNTIF(C102:C108, "&gt;0")+COUNTIF(C116:C122, "&gt;0")+COUNTIF(C130:C136, "&gt;0")+COUNTIF(C144:C150, "&gt;0") + COUNTIF(C158:C164, "&gt;0")) / 84</f>
        <v>0</v>
      </c>
      <c r="D169" s="174">
        <f t="shared" si="181"/>
        <v>1.1904761904761904E-2</v>
      </c>
      <c r="E169" s="174">
        <f t="shared" si="181"/>
        <v>1.1904761904761904E-2</v>
      </c>
      <c r="F169" s="174">
        <f t="shared" si="181"/>
        <v>1.1904761904761904E-2</v>
      </c>
      <c r="G169" s="174">
        <f t="shared" si="181"/>
        <v>0</v>
      </c>
      <c r="H169" s="174">
        <f t="shared" si="181"/>
        <v>0</v>
      </c>
      <c r="I169" s="174">
        <f t="shared" si="181"/>
        <v>1.1904761904761904E-2</v>
      </c>
      <c r="J169" s="174">
        <f t="shared" si="181"/>
        <v>0</v>
      </c>
      <c r="K169" s="174">
        <f t="shared" si="181"/>
        <v>1.1904761904761904E-2</v>
      </c>
      <c r="L169" s="174">
        <f t="shared" si="181"/>
        <v>1.1904761904761904E-2</v>
      </c>
      <c r="M169" s="174">
        <f t="shared" si="181"/>
        <v>1.1904761904761904E-2</v>
      </c>
      <c r="N169" s="174">
        <f t="shared" si="181"/>
        <v>1.1904761904761904E-2</v>
      </c>
      <c r="O169" s="174">
        <f t="shared" si="181"/>
        <v>1.1904761904761904E-2</v>
      </c>
      <c r="P169" s="7"/>
      <c r="Q169" s="7"/>
      <c r="R169" s="7"/>
      <c r="S169" s="7"/>
      <c r="T169" s="7"/>
      <c r="U169" s="51" t="s">
        <v>31</v>
      </c>
      <c r="V169" s="7">
        <f>SUMIF(B165:V165,"&lt;0",B165:V165)</f>
        <v>0</v>
      </c>
      <c r="W169" s="7">
        <f>SUMIF(B165:V165,"&gt;0",B165:V165)</f>
        <v>0</v>
      </c>
      <c r="Y169" s="7"/>
      <c r="Z169" s="54"/>
      <c r="AA169" s="19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row>
    <row r="170" spans="1:75"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row>
    <row r="171" spans="1:75"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row>
    <row r="172" spans="1:75"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12"/>
      <c r="BA172" s="12"/>
      <c r="BB172" s="12"/>
      <c r="BC172" s="12"/>
      <c r="BD172" s="12"/>
      <c r="BE172" s="12"/>
      <c r="BF172" s="12"/>
      <c r="BG172" s="12"/>
      <c r="BH172" s="12"/>
      <c r="BI172" s="12"/>
      <c r="BJ172" s="12"/>
      <c r="BK172" s="12"/>
      <c r="BL172" s="12"/>
      <c r="BM172" s="12"/>
      <c r="BN172" s="12"/>
      <c r="BO172" s="12"/>
      <c r="BP172" s="12"/>
      <c r="BQ172" s="12"/>
      <c r="BR172" s="12"/>
      <c r="BS172" s="12"/>
      <c r="BT172" s="203"/>
      <c r="BU172" s="12"/>
    </row>
    <row r="173" spans="1:75"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row>
    <row r="174" spans="1:75"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row>
    <row r="175" spans="1:75"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row>
    <row r="176" spans="1:75"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row>
    <row r="177" spans="1:73" x14ac:dyDescent="0.35">
      <c r="A177" s="7"/>
      <c r="B177" s="7"/>
      <c r="C177" s="7"/>
      <c r="D177" s="7"/>
      <c r="E177" s="7"/>
      <c r="F177" s="7"/>
      <c r="G177" s="7"/>
      <c r="H177" s="7"/>
      <c r="I177" s="7"/>
      <c r="J177" s="7"/>
      <c r="K177" s="7"/>
      <c r="L177" s="179" t="s">
        <v>136</v>
      </c>
      <c r="M177" s="179" t="s">
        <v>135</v>
      </c>
      <c r="N177" s="180" t="s">
        <v>137</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row>
    <row r="178" spans="1:73"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row>
    <row r="179" spans="1:73"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row>
    <row r="180" spans="1:73"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row>
    <row r="181" spans="1:73"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row>
    <row r="182" spans="1:73"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row>
    <row r="183" spans="1:73"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row>
    <row r="184" spans="1:73"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row>
    <row r="185" spans="1:73" x14ac:dyDescent="0.35">
      <c r="A185" s="7"/>
      <c r="B185" s="7"/>
      <c r="C185" s="7"/>
      <c r="D185" s="7"/>
      <c r="E185" s="7"/>
      <c r="F185" s="7"/>
      <c r="G185" s="7"/>
      <c r="H185" s="7"/>
      <c r="I185" s="7"/>
      <c r="J185" s="7"/>
      <c r="K185" s="7" t="s">
        <v>156</v>
      </c>
      <c r="L185" s="7"/>
      <c r="M185" s="7"/>
      <c r="N185" s="7"/>
      <c r="O185" s="7"/>
      <c r="P185" s="186" t="s">
        <v>157</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row>
    <row r="186" spans="1:73"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row>
    <row r="187" spans="1:73"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row>
    <row r="188" spans="1:73"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c r="BT188" s="7"/>
      <c r="BU188" s="7"/>
    </row>
    <row r="189" spans="1:73"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c r="BT189" s="7"/>
      <c r="BU189" s="7"/>
    </row>
    <row r="190" spans="1:73"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c r="BT190" s="7"/>
      <c r="BU190" s="7"/>
    </row>
    <row r="191" spans="1:73"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c r="BT191" s="7"/>
      <c r="BU191" s="7"/>
    </row>
    <row r="192" spans="1:73"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c r="BT192" s="7"/>
      <c r="BU192" s="7"/>
    </row>
    <row r="193" spans="1:73"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c r="BT193" s="7"/>
      <c r="BU193" s="7"/>
    </row>
    <row r="194" spans="1:73"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c r="BT194" s="7"/>
      <c r="BU194" s="7"/>
    </row>
    <row r="195" spans="1:73"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c r="BT195" s="7"/>
      <c r="BU195" s="7"/>
    </row>
    <row r="196" spans="1:73"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c r="BT196" s="7"/>
      <c r="BU196" s="7"/>
    </row>
    <row r="197" spans="1:73"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c r="BT197" s="7"/>
      <c r="BU197" s="7"/>
    </row>
    <row r="198" spans="1:73"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c r="BT198" s="7"/>
      <c r="BU198" s="7"/>
    </row>
    <row r="199" spans="1:73"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c r="BT199" s="7"/>
      <c r="BU199" s="7"/>
    </row>
    <row r="200" spans="1:73"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c r="BT200" s="7"/>
      <c r="BU200" s="7"/>
    </row>
    <row r="201" spans="1:73"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c r="BT201" s="7"/>
      <c r="BU201" s="7"/>
    </row>
    <row r="202" spans="1:73"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c r="BT202" s="7"/>
      <c r="BU202" s="7"/>
    </row>
    <row r="203" spans="1:73"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c r="BT203" s="7"/>
      <c r="BU203" s="7"/>
    </row>
    <row r="204" spans="1:73"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c r="BT204" s="7"/>
      <c r="BU204" s="7"/>
    </row>
    <row r="205" spans="1:73"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c r="BT205" s="7"/>
      <c r="BU205" s="7"/>
    </row>
    <row r="206" spans="1:73"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c r="BT206" s="7"/>
      <c r="BU206" s="7"/>
    </row>
    <row r="207" spans="1:73"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c r="BT207" s="7"/>
      <c r="BU207" s="7"/>
    </row>
    <row r="208" spans="1:73" x14ac:dyDescent="0.35">
      <c r="A208" s="7"/>
      <c r="B208" s="7"/>
      <c r="C208" s="7"/>
      <c r="D208" s="7"/>
      <c r="E208" s="7" t="s">
        <v>138</v>
      </c>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c r="BT208" s="7"/>
      <c r="BU208" s="7"/>
    </row>
    <row r="209" spans="1:73"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c r="BT209" s="7"/>
      <c r="BU209" s="7"/>
    </row>
    <row r="210" spans="1:73" x14ac:dyDescent="0.35">
      <c r="A210" s="7"/>
      <c r="B210" s="7"/>
      <c r="C210" s="7"/>
      <c r="D210" s="7"/>
      <c r="E210" s="7" t="s">
        <v>41</v>
      </c>
      <c r="F210" s="7" t="s">
        <v>42</v>
      </c>
      <c r="G210" s="7" t="s">
        <v>22</v>
      </c>
      <c r="H210" s="7" t="s">
        <v>61</v>
      </c>
      <c r="I210" s="7" t="s">
        <v>24</v>
      </c>
      <c r="J210" s="7" t="s">
        <v>25</v>
      </c>
      <c r="K210" s="7" t="s">
        <v>26</v>
      </c>
      <c r="L210" s="7" t="s">
        <v>27</v>
      </c>
      <c r="M210" s="7" t="s">
        <v>28</v>
      </c>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c r="BT210" s="7"/>
      <c r="BU210" s="7"/>
    </row>
    <row r="211" spans="1:73" x14ac:dyDescent="0.35">
      <c r="A211" s="7"/>
      <c r="B211" s="7"/>
      <c r="C211" s="7"/>
      <c r="D211" s="7"/>
      <c r="E211" s="7" t="s">
        <v>62</v>
      </c>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c r="BT211" s="7"/>
      <c r="BU211" s="7"/>
    </row>
    <row r="212" spans="1:73" x14ac:dyDescent="0.35">
      <c r="A212" s="7"/>
      <c r="B212" s="7"/>
      <c r="C212" s="7"/>
      <c r="D212" s="7"/>
      <c r="E212" s="7" t="s">
        <v>63</v>
      </c>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c r="BT212" s="7"/>
      <c r="BU212" s="7"/>
    </row>
    <row r="213" spans="1:73" x14ac:dyDescent="0.35">
      <c r="A213" s="7"/>
      <c r="B213" s="7"/>
      <c r="C213" s="7"/>
      <c r="D213" s="7"/>
      <c r="E213" s="7" t="s">
        <v>64</v>
      </c>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c r="BT213" s="7"/>
      <c r="BU213" s="7"/>
    </row>
    <row r="214" spans="1:73" x14ac:dyDescent="0.35">
      <c r="A214" s="7"/>
      <c r="B214" s="7"/>
      <c r="C214" s="7"/>
      <c r="D214" s="7"/>
      <c r="E214" s="7" t="s">
        <v>65</v>
      </c>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c r="BT214" s="7"/>
      <c r="BU214" s="7"/>
    </row>
    <row r="215" spans="1:73" x14ac:dyDescent="0.35">
      <c r="A215" s="7"/>
      <c r="B215" s="7"/>
      <c r="C215" s="7"/>
      <c r="D215" s="7"/>
      <c r="E215" s="7" t="s">
        <v>66</v>
      </c>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c r="BT215" s="7"/>
      <c r="BU215" s="7"/>
    </row>
    <row r="216" spans="1:73" x14ac:dyDescent="0.35">
      <c r="A216" s="7"/>
      <c r="B216" s="7"/>
      <c r="C216" s="7"/>
      <c r="D216" s="7"/>
      <c r="E216" s="7" t="s">
        <v>67</v>
      </c>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c r="BT216" s="7"/>
      <c r="BU216" s="7"/>
    </row>
    <row r="217" spans="1:73" x14ac:dyDescent="0.35">
      <c r="A217" s="7"/>
      <c r="B217" s="7"/>
      <c r="C217" s="7"/>
      <c r="D217" s="7"/>
      <c r="E217" s="7" t="s">
        <v>68</v>
      </c>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c r="BT217" s="7"/>
      <c r="BU217" s="7"/>
    </row>
    <row r="218" spans="1:73" x14ac:dyDescent="0.35">
      <c r="A218" s="7"/>
      <c r="B218" s="7"/>
      <c r="C218" s="7"/>
      <c r="D218" s="7"/>
      <c r="E218" s="7" t="s">
        <v>69</v>
      </c>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c r="BT218" s="7"/>
      <c r="BU218" s="7"/>
    </row>
    <row r="219" spans="1:73" x14ac:dyDescent="0.35">
      <c r="A219" s="7"/>
      <c r="B219" s="7"/>
      <c r="C219" s="7"/>
      <c r="D219" s="7"/>
      <c r="E219" s="7" t="s">
        <v>70</v>
      </c>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c r="BT219" s="7"/>
      <c r="BU219" s="7"/>
    </row>
    <row r="220" spans="1:73" x14ac:dyDescent="0.35">
      <c r="A220" s="7"/>
      <c r="B220" s="7"/>
      <c r="C220" s="7"/>
      <c r="D220" s="7"/>
      <c r="E220" s="7" t="s">
        <v>71</v>
      </c>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c r="BT220" s="7"/>
      <c r="BU220" s="7"/>
    </row>
    <row r="221" spans="1:73" x14ac:dyDescent="0.35">
      <c r="A221" s="7"/>
      <c r="B221" s="7"/>
      <c r="C221" s="7"/>
      <c r="D221" s="7"/>
      <c r="E221" s="7" t="s">
        <v>72</v>
      </c>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c r="BT221" s="7"/>
      <c r="BU221" s="7"/>
    </row>
    <row r="222" spans="1:73" x14ac:dyDescent="0.35">
      <c r="A222" s="7"/>
      <c r="B222" s="7"/>
      <c r="C222" s="7"/>
      <c r="D222" s="7"/>
      <c r="E222" s="7" t="s">
        <v>73</v>
      </c>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c r="BT222" s="7"/>
      <c r="BU222" s="7"/>
    </row>
  </sheetData>
  <mergeCells count="3">
    <mergeCell ref="B1:O1"/>
    <mergeCell ref="B3:C3"/>
    <mergeCell ref="F3:G3"/>
  </mergeCells>
  <phoneticPr fontId="3" type="noConversion"/>
  <conditionalFormatting sqref="B180">
    <cfRule type="colorScale" priority="461">
      <colorScale>
        <cfvo type="min"/>
        <cfvo type="percentile" val="50"/>
        <cfvo type="max"/>
        <color rgb="FFF8696B"/>
        <color rgb="FFFFEB84"/>
        <color rgb="FF63BE7B"/>
      </colorScale>
    </cfRule>
    <cfRule type="top10" dxfId="217" priority="465" rank="5"/>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19" percent="1" bottom="1" rank="49"/>
    <cfRule type="top10" dxfId="215" priority="3920" percent="1" rank="50"/>
  </conditionalFormatting>
  <conditionalFormatting sqref="B29:O29">
    <cfRule type="top10" dxfId="214" priority="76" percent="1" rank="50"/>
    <cfRule type="top10" dxfId="213" priority="77" percent="1" bottom="1" rank="49"/>
  </conditionalFormatting>
  <conditionalFormatting sqref="B15:T15">
    <cfRule type="colorScale" priority="4197">
      <colorScale>
        <cfvo type="min"/>
        <cfvo type="max"/>
        <color theme="0" tint="-4.9989318521683403E-2"/>
        <color theme="2" tint="-0.749992370372631"/>
      </colorScale>
    </cfRule>
    <cfRule type="colorScale" priority="4198">
      <colorScale>
        <cfvo type="min"/>
        <cfvo type="max"/>
        <color theme="0" tint="-4.9989318521683403E-2"/>
        <color theme="1" tint="0.249977111117893"/>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top10" dxfId="212" priority="73" percent="1" rank="50"/>
    <cfRule type="top10" dxfId="211" priority="74" percent="1" bottom="1" rank="49"/>
    <cfRule type="colorScale" priority="75">
      <colorScale>
        <cfvo type="min"/>
        <cfvo type="max"/>
        <color theme="5" tint="0.79998168889431442"/>
        <color theme="5" tint="-0.499984740745262"/>
      </colorScale>
    </cfRule>
  </conditionalFormatting>
  <conditionalFormatting sqref="B57:T57">
    <cfRule type="top10" dxfId="210" priority="70" percent="1" bottom="1" rank="49"/>
    <cfRule type="top10" dxfId="209" priority="71" percent="1" rank="50"/>
    <cfRule type="colorScale" priority="72">
      <colorScale>
        <cfvo type="min"/>
        <cfvo type="max"/>
        <color theme="4" tint="0.79998168889431442"/>
        <color theme="4" tint="-0.499984740745262"/>
      </colorScale>
    </cfRule>
  </conditionalFormatting>
  <conditionalFormatting sqref="B71:T71">
    <cfRule type="top10" dxfId="208" priority="67" percent="1" bottom="1" rank="49"/>
    <cfRule type="top10" dxfId="207" priority="68" percent="1" rank="50"/>
    <cfRule type="colorScale" priority="69">
      <colorScale>
        <cfvo type="min"/>
        <cfvo type="max"/>
        <color theme="5" tint="0.79998168889431442"/>
        <color rgb="FFC00000"/>
      </colorScale>
    </cfRule>
  </conditionalFormatting>
  <conditionalFormatting sqref="B85:T85">
    <cfRule type="colorScale" priority="65">
      <colorScale>
        <cfvo type="min"/>
        <cfvo type="max"/>
        <color theme="6" tint="0.79998168889431442"/>
        <color theme="6" tint="-0.499984740745262"/>
      </colorScale>
    </cfRule>
    <cfRule type="top10" dxfId="206" priority="4059" percent="1" bottom="1" rank="49"/>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top10" dxfId="201" priority="54" percent="1" bottom="1" rank="49"/>
    <cfRule type="top10" dxfId="200" priority="55" percent="1" rank="50"/>
    <cfRule type="colorScale" priority="56">
      <colorScale>
        <cfvo type="min"/>
        <cfvo type="max"/>
        <color rgb="FFFFFFAF"/>
        <color theme="6" tint="-0.499984740745262"/>
      </colorScale>
    </cfRule>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top10" dxfId="197" priority="49" percent="1" rank="100"/>
    <cfRule type="colorScale" priority="50">
      <colorScale>
        <cfvo type="min"/>
        <cfvo type="percentile" val="50"/>
        <cfvo type="max"/>
        <color rgb="FFFF0000"/>
        <color theme="7" tint="-0.499984740745262"/>
        <color theme="6" tint="0.39997558519241921"/>
      </colorScale>
    </cfRule>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11:V11 X11">
    <cfRule type="top10" dxfId="194" priority="3929" percent="1" bottom="1" rank="49"/>
    <cfRule type="top10" dxfId="193" priority="3930" percent="1" rank="50"/>
    <cfRule type="colorScale" priority="3931">
      <colorScale>
        <cfvo type="min"/>
        <cfvo type="max"/>
        <color theme="0" tint="-4.9989318521683403E-2"/>
        <color theme="1" tint="0.249977111117893"/>
      </colorScale>
    </cfRule>
  </conditionalFormatting>
  <conditionalFormatting sqref="B14:V14 X14">
    <cfRule type="top10" dxfId="192" priority="3941" percent="1" bottom="1" rank="49"/>
    <cfRule type="top10" dxfId="191" priority="3942" percent="1" rank="50"/>
    <cfRule type="colorScale" priority="3943">
      <colorScale>
        <cfvo type="min"/>
        <cfvo type="max"/>
        <color theme="0" tint="-4.9989318521683403E-2"/>
        <color theme="2" tint="-0.749992370372631"/>
      </colorScale>
    </cfRule>
  </conditionalFormatting>
  <conditionalFormatting sqref="B25:V25 X25">
    <cfRule type="top10" dxfId="190" priority="3953" percent="1" bottom="1" rank="49"/>
    <cfRule type="top10" dxfId="189" priority="3954" percent="1" rank="50"/>
    <cfRule type="colorScale" priority="3955">
      <colorScale>
        <cfvo type="min"/>
        <cfvo type="max"/>
        <color theme="8" tint="0.79998168889431442"/>
        <color theme="8" tint="-0.499984740745262"/>
      </colorScale>
    </cfRule>
  </conditionalFormatting>
  <conditionalFormatting sqref="B28:V28 X28">
    <cfRule type="top10" dxfId="188" priority="3965" percent="1" bottom="1" rank="49"/>
    <cfRule type="top10" dxfId="187" priority="3966" percent="1" rank="50"/>
    <cfRule type="colorScale" priority="3967">
      <colorScale>
        <cfvo type="min"/>
        <cfvo type="max"/>
        <color theme="8" tint="0.79998168889431442"/>
        <color theme="8" tint="-0.499984740745262"/>
      </colorScale>
    </cfRule>
  </conditionalFormatting>
  <conditionalFormatting sqref="B39:V39 X39">
    <cfRule type="top10" dxfId="186" priority="3977" percent="1" bottom="1" rank="49"/>
    <cfRule type="top10" dxfId="185" priority="3978" percent="1" rank="50"/>
    <cfRule type="colorScale" priority="3979">
      <colorScale>
        <cfvo type="min"/>
        <cfvo type="max"/>
        <color theme="5" tint="0.79998168889431442"/>
        <color theme="5" tint="-0.499984740745262"/>
      </colorScale>
    </cfRule>
  </conditionalFormatting>
  <conditionalFormatting sqref="B42:V42 X42">
    <cfRule type="top10" dxfId="184" priority="3989" percent="1" bottom="1" rank="49"/>
    <cfRule type="top10" dxfId="183" priority="3990" percent="1" rank="50"/>
    <cfRule type="colorScale" priority="3991">
      <colorScale>
        <cfvo type="min"/>
        <cfvo type="max"/>
        <color theme="5" tint="0.79998168889431442"/>
        <color theme="5" tint="-0.499984740745262"/>
      </colorScale>
    </cfRule>
  </conditionalFormatting>
  <conditionalFormatting sqref="B53:V53 X53">
    <cfRule type="top10" dxfId="182" priority="3999" percent="1" bottom="1" rank="49"/>
    <cfRule type="top10" dxfId="181" priority="4000" percent="1" rank="50"/>
    <cfRule type="colorScale" priority="4001">
      <colorScale>
        <cfvo type="min"/>
        <cfvo type="max"/>
        <color theme="4" tint="0.79998168889431442"/>
        <color theme="4" tint="-0.499984740745262"/>
      </colorScale>
    </cfRule>
  </conditionalFormatting>
  <conditionalFormatting sqref="B56:V56 X56">
    <cfRule type="top10" dxfId="180" priority="4011" percent="1" bottom="1" rank="49"/>
    <cfRule type="top10" dxfId="179" priority="4012" percent="1" rank="50"/>
    <cfRule type="colorScale" priority="4013">
      <colorScale>
        <cfvo type="min"/>
        <cfvo type="max"/>
        <color theme="4" tint="0.79998168889431442"/>
        <color theme="4" tint="-0.499984740745262"/>
      </colorScale>
    </cfRule>
  </conditionalFormatting>
  <conditionalFormatting sqref="B68:V68 X68">
    <cfRule type="top10" dxfId="178" priority="4023" percent="1" bottom="1" rank="49"/>
    <cfRule type="top10" dxfId="177" priority="4024" percent="1" rank="50"/>
    <cfRule type="colorScale" priority="4025">
      <colorScale>
        <cfvo type="min"/>
        <cfvo type="max"/>
        <color theme="5" tint="0.79998168889431442"/>
        <color rgb="FFC00000"/>
      </colorScale>
    </cfRule>
  </conditionalFormatting>
  <conditionalFormatting sqref="B69:V69 X69 B67:V67 X67">
    <cfRule type="top10" dxfId="176" priority="4029" percent="1" bottom="1" rank="49"/>
    <cfRule type="top10" dxfId="175" priority="4030" percent="1" rank="50"/>
    <cfRule type="colorScale" priority="4031">
      <colorScale>
        <cfvo type="min"/>
        <cfvo type="max"/>
        <color theme="5" tint="0.79998168889431442"/>
        <color rgb="FFC00000"/>
      </colorScale>
    </cfRule>
  </conditionalFormatting>
  <conditionalFormatting sqref="B70:V70 X70">
    <cfRule type="top10" dxfId="174" priority="4041" percent="1" bottom="1" rank="49"/>
    <cfRule type="top10" dxfId="173" priority="4042" percent="1" rank="50"/>
    <cfRule type="colorScale" priority="4043">
      <colorScale>
        <cfvo type="min"/>
        <cfvo type="max"/>
        <color theme="5" tint="0.79998168889431442"/>
        <color rgb="FFC00000"/>
      </colorScale>
    </cfRule>
  </conditionalFormatting>
  <conditionalFormatting sqref="B81:V81 X81">
    <cfRule type="top10" dxfId="172" priority="4053" percent="1" bottom="1" rank="49"/>
    <cfRule type="top10" dxfId="171" priority="4054" percent="1" rank="50"/>
    <cfRule type="colorScale" priority="4055">
      <colorScale>
        <cfvo type="min"/>
        <cfvo type="max"/>
        <color theme="6" tint="0.79998168889431442"/>
        <color theme="6" tint="-0.499984740745262"/>
      </colorScale>
    </cfRule>
  </conditionalFormatting>
  <conditionalFormatting sqref="B84:V84 X84">
    <cfRule type="colorScale" priority="66">
      <colorScale>
        <cfvo type="min"/>
        <cfvo type="max"/>
        <color theme="6" tint="0.79998168889431442"/>
        <color theme="6" tint="-0.499984740745262"/>
      </colorScale>
    </cfRule>
    <cfRule type="top10" dxfId="170" priority="4067" percent="1" bottom="1" rank="49"/>
    <cfRule type="top10" dxfId="169" priority="4068" percent="1" rank="50"/>
    <cfRule type="colorScale" priority="4069">
      <colorScale>
        <cfvo type="min"/>
        <cfvo type="max"/>
        <color theme="6" tint="0.79998168889431442"/>
        <color theme="6" tint="-0.499984740745262"/>
      </colorScale>
    </cfRule>
  </conditionalFormatting>
  <conditionalFormatting sqref="B95:V95 X95">
    <cfRule type="colorScale" priority="4077">
      <colorScale>
        <cfvo type="min"/>
        <cfvo type="max"/>
        <color rgb="FFFFFFAF"/>
        <color rgb="FFFF9900"/>
      </colorScale>
    </cfRule>
  </conditionalFormatting>
  <conditionalFormatting sqref="B98:V98 X98">
    <cfRule type="colorScale" priority="4083">
      <colorScale>
        <cfvo type="min"/>
        <cfvo type="max"/>
        <color rgb="FFFFFF00"/>
        <color rgb="FFFF9900"/>
      </colorScale>
    </cfRule>
  </conditionalFormatting>
  <conditionalFormatting sqref="B109:V109 X109">
    <cfRule type="top10" dxfId="168" priority="4091" percent="1" bottom="1" rank="49"/>
    <cfRule type="top10" dxfId="167" priority="4092" percent="1" rank="50"/>
    <cfRule type="colorScale" priority="4093">
      <colorScale>
        <cfvo type="min"/>
        <cfvo type="max"/>
        <color theme="5" tint="0.79998168889431442"/>
        <color theme="4" tint="-0.499984740745262"/>
      </colorScale>
    </cfRule>
  </conditionalFormatting>
  <conditionalFormatting sqref="B123:V123 X123">
    <cfRule type="top10" dxfId="166" priority="4117" percent="1" bottom="1" rank="49"/>
    <cfRule type="top10" dxfId="165" priority="4118" percent="1" rank="50"/>
    <cfRule type="colorScale" priority="4119">
      <colorScale>
        <cfvo type="min"/>
        <cfvo type="max"/>
        <color rgb="FFFFFFAF"/>
        <color theme="6" tint="-0.499984740745262"/>
      </colorScale>
    </cfRule>
  </conditionalFormatting>
  <conditionalFormatting sqref="B137:V137 X137">
    <cfRule type="top10" dxfId="164" priority="4141" percent="1" bottom="1" rank="49"/>
    <cfRule type="top10" dxfId="163"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40:V140 X140">
    <cfRule type="top10" dxfId="162" priority="51" percent="1" bottom="1" rank="49"/>
    <cfRule type="top10" dxfId="161" priority="52" percent="1" rank="50"/>
    <cfRule type="colorScale" priority="53">
      <colorScale>
        <cfvo type="min"/>
        <cfvo type="percentile" val="50"/>
        <cfvo type="max"/>
        <color theme="4" tint="0.39997558519241921"/>
        <color theme="5" tint="0.39997558519241921"/>
        <color theme="8" tint="0.39997558519241921"/>
      </colorScale>
    </cfRule>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65:V165 X165">
    <cfRule type="top10" dxfId="160" priority="4177" percent="1" bottom="1" rank="49"/>
    <cfRule type="top10" dxfId="159" priority="4178" percent="1" rank="50"/>
    <cfRule type="colorScale" priority="4179">
      <colorScale>
        <cfvo type="min"/>
        <cfvo type="max"/>
        <color theme="0"/>
        <color theme="1"/>
      </colorScale>
    </cfRule>
  </conditionalFormatting>
  <conditionalFormatting sqref="B168:V168 X168">
    <cfRule type="top10" dxfId="158" priority="4189" percent="1" bottom="1" rank="49"/>
    <cfRule type="top10" dxfId="157" priority="4190" percent="1" rank="50"/>
    <cfRule type="colorScale" priority="4191">
      <colorScale>
        <cfvo type="min"/>
        <cfvo type="max"/>
        <color theme="0"/>
        <color theme="1"/>
      </colorScale>
    </cfRule>
  </conditionalFormatting>
  <conditionalFormatting sqref="B181:V181">
    <cfRule type="colorScale" priority="5246">
      <colorScale>
        <cfvo type="min"/>
        <cfvo type="percentile" val="50"/>
        <cfvo type="max"/>
        <color rgb="FFF8696B"/>
        <color rgb="FFFFEB84"/>
        <color rgb="FF63BE7B"/>
      </colorScale>
    </cfRule>
  </conditionalFormatting>
  <conditionalFormatting sqref="C180">
    <cfRule type="top10" dxfId="156" priority="464" rank="5"/>
  </conditionalFormatting>
  <conditionalFormatting sqref="D180">
    <cfRule type="colorScale" priority="459">
      <colorScale>
        <cfvo type="min"/>
        <cfvo type="percentile" val="50"/>
        <cfvo type="max"/>
        <color rgb="FFF8696B"/>
        <color rgb="FFFFEB84"/>
        <color rgb="FF63BE7B"/>
      </colorScale>
    </cfRule>
    <cfRule type="top10" dxfId="155" priority="462" rank="5"/>
    <cfRule type="top10" dxfId="154" priority="463"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53" priority="106" operator="lessThan">
      <formula>0</formula>
    </cfRule>
  </conditionalFormatting>
  <conditionalFormatting sqref="U180:V180">
    <cfRule type="colorScale" priority="5247">
      <colorScale>
        <cfvo type="min"/>
        <cfvo type="percentile" val="50"/>
        <cfvo type="max"/>
        <color rgb="FFF8696B"/>
        <color rgb="FFFFEB84"/>
        <color rgb="FF63BE7B"/>
      </colorScale>
    </cfRule>
  </conditionalFormatting>
  <conditionalFormatting sqref="V15:W15">
    <cfRule type="top10" dxfId="152" priority="5341" rank="1"/>
    <cfRule type="colorScale" priority="5342">
      <colorScale>
        <cfvo type="min"/>
        <cfvo type="max"/>
        <color theme="0" tint="-0.14999847407452621"/>
        <color theme="2" tint="-0.749992370372631"/>
      </colorScale>
    </cfRule>
  </conditionalFormatting>
  <conditionalFormatting sqref="V43:W43">
    <cfRule type="top10" dxfId="151" priority="5345" percent="1" bottom="1" rank="49"/>
    <cfRule type="top10" dxfId="150" priority="5346" percent="1" rank="50"/>
    <cfRule type="colorScale" priority="5347">
      <colorScale>
        <cfvo type="min"/>
        <cfvo type="max"/>
        <color theme="5" tint="0.79998168889431442"/>
        <color theme="5" tint="-0.499984740745262"/>
      </colorScale>
    </cfRule>
  </conditionalFormatting>
  <conditionalFormatting sqref="V57:W57">
    <cfRule type="top10" dxfId="149" priority="5351" percent="1" bottom="1" rank="49"/>
    <cfRule type="top10" dxfId="148" priority="5352" percent="1" rank="50"/>
    <cfRule type="colorScale" priority="5353">
      <colorScale>
        <cfvo type="min"/>
        <cfvo type="max"/>
        <color theme="4" tint="0.79998168889431442"/>
        <color theme="4" tint="-0.499984740745262"/>
      </colorScale>
    </cfRule>
  </conditionalFormatting>
  <conditionalFormatting sqref="V71:W71">
    <cfRule type="top10" dxfId="147" priority="5357" percent="1" bottom="1" rank="10"/>
    <cfRule type="top10" dxfId="146" priority="5358" percent="1" rank="10"/>
    <cfRule type="colorScale" priority="5359">
      <colorScale>
        <cfvo type="min"/>
        <cfvo type="max"/>
        <color theme="5" tint="0.79998168889431442"/>
        <color rgb="FFC00000"/>
      </colorScale>
    </cfRule>
  </conditionalFormatting>
  <conditionalFormatting sqref="V85:W85">
    <cfRule type="colorScale" priority="5363">
      <colorScale>
        <cfvo type="min"/>
        <cfvo type="max"/>
        <color theme="6" tint="0.79998168889431442"/>
        <color theme="6" tint="-0.499984740745262"/>
      </colorScale>
    </cfRule>
    <cfRule type="top10" dxfId="145" priority="5364" percent="1" bottom="1" rank="10"/>
    <cfRule type="top10" dxfId="144" priority="5365" percent="1" rank="10"/>
  </conditionalFormatting>
  <conditionalFormatting sqref="V99:W99">
    <cfRule type="colorScale" priority="5369">
      <colorScale>
        <cfvo type="min"/>
        <cfvo type="max"/>
        <color rgb="FFFFFF00"/>
        <color rgb="FFFF9900"/>
      </colorScale>
    </cfRule>
    <cfRule type="top10" dxfId="143" priority="5370" percent="1" rank="100"/>
  </conditionalFormatting>
  <conditionalFormatting sqref="V113:W113">
    <cfRule type="top10" dxfId="142" priority="5373" percent="1" bottom="1" rank="49"/>
    <cfRule type="top10" dxfId="141" priority="5374" percent="1" rank="50"/>
    <cfRule type="colorScale" priority="5375">
      <colorScale>
        <cfvo type="min"/>
        <cfvo type="max"/>
        <color theme="5" tint="0.79998168889431442"/>
        <color theme="4" tint="-0.499984740745262"/>
      </colorScale>
    </cfRule>
  </conditionalFormatting>
  <conditionalFormatting sqref="V127:W127">
    <cfRule type="top10" dxfId="140" priority="5379" percent="1" bottom="1" rank="49"/>
    <cfRule type="top10" dxfId="139" priority="5380" percent="1" rank="50"/>
    <cfRule type="colorScale" priority="5381">
      <colorScale>
        <cfvo type="min"/>
        <cfvo type="max"/>
        <color rgb="FFFFFFAF"/>
        <color theme="6" tint="-0.499984740745262"/>
      </colorScale>
    </cfRule>
  </conditionalFormatting>
  <conditionalFormatting sqref="V141:W141">
    <cfRule type="top10" dxfId="138" priority="5385" percent="1" bottom="1" rank="49"/>
    <cfRule type="top10" dxfId="137" priority="5386" percent="1" rank="50"/>
    <cfRule type="colorScale" priority="5387">
      <colorScale>
        <cfvo type="min"/>
        <cfvo type="percentile" val="50"/>
        <cfvo type="max"/>
        <color theme="4" tint="0.39997558519241921"/>
        <color theme="5" tint="0.39997558519241921"/>
        <color theme="8" tint="0.39997558519241921"/>
      </colorScale>
    </cfRule>
  </conditionalFormatting>
  <conditionalFormatting sqref="V155:W155">
    <cfRule type="top10" dxfId="136" priority="5391" percent="1" rank="100"/>
    <cfRule type="colorScale" priority="5392">
      <colorScale>
        <cfvo type="min"/>
        <cfvo type="percentile" val="50"/>
        <cfvo type="max"/>
        <color rgb="FFFF0000"/>
        <color theme="7" tint="-0.499984740745262"/>
        <color theme="6" tint="0.39997558519241921"/>
      </colorScale>
    </cfRule>
  </conditionalFormatting>
  <conditionalFormatting sqref="V169:W169">
    <cfRule type="top10" dxfId="135" priority="5395" percent="1" bottom="1" rank="49"/>
    <cfRule type="top10" dxfId="134" priority="5396" percent="1" rank="50"/>
    <cfRule type="colorScale" priority="5397">
      <colorScale>
        <cfvo type="min"/>
        <cfvo type="max"/>
        <color theme="0"/>
        <color theme="1"/>
      </colorScale>
    </cfRule>
  </conditionalFormatting>
  <conditionalFormatting sqref="W3">
    <cfRule type="top10" dxfId="133" priority="4970" rank="1"/>
  </conditionalFormatting>
  <conditionalFormatting sqref="W4:W10">
    <cfRule type="colorScale" priority="4975">
      <colorScale>
        <cfvo type="min"/>
        <cfvo type="max"/>
        <color theme="0"/>
        <color theme="2" tint="-0.749992370372631"/>
      </colorScale>
    </cfRule>
    <cfRule type="top10" dxfId="132" priority="5008" percent="1" rank="50"/>
    <cfRule type="top10" dxfId="131" priority="5009" percent="1" bottom="1" rank="49"/>
  </conditionalFormatting>
  <conditionalFormatting sqref="W18:W24">
    <cfRule type="colorScale" priority="4974">
      <colorScale>
        <cfvo type="min"/>
        <cfvo type="max"/>
        <color theme="8" tint="0.79998168889431442"/>
        <color theme="8" tint="-0.499984740745262"/>
      </colorScale>
    </cfRule>
    <cfRule type="top10" dxfId="130" priority="5003" percent="1" rank="50"/>
    <cfRule type="top10" dxfId="129" priority="5007" percent="1" bottom="1" rank="49"/>
  </conditionalFormatting>
  <conditionalFormatting sqref="W32:W38 W46:W52 W60:W66 W74:W80 W88:W94 W102:W108 W116:W122 W130:W136 W144:W150 W158:W164 W4:W10 W18:W24">
    <cfRule type="top10" dxfId="128" priority="43" rank="1"/>
    <cfRule type="top10" dxfId="127" priority="4985" rank="10"/>
  </conditionalFormatting>
  <conditionalFormatting sqref="W32:W38">
    <cfRule type="colorScale" priority="4976">
      <colorScale>
        <cfvo type="min"/>
        <cfvo type="max"/>
        <color theme="5" tint="0.79998168889431442"/>
        <color theme="5" tint="-0.499984740745262"/>
      </colorScale>
    </cfRule>
    <cfRule type="top10" dxfId="126" priority="4989" percent="1" rank="50"/>
    <cfRule type="top10" dxfId="125" priority="5001" percent="1" bottom="1" rank="49"/>
  </conditionalFormatting>
  <conditionalFormatting sqref="W46:W52">
    <cfRule type="colorScale" priority="4977">
      <colorScale>
        <cfvo type="min"/>
        <cfvo type="max"/>
        <color theme="4" tint="0.79998168889431442"/>
        <color theme="3" tint="9.9978637043366805E-2"/>
      </colorScale>
    </cfRule>
    <cfRule type="top10" dxfId="124" priority="4987" percent="1" rank="50"/>
    <cfRule type="top10" dxfId="123" priority="4988" percent="1" bottom="1" rank="49"/>
  </conditionalFormatting>
  <conditionalFormatting sqref="W60:W66">
    <cfRule type="colorScale" priority="4978">
      <colorScale>
        <cfvo type="min"/>
        <cfvo type="max"/>
        <color theme="5" tint="0.79998168889431442"/>
        <color rgb="FFC00000"/>
      </colorScale>
    </cfRule>
    <cfRule type="top10" dxfId="122" priority="5004" percent="1" rank="50"/>
    <cfRule type="top10" dxfId="121" priority="5006" percent="1" bottom="1" rank="49"/>
  </conditionalFormatting>
  <conditionalFormatting sqref="W74:W80">
    <cfRule type="colorScale" priority="4979">
      <colorScale>
        <cfvo type="min"/>
        <cfvo type="max"/>
        <color theme="6" tint="0.79998168889431442"/>
        <color theme="6" tint="-0.499984740745262"/>
      </colorScale>
    </cfRule>
    <cfRule type="top10" dxfId="120" priority="4990" percent="1" rank="50"/>
    <cfRule type="top10" dxfId="119" priority="4991" percent="1" bottom="1" rank="49"/>
  </conditionalFormatting>
  <conditionalFormatting sqref="W88:W94">
    <cfRule type="colorScale" priority="4973">
      <colorScale>
        <cfvo type="min"/>
        <cfvo type="max"/>
        <color rgb="FFFFFF00"/>
        <color rgb="FFFF9900"/>
      </colorScale>
    </cfRule>
    <cfRule type="top10" dxfId="118" priority="4993" percent="1" rank="50"/>
    <cfRule type="top10" dxfId="117" priority="4994" percent="1" bottom="1" rank="49"/>
  </conditionalFormatting>
  <conditionalFormatting sqref="W102:W108">
    <cfRule type="colorScale" priority="4980">
      <colorScale>
        <cfvo type="min"/>
        <cfvo type="max"/>
        <color theme="5" tint="0.79998168889431442"/>
        <color theme="4" tint="-0.499984740745262"/>
      </colorScale>
    </cfRule>
    <cfRule type="top10" dxfId="116" priority="4995" percent="1" bottom="1" rank="49"/>
    <cfRule type="top10" dxfId="115" priority="4996" percent="1" rank="50"/>
  </conditionalFormatting>
  <conditionalFormatting sqref="W116:W122">
    <cfRule type="colorScale" priority="4982">
      <colorScale>
        <cfvo type="min"/>
        <cfvo type="max"/>
        <color rgb="FFFFFFAF"/>
        <color theme="6" tint="-0.499984740745262"/>
      </colorScale>
    </cfRule>
    <cfRule type="top10" dxfId="114" priority="4997" percent="1" rank="50"/>
    <cfRule type="top10" dxfId="113"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112" priority="4999" percent="1" bottom="1" rank="49"/>
    <cfRule type="top10" dxfId="111"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110" priority="5002" percent="1" rank="100"/>
  </conditionalFormatting>
  <conditionalFormatting sqref="W158:W164 W144:W150 W130:W136 W116:W122 W88:W94 W74:W80 W60:W66 W32:W38 W46:W52 W102:W108 W4:W10 W18:W24">
    <cfRule type="top10" dxfId="109" priority="44" rank="3"/>
    <cfRule type="top10" dxfId="108" priority="4971" bottom="1" rank="1"/>
    <cfRule type="top10" dxfId="107" priority="4972" bottom="1" rank="3"/>
    <cfRule type="top10" dxfId="106" priority="4986" bottom="1" rank="10"/>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105" priority="5100" percent="1" bottom="1" rank="49"/>
    <cfRule type="top10" dxfId="104" priority="5101" percent="1" rank="50"/>
  </conditionalFormatting>
  <conditionalFormatting sqref="W165 W151 W137 W123 W95 W81 W67 W69 W11 W25 W39 W53 W109">
    <cfRule type="top10" dxfId="103" priority="5102" bottom="1" rank="1"/>
    <cfRule type="top10" dxfId="102" priority="5103" rank="1"/>
    <cfRule type="top10" dxfId="101" priority="5104" rank="3"/>
  </conditionalFormatting>
  <conditionalFormatting sqref="W82:Y83 W12:Y13 W26:Y27 W40:Y41 W54:Y55 W68:Y69 W96:Y97 W110:Y111 W124:Y125 W138:Y139 W152:Y153 W166:Y167">
    <cfRule type="cellIs" dxfId="100" priority="295" operator="lessThan">
      <formula>0</formula>
    </cfRule>
    <cfRule type="cellIs" dxfId="99" priority="296" operator="greaterThan">
      <formula>0</formula>
    </cfRule>
  </conditionalFormatting>
  <conditionalFormatting sqref="X4:X10 B4:V10">
    <cfRule type="top10" dxfId="98" priority="3923" percent="1" bottom="1" rank="49"/>
    <cfRule type="top10" dxfId="97" priority="3924" percent="1" rank="50"/>
    <cfRule type="colorScale" priority="3925">
      <colorScale>
        <cfvo type="min"/>
        <cfvo type="max"/>
        <color theme="0" tint="-4.9989318521683403E-2"/>
        <color theme="1" tint="0.249977111117893"/>
      </colorScale>
    </cfRule>
  </conditionalFormatting>
  <conditionalFormatting sqref="X4:X10 V4:V10 X18:X24 B32:V38 X32:X38 B46:V52 X46:X52 B60:V66 X60:X66 B74:V80 X74:X80 B88:V94 X88:X94 B102:V108 X102:X108 B116:V122 X116:X122 B130:V136 X130:X136 B144:V150 X144:X150 B158:V164 X158:X164 B18:V24">
    <cfRule type="top10" dxfId="5" priority="1918" rank="1"/>
    <cfRule type="top10" dxfId="4" priority="1919" rank="3"/>
    <cfRule type="top10" dxfId="3" priority="1920" bottom="1" rank="1"/>
    <cfRule type="top10" dxfId="2" priority="1921" bottom="1" rank="3"/>
  </conditionalFormatting>
  <conditionalFormatting sqref="X4:X10 V4:V10">
    <cfRule type="top10" dxfId="96" priority="1233" percent="1" rank="50"/>
  </conditionalFormatting>
  <conditionalFormatting sqref="X12:X13 B12:V13">
    <cfRule type="top10" dxfId="95" priority="3935" percent="1" bottom="1" rank="49"/>
    <cfRule type="top10" dxfId="94" priority="3936" percent="1" rank="50"/>
    <cfRule type="colorScale" priority="3937">
      <colorScale>
        <cfvo type="min"/>
        <cfvo type="max"/>
        <color theme="0" tint="-4.9989318521683403E-2"/>
        <color theme="2" tint="-0.749992370372631"/>
      </colorScale>
    </cfRule>
  </conditionalFormatting>
  <conditionalFormatting sqref="X18:X24 B18:V24">
    <cfRule type="top10" dxfId="1" priority="3947" percent="1" rank="50"/>
    <cfRule type="top10" dxfId="0" priority="3948" percent="1" bottom="1" rank="49"/>
    <cfRule type="colorScale" priority="3949">
      <colorScale>
        <cfvo type="min"/>
        <cfvo type="max"/>
        <color theme="8" tint="0.79998168889431442"/>
        <color theme="8" tint="-0.499984740745262"/>
      </colorScale>
    </cfRule>
  </conditionalFormatting>
  <conditionalFormatting sqref="X26:X27 B26:V27">
    <cfRule type="top10" dxfId="93" priority="3959" percent="1" bottom="1" rank="49"/>
    <cfRule type="top10" dxfId="92" priority="3960" percent="1" rank="50"/>
    <cfRule type="colorScale" priority="3961">
      <colorScale>
        <cfvo type="min"/>
        <cfvo type="max"/>
        <color theme="8" tint="0.79998168889431442"/>
        <color theme="8" tint="-0.499984740745262"/>
      </colorScale>
    </cfRule>
  </conditionalFormatting>
  <conditionalFormatting sqref="X32:X38 B32:V38">
    <cfRule type="top10" dxfId="91"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X40:X41 B40:V41">
    <cfRule type="top10" dxfId="90" priority="3983" percent="1" bottom="1" rank="49"/>
    <cfRule type="top10" dxfId="89" priority="3984" percent="1" rank="50"/>
    <cfRule type="colorScale" priority="3985">
      <colorScale>
        <cfvo type="min"/>
        <cfvo type="max"/>
        <color theme="5" tint="0.79998168889431442"/>
        <color theme="5" tint="-0.499984740745262"/>
      </colorScale>
    </cfRule>
  </conditionalFormatting>
  <conditionalFormatting sqref="X46:X52 B46:V52">
    <cfRule type="colorScale" priority="3995">
      <colorScale>
        <cfvo type="min"/>
        <cfvo type="max"/>
        <color theme="3" tint="0.89999084444715716"/>
        <color theme="3" tint="9.9978637043366805E-2"/>
      </colorScale>
    </cfRule>
    <cfRule type="top10" dxfId="88" priority="3996" percent="1" rank="50"/>
  </conditionalFormatting>
  <conditionalFormatting sqref="X54:X55 B54:V55">
    <cfRule type="top10" dxfId="87" priority="4005" percent="1" bottom="1" rank="49"/>
    <cfRule type="top10" dxfId="86" priority="4006" percent="1" rank="50"/>
    <cfRule type="colorScale" priority="4007">
      <colorScale>
        <cfvo type="min"/>
        <cfvo type="max"/>
        <color theme="4" tint="0.79998168889431442"/>
        <color theme="4" tint="-0.499984740745262"/>
      </colorScale>
    </cfRule>
  </conditionalFormatting>
  <conditionalFormatting sqref="X60:X66 B60:V66">
    <cfRule type="colorScale" priority="4017">
      <colorScale>
        <cfvo type="min"/>
        <cfvo type="max"/>
        <color theme="5" tint="0.79998168889431442"/>
        <color rgb="FFC00000"/>
      </colorScale>
    </cfRule>
    <cfRule type="top10" dxfId="85" priority="4018" percent="1" rank="50"/>
    <cfRule type="top10" dxfId="84" priority="4019" percent="1" bottom="1" rank="50"/>
  </conditionalFormatting>
  <conditionalFormatting sqref="X74:X80 B74:V80">
    <cfRule type="top10" dxfId="83" priority="4047" percent="1" bottom="1" rank="49"/>
    <cfRule type="top10" dxfId="82" priority="4048" percent="1" rank="50"/>
    <cfRule type="colorScale" priority="4049">
      <colorScale>
        <cfvo type="min"/>
        <cfvo type="max"/>
        <color theme="6" tint="0.79998168889431442"/>
        <color theme="6" tint="-0.499984740745262"/>
      </colorScale>
    </cfRule>
  </conditionalFormatting>
  <conditionalFormatting sqref="X82:X83 B82:V83">
    <cfRule type="colorScale" priority="4061">
      <colorScale>
        <cfvo type="min"/>
        <cfvo type="max"/>
        <color theme="6" tint="0.79998168889431442"/>
        <color theme="6" tint="-0.499984740745262"/>
      </colorScale>
    </cfRule>
  </conditionalFormatting>
  <conditionalFormatting sqref="X82:X84 B82:V84">
    <cfRule type="colorScale" priority="4065">
      <colorScale>
        <cfvo type="min"/>
        <cfvo type="percentile" val="50"/>
        <cfvo type="max"/>
        <color rgb="FFF8696B"/>
        <color rgb="FFFFEB84"/>
        <color rgb="FF63BE7B"/>
      </colorScale>
    </cfRule>
  </conditionalFormatting>
  <conditionalFormatting sqref="X83 B83:V83">
    <cfRule type="top10" dxfId="81" priority="63" percent="1" rank="50"/>
    <cfRule type="top10" dxfId="80" priority="64" percent="1" bottom="1" rank="49"/>
  </conditionalFormatting>
  <conditionalFormatting sqref="X88:X94 B88:V94">
    <cfRule type="top10" dxfId="79" priority="4073" percent="1" rank="100"/>
    <cfRule type="colorScale" priority="4074">
      <colorScale>
        <cfvo type="min"/>
        <cfvo type="max"/>
        <color rgb="FFFFFF00"/>
        <color rgb="FFFF9900"/>
      </colorScale>
    </cfRule>
  </conditionalFormatting>
  <conditionalFormatting sqref="X96:X97 B96:V97">
    <cfRule type="colorScale" priority="4079">
      <colorScale>
        <cfvo type="min"/>
        <cfvo type="max"/>
        <color rgb="FFFFFF00"/>
        <color rgb="FFFF9900"/>
      </colorScale>
    </cfRule>
  </conditionalFormatting>
  <conditionalFormatting sqref="X96:X98 B96:V98">
    <cfRule type="top10" dxfId="78" priority="4081" percent="1" rank="100"/>
  </conditionalFormatting>
  <conditionalFormatting sqref="X102:X108 B102:V108">
    <cfRule type="top10" dxfId="77" priority="4085" percent="1" bottom="1" rank="49"/>
    <cfRule type="top10" dxfId="76" priority="4086" percent="1" rank="50"/>
    <cfRule type="colorScale" priority="4087">
      <colorScale>
        <cfvo type="min"/>
        <cfvo type="max"/>
        <color theme="5" tint="0.79998168889431442"/>
        <color theme="4" tint="-0.499984740745262"/>
      </colorScale>
    </cfRule>
  </conditionalFormatting>
  <conditionalFormatting sqref="X110:X111 B110:V111">
    <cfRule type="top10" dxfId="75" priority="4097" percent="1" bottom="1" rank="49"/>
    <cfRule type="top10" dxfId="74" priority="4098" percent="1" rank="50"/>
    <cfRule type="colorScale" priority="4099">
      <colorScale>
        <cfvo type="min"/>
        <cfvo type="max"/>
        <color theme="5" tint="0.79998168889431442"/>
        <color theme="4" tint="-0.499984740745262"/>
      </colorScale>
    </cfRule>
  </conditionalFormatting>
  <conditionalFormatting sqref="X110:X112 B110:V112 Y112">
    <cfRule type="colorScale" priority="4103">
      <colorScale>
        <cfvo type="min"/>
        <cfvo type="percentile" val="50"/>
        <cfvo type="max"/>
        <color rgb="FFF8696B"/>
        <color rgb="FFFFEB84"/>
        <color rgb="FF63BE7B"/>
      </colorScale>
    </cfRule>
  </conditionalFormatting>
  <conditionalFormatting sqref="X116:X122 B116:V122">
    <cfRule type="colorScale" priority="4111">
      <colorScale>
        <cfvo type="min"/>
        <cfvo type="max"/>
        <color rgb="FFFFFFAF"/>
        <color theme="6" tint="-0.499984740745262"/>
      </colorScale>
    </cfRule>
    <cfRule type="top10" dxfId="73" priority="4112" percent="1" bottom="1" rank="49"/>
    <cfRule type="top10" dxfId="72" priority="4113" percent="1" rank="50"/>
  </conditionalFormatting>
  <conditionalFormatting sqref="X124:X125 B124:V125">
    <cfRule type="top10" dxfId="71" priority="4123" percent="1" bottom="1" rank="49"/>
    <cfRule type="top10" dxfId="70" priority="4124" percent="1" rank="50"/>
    <cfRule type="colorScale" priority="4125">
      <colorScale>
        <cfvo type="min"/>
        <cfvo type="max"/>
        <color rgb="FFFFFFAF"/>
        <color theme="6" tint="-0.499984740745262"/>
      </colorScale>
    </cfRule>
  </conditionalFormatting>
  <conditionalFormatting sqref="X130:X136 B130:V136">
    <cfRule type="colorScale" priority="4135">
      <colorScale>
        <cfvo type="min"/>
        <cfvo type="percentile" val="50"/>
        <cfvo type="max"/>
        <color theme="4" tint="0.39997558519241921"/>
        <color theme="5" tint="0.39997558519241921"/>
        <color theme="8" tint="0.39997558519241921"/>
      </colorScale>
    </cfRule>
    <cfRule type="top10" dxfId="69" priority="4136" percent="1" bottom="1" rank="49"/>
    <cfRule type="top10" dxfId="68" priority="4137" percent="1" rank="50"/>
  </conditionalFormatting>
  <conditionalFormatting sqref="X138:X139 B138:V139">
    <cfRule type="top10" dxfId="67" priority="4147" percent="1" bottom="1" rank="49"/>
    <cfRule type="top10" dxfId="66" priority="4148" percent="1" rank="50"/>
    <cfRule type="colorScale" priority="4149">
      <colorScale>
        <cfvo type="min"/>
        <cfvo type="percentile" val="50"/>
        <cfvo type="max"/>
        <color theme="4" tint="0.39997558519241921"/>
        <color theme="5" tint="0.39997558519241921"/>
        <color theme="8" tint="0.39997558519241921"/>
      </colorScale>
    </cfRule>
  </conditionalFormatting>
  <conditionalFormatting sqref="X144:X150 B144:V150">
    <cfRule type="top10" dxfId="65" priority="4159" percent="1" rank="100"/>
    <cfRule type="colorScale" priority="4160">
      <colorScale>
        <cfvo type="min"/>
        <cfvo type="percentile" val="50"/>
        <cfvo type="max"/>
        <color rgb="FFFF0000"/>
        <color theme="7" tint="-0.499984740745262"/>
        <color theme="6" tint="0.39997558519241921"/>
      </colorScale>
    </cfRule>
  </conditionalFormatting>
  <conditionalFormatting sqref="X151:X154 B151:V154">
    <cfRule type="top10" dxfId="64" priority="4165" percent="1" rank="100"/>
  </conditionalFormatting>
  <conditionalFormatting sqref="X152:X153 B152:V153">
    <cfRule type="colorScale" priority="4167">
      <colorScale>
        <cfvo type="min"/>
        <cfvo type="percentile" val="50"/>
        <cfvo type="max"/>
        <color rgb="FFFF0000"/>
        <color theme="7" tint="-0.499984740745262"/>
        <color theme="6" tint="0.39997558519241921"/>
      </colorScale>
    </cfRule>
  </conditionalFormatting>
  <conditionalFormatting sqref="X158:X164 B158:V164">
    <cfRule type="top10" dxfId="63" priority="4171" percent="1" bottom="1" rank="49"/>
    <cfRule type="top10" dxfId="62" priority="4172" percent="1" rank="50"/>
    <cfRule type="colorScale" priority="4173">
      <colorScale>
        <cfvo type="min"/>
        <cfvo type="max"/>
        <color theme="0"/>
        <color theme="1"/>
      </colorScale>
    </cfRule>
  </conditionalFormatting>
  <conditionalFormatting sqref="X166:X167 B166:V167">
    <cfRule type="top10" dxfId="61" priority="4183" percent="1" bottom="1" rank="49"/>
    <cfRule type="top10" dxfId="60" priority="4184" percent="1" rank="50"/>
    <cfRule type="colorScale" priority="4185">
      <colorScale>
        <cfvo type="min"/>
        <cfvo type="max"/>
        <color theme="0"/>
        <color theme="1"/>
      </colorScale>
    </cfRule>
  </conditionalFormatting>
  <conditionalFormatting sqref="X27:Y28 B26:B28 C27:V28">
    <cfRule type="cellIs" dxfId="59" priority="675" operator="greaterThan">
      <formula>"""ratio"""</formula>
    </cfRule>
  </conditionalFormatting>
  <conditionalFormatting sqref="X112:Y112 B112:V112">
    <cfRule type="top10" dxfId="58" priority="4105" percent="1" bottom="1" rank="49"/>
    <cfRule type="top10" dxfId="57" priority="4106" percent="1" rank="50"/>
    <cfRule type="colorScale" priority="4107">
      <colorScale>
        <cfvo type="min"/>
        <cfvo type="max"/>
        <color theme="5" tint="0.79998168889431442"/>
        <color theme="4" tint="-0.499984740745262"/>
      </colorScale>
    </cfRule>
  </conditionalFormatting>
  <conditionalFormatting sqref="X126:Y126 B126:V126">
    <cfRule type="top10" dxfId="56" priority="4129" percent="1" bottom="1" rank="49"/>
    <cfRule type="top10" dxfId="55" priority="4130" percent="1" rank="50"/>
    <cfRule type="colorScale" priority="4131">
      <colorScale>
        <cfvo type="min"/>
        <cfvo type="max"/>
        <color rgb="FFFFFFAF"/>
        <color theme="6" tint="-0.499984740745262"/>
      </colorScale>
    </cfRule>
  </conditionalFormatting>
  <conditionalFormatting sqref="Y4:Y10 Y18:Y24 Y32:Y38 Y46:Y52 Y60:Y66 Y74:Y80 Y88:Y94 Y102:Y108 Y116:Y122 Y130:Y136 Y144:Y150 Y158:Y164">
    <cfRule type="iconSet" priority="1">
      <iconSet iconSet="4Arrows">
        <cfvo type="percent" val="0"/>
        <cfvo type="percent" val="25"/>
        <cfvo type="percent" val="50"/>
        <cfvo type="percent" val="75"/>
      </iconSet>
    </cfRule>
    <cfRule type="top10" dxfId="54" priority="2" rank="1"/>
    <cfRule type="top10" dxfId="53" priority="3" rank="3"/>
    <cfRule type="top10" dxfId="52" priority="4" bottom="1" rank="1"/>
    <cfRule type="top10" dxfId="51" priority="5" bottom="1" rank="3"/>
    <cfRule type="top10" dxfId="50" priority="18" rank="10"/>
    <cfRule type="top10" dxfId="49" priority="19" bottom="1" rank="10"/>
  </conditionalFormatting>
  <conditionalFormatting sqref="Y4:Y10">
    <cfRule type="colorScale" priority="12">
      <colorScale>
        <cfvo type="min"/>
        <cfvo type="max"/>
        <color theme="0"/>
        <color theme="2" tint="-0.749992370372631"/>
      </colorScale>
    </cfRule>
    <cfRule type="top10" dxfId="48" priority="41" percent="1" rank="50"/>
    <cfRule type="top10" dxfId="47" priority="42" percent="1" bottom="1" rank="49"/>
  </conditionalFormatting>
  <conditionalFormatting sqref="Y18:Y24">
    <cfRule type="colorScale" priority="15">
      <colorScale>
        <cfvo type="min"/>
        <cfvo type="max"/>
        <color theme="8" tint="0.79998168889431442"/>
        <color theme="8" tint="-0.499984740745262"/>
      </colorScale>
    </cfRule>
    <cfRule type="top10" dxfId="46" priority="39" percent="1" bottom="1" rank="49"/>
    <cfRule type="top10" dxfId="45" priority="40" percent="1" rank="50"/>
  </conditionalFormatting>
  <conditionalFormatting sqref="Y32:Y38">
    <cfRule type="colorScale" priority="16">
      <colorScale>
        <cfvo type="min"/>
        <cfvo type="max"/>
        <color theme="5" tint="0.79998168889431442"/>
        <color theme="5" tint="-0.499984740745262"/>
      </colorScale>
    </cfRule>
    <cfRule type="top10" dxfId="44" priority="37" percent="1" rank="50"/>
    <cfRule type="top10" dxfId="43" priority="38" percent="1" bottom="1" rank="49"/>
  </conditionalFormatting>
  <conditionalFormatting sqref="Y46:Y52">
    <cfRule type="colorScale" priority="17">
      <colorScale>
        <cfvo type="min"/>
        <cfvo type="max"/>
        <color theme="4" tint="0.79998168889431442"/>
        <color theme="3" tint="9.9978637043366805E-2"/>
      </colorScale>
    </cfRule>
    <cfRule type="top10" dxfId="42" priority="35" percent="1" rank="50"/>
    <cfRule type="top10" dxfId="41" priority="36" percent="1" bottom="1" rank="49"/>
  </conditionalFormatting>
  <conditionalFormatting sqref="Y60:Y66">
    <cfRule type="colorScale" priority="14">
      <colorScale>
        <cfvo type="min"/>
        <cfvo type="max"/>
        <color theme="5" tint="0.79998168889431442"/>
        <color rgb="FFC00000"/>
      </colorScale>
    </cfRule>
    <cfRule type="top10" dxfId="40" priority="26" percent="1" bottom="1" rank="49"/>
    <cfRule type="top10" dxfId="39" priority="34" percent="1" rank="50"/>
  </conditionalFormatting>
  <conditionalFormatting sqref="Y74:Y80">
    <cfRule type="colorScale" priority="13">
      <colorScale>
        <cfvo type="min"/>
        <cfvo type="max"/>
        <color theme="6" tint="0.79998168889431442"/>
        <color theme="6" tint="-0.499984740745262"/>
      </colorScale>
    </cfRule>
    <cfRule type="top10" dxfId="38" priority="25" percent="1" rank="50"/>
    <cfRule type="top10" dxfId="37" priority="33" percent="1" bottom="1" rank="49"/>
  </conditionalFormatting>
  <conditionalFormatting sqref="Y88:Y94">
    <cfRule type="colorScale" priority="11">
      <colorScale>
        <cfvo type="min"/>
        <cfvo type="max"/>
        <color rgb="FFFFFF00"/>
        <color rgb="FFFF9900"/>
      </colorScale>
    </cfRule>
    <cfRule type="top10" dxfId="36" priority="24" percent="1" rank="50"/>
    <cfRule type="top10" dxfId="35" priority="32" percent="1" bottom="1" rank="49"/>
  </conditionalFormatting>
  <conditionalFormatting sqref="Y102:Y108">
    <cfRule type="colorScale" priority="10">
      <colorScale>
        <cfvo type="min"/>
        <cfvo type="max"/>
        <color theme="5" tint="0.79998168889431442"/>
        <color theme="4" tint="-0.499984740745262"/>
      </colorScale>
    </cfRule>
    <cfRule type="top10" dxfId="34" priority="21" percent="1" bottom="1" rank="49"/>
    <cfRule type="top10" dxfId="33" priority="31" percent="1" rank="50"/>
  </conditionalFormatting>
  <conditionalFormatting sqref="Y116:Y122">
    <cfRule type="colorScale" priority="9">
      <colorScale>
        <cfvo type="min"/>
        <cfvo type="max"/>
        <color rgb="FFFFFFAF"/>
        <color theme="6" tint="-0.499984740745262"/>
      </colorScale>
    </cfRule>
    <cfRule type="top10" dxfId="32" priority="23" percent="1" bottom="1" rank="49"/>
    <cfRule type="top10" dxfId="31" priority="30" percent="1" rank="50"/>
  </conditionalFormatting>
  <conditionalFormatting sqref="Y130:Y136">
    <cfRule type="colorScale" priority="8">
      <colorScale>
        <cfvo type="min"/>
        <cfvo type="percentile" val="50"/>
        <cfvo type="max"/>
        <color theme="4" tint="0.39997558519241921"/>
        <color theme="5" tint="0.39997558519241921"/>
        <color theme="8" tint="0.39997558519241921"/>
      </colorScale>
    </cfRule>
    <cfRule type="top10" dxfId="30" priority="22" percent="1" bottom="1" rank="49"/>
    <cfRule type="top10" dxfId="29"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8" priority="28" percent="1" rank="100"/>
  </conditionalFormatting>
  <conditionalFormatting sqref="Y158:Y164">
    <cfRule type="colorScale" priority="6">
      <colorScale>
        <cfvo type="min"/>
        <cfvo type="max"/>
        <color theme="0"/>
        <color theme="1"/>
      </colorScale>
    </cfRule>
    <cfRule type="top10" dxfId="27" priority="20" percent="1" bottom="1" rank="49"/>
    <cfRule type="top10" dxfId="26" priority="27" percent="1" rank="50"/>
  </conditionalFormatting>
  <conditionalFormatting sqref="Z88:Z99">
    <cfRule type="colorScale" priority="196">
      <colorScale>
        <cfvo type="min"/>
        <cfvo type="max"/>
        <color rgb="FFFFFF00"/>
        <color rgb="FFFF9900"/>
      </colorScale>
    </cfRule>
  </conditionalFormatting>
  <conditionalFormatting sqref="AB4:AB10">
    <cfRule type="top10" dxfId="25" priority="288" percent="1" rank="50"/>
    <cfRule type="colorScale" priority="289">
      <colorScale>
        <cfvo type="min"/>
        <cfvo type="max"/>
        <color theme="0" tint="-4.9989318521683403E-2"/>
        <color theme="2" tint="-0.749992370372631"/>
      </colorScale>
    </cfRule>
  </conditionalFormatting>
  <conditionalFormatting sqref="AB18:AB24">
    <cfRule type="top10" dxfId="24" priority="293" percent="1" rank="50"/>
    <cfRule type="colorScale" priority="294">
      <colorScale>
        <cfvo type="min"/>
        <cfvo type="max"/>
        <color theme="8" tint="0.79998168889431442"/>
        <color theme="8" tint="-0.499984740745262"/>
      </colorScale>
    </cfRule>
  </conditionalFormatting>
  <conditionalFormatting sqref="AB32:AB38">
    <cfRule type="top10" dxfId="23" priority="265" percent="1" bottom="1" rank="49"/>
    <cfRule type="top10" dxfId="22" priority="266" percent="1" rank="50"/>
    <cfRule type="colorScale" priority="267">
      <colorScale>
        <cfvo type="min"/>
        <cfvo type="max"/>
        <color theme="5" tint="0.79998168889431442"/>
        <color theme="5" tint="-0.499984740745262"/>
      </colorScale>
    </cfRule>
  </conditionalFormatting>
  <conditionalFormatting sqref="AB46:AB52">
    <cfRule type="top10" dxfId="21" priority="240" percent="1" bottom="1" rank="49"/>
    <cfRule type="top10" dxfId="20" priority="241" percent="1" rank="50"/>
    <cfRule type="colorScale" priority="242">
      <colorScale>
        <cfvo type="min"/>
        <cfvo type="max"/>
        <color theme="4" tint="0.79998168889431442"/>
        <color theme="4" tint="-0.499984740745262"/>
      </colorScale>
    </cfRule>
  </conditionalFormatting>
  <conditionalFormatting sqref="AB60:AB66">
    <cfRule type="top10" dxfId="19" priority="223" percent="1" bottom="1" rank="49"/>
    <cfRule type="top10" dxfId="18" priority="224" percent="1" rank="50"/>
    <cfRule type="colorScale" priority="225">
      <colorScale>
        <cfvo type="min"/>
        <cfvo type="max"/>
        <color theme="5" tint="0.79998168889431442"/>
        <color rgb="FFC00000"/>
      </colorScale>
    </cfRule>
  </conditionalFormatting>
  <conditionalFormatting sqref="AB74:AB80">
    <cfRule type="top10" dxfId="17" priority="201" percent="1" bottom="1" rank="49"/>
    <cfRule type="top10" dxfId="16" priority="202" percent="1" rank="50"/>
    <cfRule type="colorScale" priority="203">
      <colorScale>
        <cfvo type="min"/>
        <cfvo type="max"/>
        <color theme="6" tint="0.79998168889431442"/>
        <color theme="6" tint="-0.499984740745262"/>
      </colorScale>
    </cfRule>
  </conditionalFormatting>
  <conditionalFormatting sqref="AB88:AB94">
    <cfRule type="top10" dxfId="15" priority="184" percent="1" rank="100"/>
    <cfRule type="colorScale" priority="185">
      <colorScale>
        <cfvo type="min"/>
        <cfvo type="max"/>
        <color rgb="FFFFFF00"/>
        <color rgb="FFFF9900"/>
      </colorScale>
    </cfRule>
  </conditionalFormatting>
  <conditionalFormatting sqref="AB102:AB108">
    <cfRule type="top10" dxfId="14" priority="156" percent="1" bottom="1" rank="49"/>
    <cfRule type="top10" dxfId="13" priority="157" percent="1" rank="50"/>
    <cfRule type="colorScale" priority="158">
      <colorScale>
        <cfvo type="min"/>
        <cfvo type="max"/>
        <color theme="5" tint="0.79998168889431442"/>
        <color theme="4" tint="-0.499984740745262"/>
      </colorScale>
    </cfRule>
  </conditionalFormatting>
  <conditionalFormatting sqref="AB116:AB122">
    <cfRule type="top10" dxfId="12" priority="136" percent="1" bottom="1" rank="49"/>
    <cfRule type="top10" dxfId="11" priority="137" percent="1" rank="50"/>
    <cfRule type="colorScale" priority="138">
      <colorScale>
        <cfvo type="min"/>
        <cfvo type="max"/>
        <color rgb="FFFFFFAF"/>
        <color theme="6" tint="-0.499984740745262"/>
      </colorScale>
    </cfRule>
  </conditionalFormatting>
  <conditionalFormatting sqref="AB130:AB136">
    <cfRule type="top10" dxfId="10" priority="117" percent="1" bottom="1" rank="49"/>
    <cfRule type="top10" dxfId="9"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8"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7" priority="87" percent="1" bottom="1" rank="49"/>
    <cfRule type="top10" dxfId="6" priority="95" percent="1" rank="50"/>
    <cfRule type="colorScale" priority="100">
      <colorScale>
        <cfvo type="min"/>
        <cfvo type="max"/>
        <color theme="0"/>
        <color theme="1"/>
      </colorScale>
    </cfRule>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268" zoomScale="70" zoomScaleNormal="70" workbookViewId="0">
      <selection activeCell="AG204" sqref="AG204"/>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43</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80</v>
      </c>
      <c r="H4" s="7"/>
      <c r="I4" s="7"/>
      <c r="J4" s="10" t="s">
        <v>81</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44</v>
      </c>
      <c r="C6" s="7"/>
      <c r="D6" s="7"/>
      <c r="E6" s="7"/>
      <c r="F6" s="7"/>
      <c r="G6" s="6">
        <f>Game!D3</f>
        <v>46027</v>
      </c>
      <c r="H6" s="5" t="s">
        <v>74</v>
      </c>
      <c r="I6" s="5"/>
      <c r="J6" s="6">
        <f>Game!C157</f>
        <v>46110</v>
      </c>
      <c r="K6" s="7"/>
      <c r="L6" s="7"/>
      <c r="M6" s="7"/>
      <c r="N6" s="7"/>
      <c r="O6" s="7"/>
    </row>
    <row r="7" spans="1:15" s="7" customFormat="1" x14ac:dyDescent="0.35">
      <c r="A7" t="s">
        <v>116</v>
      </c>
      <c r="B7" s="177"/>
      <c r="G7" s="6"/>
      <c r="H7" s="5"/>
      <c r="I7" s="5"/>
      <c r="J7" s="6"/>
    </row>
    <row r="8" spans="1:15" s="7" customFormat="1" x14ac:dyDescent="0.35">
      <c r="A8" t="s">
        <v>118</v>
      </c>
      <c r="B8" s="177"/>
      <c r="G8" s="6"/>
      <c r="H8" s="5"/>
      <c r="I8" s="5"/>
      <c r="J8" s="6"/>
    </row>
    <row r="9" spans="1:15" s="7" customFormat="1" x14ac:dyDescent="0.35">
      <c r="A9" t="s">
        <v>118</v>
      </c>
      <c r="B9" s="177"/>
      <c r="G9" s="6"/>
      <c r="H9" s="5"/>
      <c r="I9" s="5"/>
      <c r="J9" s="6"/>
    </row>
    <row r="10" spans="1:15" s="7" customFormat="1" x14ac:dyDescent="0.35">
      <c r="A10" t="s">
        <v>118</v>
      </c>
      <c r="B10" s="177"/>
      <c r="G10" s="6"/>
      <c r="H10" s="5"/>
      <c r="I10" s="5"/>
      <c r="J10" s="6"/>
    </row>
    <row r="11" spans="1:15" s="7" customFormat="1" x14ac:dyDescent="0.35">
      <c r="A11" t="s">
        <v>118</v>
      </c>
      <c r="B11" s="177"/>
      <c r="G11" s="6"/>
      <c r="H11" s="5"/>
      <c r="I11" s="5"/>
      <c r="J11" s="6"/>
    </row>
    <row r="12" spans="1:15" s="7" customFormat="1" x14ac:dyDescent="0.35">
      <c r="A12" t="s">
        <v>118</v>
      </c>
      <c r="B12" s="177"/>
      <c r="G12" s="6"/>
      <c r="H12" s="5"/>
      <c r="I12" s="5"/>
      <c r="J12" s="6"/>
    </row>
    <row r="13" spans="1:15" s="7" customFormat="1" x14ac:dyDescent="0.35">
      <c r="A13" t="s">
        <v>118</v>
      </c>
      <c r="B13" s="177"/>
      <c r="G13" s="6"/>
      <c r="H13" s="5"/>
      <c r="I13" s="5"/>
      <c r="J13" s="6"/>
    </row>
    <row r="14" spans="1:15" s="7" customFormat="1" x14ac:dyDescent="0.35">
      <c r="A14" t="s">
        <v>118</v>
      </c>
      <c r="B14" s="177"/>
      <c r="G14" s="6"/>
      <c r="H14" s="5"/>
      <c r="I14" s="5"/>
      <c r="J14" s="6"/>
    </row>
    <row r="15" spans="1:15" s="7" customFormat="1" x14ac:dyDescent="0.35">
      <c r="A15" t="s">
        <v>118</v>
      </c>
      <c r="B15" s="177"/>
      <c r="G15" s="6"/>
      <c r="H15" s="5"/>
      <c r="I15" s="5"/>
      <c r="J15" s="6"/>
    </row>
    <row r="16" spans="1:15" s="7" customFormat="1" x14ac:dyDescent="0.35">
      <c r="A16" t="s">
        <v>118</v>
      </c>
      <c r="B16" s="177"/>
      <c r="G16" s="6"/>
      <c r="H16" s="5"/>
      <c r="I16" s="5"/>
      <c r="J16" s="6"/>
    </row>
    <row r="17" spans="1:10" s="7" customFormat="1" x14ac:dyDescent="0.35">
      <c r="A17" t="s">
        <v>118</v>
      </c>
      <c r="B17" s="177"/>
      <c r="G17" s="6"/>
      <c r="H17" s="5"/>
      <c r="I17" s="5"/>
      <c r="J17" s="6"/>
    </row>
    <row r="18" spans="1:10" s="7" customFormat="1" x14ac:dyDescent="0.35">
      <c r="A18" t="s">
        <v>118</v>
      </c>
      <c r="B18" s="177"/>
      <c r="G18" s="6"/>
      <c r="H18" s="5"/>
      <c r="I18" s="5"/>
      <c r="J18" s="6"/>
    </row>
    <row r="19" spans="1:10" s="7" customFormat="1" x14ac:dyDescent="0.35">
      <c r="A19" t="s">
        <v>118</v>
      </c>
      <c r="B19" s="177"/>
      <c r="G19" s="6"/>
      <c r="H19" s="5"/>
      <c r="I19" s="5"/>
      <c r="J19" s="6"/>
    </row>
    <row r="20" spans="1:10" s="7" customFormat="1" x14ac:dyDescent="0.35">
      <c r="A20" t="s">
        <v>118</v>
      </c>
      <c r="B20" s="177"/>
      <c r="G20" s="6"/>
      <c r="H20" s="5"/>
      <c r="I20" s="5"/>
      <c r="J20" s="6"/>
    </row>
    <row r="21" spans="1:10" s="7" customFormat="1" x14ac:dyDescent="0.35">
      <c r="A21" t="s">
        <v>118</v>
      </c>
      <c r="B21" s="177"/>
      <c r="G21" s="6"/>
      <c r="H21" s="5"/>
      <c r="I21" s="5"/>
      <c r="J21" s="6"/>
    </row>
    <row r="22" spans="1:10" s="7" customFormat="1" x14ac:dyDescent="0.35">
      <c r="A22" t="s">
        <v>118</v>
      </c>
      <c r="B22" s="177"/>
      <c r="G22" s="6"/>
      <c r="H22" s="5"/>
      <c r="I22" s="5"/>
      <c r="J22" s="6"/>
    </row>
    <row r="23" spans="1:10" s="7" customFormat="1" x14ac:dyDescent="0.35">
      <c r="A23" t="s">
        <v>118</v>
      </c>
      <c r="B23" s="177"/>
      <c r="G23" s="6"/>
      <c r="H23" s="5"/>
      <c r="I23" s="5"/>
      <c r="J23" s="6"/>
    </row>
    <row r="24" spans="1:10" s="7" customFormat="1" x14ac:dyDescent="0.35">
      <c r="A24" t="s">
        <v>118</v>
      </c>
      <c r="B24" s="177"/>
      <c r="G24" s="6"/>
      <c r="H24" s="5"/>
      <c r="I24" s="5"/>
      <c r="J24" s="6"/>
    </row>
    <row r="25" spans="1:10" s="7" customFormat="1" x14ac:dyDescent="0.35">
      <c r="A25" t="s">
        <v>118</v>
      </c>
      <c r="B25" s="177"/>
      <c r="G25" s="6"/>
      <c r="H25" s="5"/>
      <c r="I25" s="5"/>
      <c r="J25" s="6"/>
    </row>
    <row r="26" spans="1:10" s="7" customFormat="1" x14ac:dyDescent="0.35">
      <c r="A26" t="s">
        <v>118</v>
      </c>
      <c r="B26" s="177"/>
      <c r="G26" s="6"/>
      <c r="H26" s="5"/>
      <c r="I26" s="5"/>
      <c r="J26" s="6"/>
    </row>
    <row r="27" spans="1:10" s="7" customFormat="1" x14ac:dyDescent="0.35">
      <c r="A27" t="s">
        <v>118</v>
      </c>
      <c r="B27" s="177"/>
      <c r="G27" s="6"/>
      <c r="H27" s="5"/>
      <c r="I27" s="5"/>
      <c r="J27" s="6"/>
    </row>
    <row r="28" spans="1:10" s="7" customFormat="1" x14ac:dyDescent="0.35">
      <c r="A28" t="s">
        <v>118</v>
      </c>
      <c r="B28" s="177"/>
      <c r="G28" s="6"/>
      <c r="H28" s="5"/>
      <c r="I28" s="5"/>
      <c r="J28" s="6"/>
    </row>
    <row r="29" spans="1:10" s="7" customFormat="1" x14ac:dyDescent="0.35">
      <c r="A29" t="s">
        <v>118</v>
      </c>
      <c r="B29" s="177"/>
      <c r="G29" s="6"/>
      <c r="H29" s="5"/>
      <c r="I29" s="5"/>
      <c r="J29" s="6"/>
    </row>
    <row r="30" spans="1:10" s="7" customFormat="1" x14ac:dyDescent="0.35">
      <c r="A30" t="s">
        <v>118</v>
      </c>
      <c r="B30" s="177"/>
      <c r="G30" s="6"/>
      <c r="H30" s="5"/>
      <c r="I30" s="5"/>
      <c r="J30" s="6"/>
    </row>
    <row r="31" spans="1:10" s="7" customFormat="1" x14ac:dyDescent="0.35">
      <c r="A31" t="s">
        <v>118</v>
      </c>
      <c r="B31" s="177"/>
      <c r="G31" s="6"/>
      <c r="H31" s="5"/>
      <c r="I31" s="5"/>
      <c r="J31" s="6"/>
    </row>
    <row r="32" spans="1:10" s="7" customFormat="1" x14ac:dyDescent="0.35">
      <c r="A32" t="s">
        <v>118</v>
      </c>
      <c r="B32" s="177"/>
      <c r="G32" s="6"/>
      <c r="H32" s="5"/>
      <c r="I32" s="5"/>
      <c r="J32" s="6"/>
    </row>
    <row r="33" spans="1:10" s="7" customFormat="1" x14ac:dyDescent="0.35">
      <c r="A33" t="s">
        <v>118</v>
      </c>
      <c r="B33" s="177"/>
      <c r="G33" s="6"/>
      <c r="H33" s="5"/>
      <c r="I33" s="5"/>
      <c r="J33" s="6"/>
    </row>
    <row r="34" spans="1:10" s="7" customFormat="1" x14ac:dyDescent="0.35">
      <c r="A34" t="s">
        <v>118</v>
      </c>
      <c r="B34" s="177"/>
      <c r="G34" s="6"/>
      <c r="H34" s="5"/>
      <c r="I34" s="5"/>
      <c r="J34" s="6"/>
    </row>
    <row r="35" spans="1:10" s="7" customFormat="1" x14ac:dyDescent="0.35">
      <c r="A35" t="s">
        <v>118</v>
      </c>
      <c r="B35" s="177"/>
      <c r="G35" s="6"/>
      <c r="H35" s="5"/>
      <c r="I35" s="5"/>
      <c r="J35" s="6"/>
    </row>
    <row r="36" spans="1:10" s="7" customFormat="1" x14ac:dyDescent="0.35">
      <c r="A36" t="s">
        <v>118</v>
      </c>
      <c r="B36" s="177"/>
      <c r="G36" s="6"/>
      <c r="H36" s="5"/>
      <c r="I36" s="5"/>
      <c r="J36" s="6"/>
    </row>
    <row r="37" spans="1:10" s="7" customFormat="1" x14ac:dyDescent="0.35">
      <c r="A37" t="s">
        <v>118</v>
      </c>
      <c r="B37" s="177"/>
      <c r="G37" s="6"/>
      <c r="H37" s="5"/>
      <c r="I37" s="5"/>
      <c r="J37" s="6"/>
    </row>
    <row r="38" spans="1:10" s="7" customFormat="1" x14ac:dyDescent="0.35">
      <c r="A38" t="s">
        <v>118</v>
      </c>
      <c r="B38" s="177"/>
      <c r="G38" s="6"/>
      <c r="H38" s="5"/>
      <c r="I38" s="5"/>
      <c r="J38" s="6"/>
    </row>
    <row r="39" spans="1:10" s="7" customFormat="1" x14ac:dyDescent="0.35">
      <c r="A39" t="s">
        <v>118</v>
      </c>
      <c r="B39" s="177"/>
      <c r="G39" s="6"/>
      <c r="H39" s="5"/>
      <c r="I39" s="5"/>
      <c r="J39" s="6"/>
    </row>
    <row r="40" spans="1:10" s="7" customFormat="1" x14ac:dyDescent="0.35">
      <c r="A40" t="s">
        <v>118</v>
      </c>
      <c r="B40" s="177"/>
      <c r="G40" s="6"/>
      <c r="H40" s="5"/>
      <c r="I40" s="5"/>
      <c r="J40" s="6"/>
    </row>
    <row r="41" spans="1:10" s="7" customFormat="1" x14ac:dyDescent="0.35">
      <c r="A41" t="s">
        <v>118</v>
      </c>
      <c r="B41" s="177"/>
      <c r="G41" s="6"/>
      <c r="H41" s="5"/>
      <c r="I41" s="5"/>
      <c r="J41" s="6"/>
    </row>
    <row r="42" spans="1:10" s="7" customFormat="1" x14ac:dyDescent="0.35">
      <c r="A42" t="s">
        <v>118</v>
      </c>
      <c r="B42" s="177"/>
      <c r="G42" s="6"/>
      <c r="H42" s="5"/>
      <c r="I42" s="5"/>
      <c r="J42" s="6"/>
    </row>
    <row r="43" spans="1:10" s="7" customFormat="1" x14ac:dyDescent="0.35">
      <c r="A43" t="s">
        <v>118</v>
      </c>
      <c r="B43" s="177"/>
      <c r="G43" s="6"/>
      <c r="H43" s="5"/>
      <c r="I43" s="5"/>
      <c r="J43" s="6"/>
    </row>
    <row r="44" spans="1:10" s="7" customFormat="1" x14ac:dyDescent="0.35">
      <c r="A44" t="s">
        <v>118</v>
      </c>
      <c r="B44" s="177"/>
      <c r="G44" s="6"/>
      <c r="H44" s="5"/>
      <c r="I44" s="5"/>
      <c r="J44" s="6"/>
    </row>
    <row r="45" spans="1:10" s="7" customFormat="1" x14ac:dyDescent="0.35">
      <c r="A45" t="s">
        <v>118</v>
      </c>
      <c r="B45" s="177"/>
      <c r="G45" s="6"/>
      <c r="H45" s="5"/>
      <c r="I45" s="5"/>
      <c r="J45" s="6"/>
    </row>
    <row r="46" spans="1:10" s="7" customFormat="1" x14ac:dyDescent="0.35">
      <c r="A46" t="s">
        <v>118</v>
      </c>
      <c r="B46" s="177"/>
      <c r="G46" s="6"/>
      <c r="H46" s="5"/>
      <c r="I46" s="5"/>
      <c r="J46" s="6"/>
    </row>
    <row r="47" spans="1:10" s="7" customFormat="1" x14ac:dyDescent="0.35">
      <c r="A47" t="s">
        <v>118</v>
      </c>
      <c r="B47" s="177"/>
      <c r="G47" s="6"/>
      <c r="H47" s="5"/>
      <c r="I47" s="5"/>
      <c r="J47" s="6"/>
    </row>
    <row r="48" spans="1:10" s="7" customFormat="1" x14ac:dyDescent="0.35">
      <c r="A48" t="s">
        <v>118</v>
      </c>
      <c r="B48" s="177"/>
      <c r="G48" s="6"/>
      <c r="H48" s="5"/>
      <c r="I48" s="5"/>
      <c r="J48" s="6"/>
    </row>
    <row r="49" spans="1:10" s="7" customFormat="1" x14ac:dyDescent="0.35">
      <c r="A49" t="s">
        <v>118</v>
      </c>
      <c r="B49" s="177"/>
      <c r="G49" s="6"/>
      <c r="H49" s="5"/>
      <c r="I49" s="5"/>
      <c r="J49" s="6"/>
    </row>
    <row r="50" spans="1:10" s="7" customFormat="1" x14ac:dyDescent="0.35">
      <c r="A50" t="s">
        <v>118</v>
      </c>
      <c r="B50" s="177"/>
      <c r="G50" s="6"/>
      <c r="H50" s="5"/>
      <c r="I50" s="5"/>
      <c r="J50" s="6"/>
    </row>
    <row r="51" spans="1:10" s="7" customFormat="1" x14ac:dyDescent="0.35">
      <c r="A51" t="s">
        <v>118</v>
      </c>
      <c r="B51" s="177"/>
      <c r="G51" s="6"/>
      <c r="H51" s="5"/>
      <c r="I51" s="5"/>
      <c r="J51" s="6"/>
    </row>
    <row r="52" spans="1:10" s="7" customFormat="1" x14ac:dyDescent="0.35">
      <c r="A52" t="s">
        <v>118</v>
      </c>
      <c r="B52" s="177"/>
      <c r="G52" s="6"/>
      <c r="H52" s="5"/>
      <c r="I52" s="5"/>
      <c r="J52" s="6"/>
    </row>
    <row r="53" spans="1:10" s="7" customFormat="1" x14ac:dyDescent="0.35">
      <c r="A53" t="s">
        <v>118</v>
      </c>
      <c r="B53" s="177"/>
      <c r="G53" s="6"/>
      <c r="H53" s="5"/>
      <c r="I53" s="5"/>
      <c r="J53" s="6"/>
    </row>
    <row r="54" spans="1:10" s="7" customFormat="1" x14ac:dyDescent="0.35">
      <c r="A54" t="s">
        <v>118</v>
      </c>
      <c r="B54" s="177"/>
      <c r="G54" s="6"/>
      <c r="H54" s="5"/>
      <c r="I54" s="5"/>
      <c r="J54" s="6"/>
    </row>
    <row r="55" spans="1:10" s="7" customFormat="1" x14ac:dyDescent="0.35">
      <c r="A55" t="s">
        <v>118</v>
      </c>
      <c r="B55" s="177"/>
      <c r="G55" s="6"/>
      <c r="H55" s="5"/>
      <c r="I55" s="5"/>
      <c r="J55" s="6"/>
    </row>
    <row r="56" spans="1:10" s="7" customFormat="1" x14ac:dyDescent="0.35">
      <c r="A56" t="s">
        <v>118</v>
      </c>
      <c r="B56" s="177"/>
      <c r="G56" s="6"/>
      <c r="H56" s="5"/>
      <c r="I56" s="5"/>
      <c r="J56" s="6"/>
    </row>
    <row r="57" spans="1:10" s="7" customFormat="1" x14ac:dyDescent="0.35">
      <c r="A57" t="s">
        <v>118</v>
      </c>
      <c r="B57" s="177"/>
      <c r="G57" s="6"/>
      <c r="H57" s="5"/>
      <c r="I57" s="5"/>
      <c r="J57" s="6"/>
    </row>
    <row r="58" spans="1:10" s="7" customFormat="1" x14ac:dyDescent="0.35">
      <c r="A58" t="s">
        <v>118</v>
      </c>
      <c r="B58" s="177"/>
      <c r="G58" s="6"/>
      <c r="H58" s="5"/>
      <c r="I58" s="5"/>
      <c r="J58" s="6"/>
    </row>
    <row r="59" spans="1:10" s="7" customFormat="1" x14ac:dyDescent="0.35">
      <c r="A59" t="s">
        <v>118</v>
      </c>
      <c r="B59" s="177"/>
      <c r="G59" s="6"/>
      <c r="H59" s="5"/>
      <c r="I59" s="5"/>
      <c r="J59" s="6"/>
    </row>
    <row r="60" spans="1:10" s="7" customFormat="1" x14ac:dyDescent="0.35">
      <c r="A60" t="s">
        <v>118</v>
      </c>
      <c r="B60" s="177"/>
      <c r="G60" s="6"/>
      <c r="H60" s="5"/>
      <c r="I60" s="5"/>
      <c r="J60" s="6"/>
    </row>
    <row r="61" spans="1:10" s="7" customFormat="1" x14ac:dyDescent="0.35">
      <c r="A61" t="s">
        <v>118</v>
      </c>
      <c r="B61" s="177"/>
      <c r="G61" s="6"/>
      <c r="H61" s="5"/>
      <c r="I61" s="5"/>
      <c r="J61" s="6"/>
    </row>
    <row r="62" spans="1:10" s="7" customFormat="1" x14ac:dyDescent="0.35">
      <c r="A62" t="s">
        <v>118</v>
      </c>
      <c r="B62" s="177"/>
      <c r="G62" s="6"/>
      <c r="H62" s="5"/>
      <c r="I62" s="5"/>
      <c r="J62" s="6"/>
    </row>
    <row r="63" spans="1:10" s="7" customFormat="1" x14ac:dyDescent="0.35">
      <c r="A63" t="s">
        <v>118</v>
      </c>
      <c r="B63" s="177"/>
      <c r="G63" s="6"/>
      <c r="H63" s="5"/>
      <c r="I63" s="5"/>
      <c r="J63" s="6"/>
    </row>
    <row r="64" spans="1:10" s="7" customFormat="1" x14ac:dyDescent="0.35">
      <c r="A64" t="s">
        <v>118</v>
      </c>
      <c r="B64" s="177"/>
      <c r="G64" s="6"/>
      <c r="H64" s="5"/>
      <c r="I64" s="5"/>
      <c r="J64" s="6"/>
    </row>
    <row r="65" spans="1:10" s="7" customFormat="1" hidden="1" x14ac:dyDescent="0.35">
      <c r="A65" t="s">
        <v>117</v>
      </c>
      <c r="B65" s="177"/>
      <c r="G65" s="6"/>
      <c r="H65" s="5"/>
      <c r="I65" s="5"/>
      <c r="J65" s="6"/>
    </row>
    <row r="66" spans="1:10" s="7" customFormat="1" hidden="1" x14ac:dyDescent="0.35">
      <c r="A66" t="s">
        <v>117</v>
      </c>
      <c r="B66" s="177"/>
      <c r="G66" s="6"/>
      <c r="H66" s="5"/>
      <c r="I66" s="5"/>
      <c r="J66" s="6"/>
    </row>
    <row r="67" spans="1:10" s="7" customFormat="1" hidden="1" x14ac:dyDescent="0.35">
      <c r="A67" t="s">
        <v>117</v>
      </c>
      <c r="B67" s="177"/>
      <c r="G67" s="6"/>
      <c r="H67" s="5"/>
      <c r="I67" s="5"/>
      <c r="J67" s="6"/>
    </row>
    <row r="68" spans="1:10" s="7" customFormat="1" hidden="1" x14ac:dyDescent="0.35">
      <c r="A68" t="s">
        <v>117</v>
      </c>
      <c r="B68" s="177"/>
      <c r="G68" s="6"/>
      <c r="H68" s="5"/>
      <c r="I68" s="5"/>
      <c r="J68" s="6"/>
    </row>
    <row r="69" spans="1:10" s="7" customFormat="1" hidden="1" x14ac:dyDescent="0.35">
      <c r="A69" t="s">
        <v>117</v>
      </c>
      <c r="B69" s="177"/>
      <c r="G69" s="6"/>
      <c r="H69" s="5"/>
      <c r="I69" s="5"/>
      <c r="J69" s="6"/>
    </row>
    <row r="70" spans="1:10" s="7" customFormat="1" hidden="1" x14ac:dyDescent="0.35">
      <c r="A70" t="s">
        <v>117</v>
      </c>
      <c r="B70" s="177"/>
      <c r="G70" s="6"/>
      <c r="H70" s="5"/>
      <c r="I70" s="5"/>
      <c r="J70" s="6"/>
    </row>
    <row r="71" spans="1:10" s="7" customFormat="1" hidden="1" x14ac:dyDescent="0.35">
      <c r="A71" t="s">
        <v>117</v>
      </c>
      <c r="B71" s="177"/>
      <c r="G71" s="6"/>
      <c r="H71" s="5"/>
      <c r="I71" s="5"/>
      <c r="J71" s="6"/>
    </row>
    <row r="72" spans="1:10" s="7" customFormat="1" hidden="1" x14ac:dyDescent="0.35">
      <c r="A72" t="s">
        <v>117</v>
      </c>
      <c r="B72" s="177"/>
      <c r="G72" s="6"/>
      <c r="H72" s="5"/>
      <c r="I72" s="5"/>
      <c r="J72" s="6"/>
    </row>
    <row r="73" spans="1:10" s="7" customFormat="1" hidden="1" x14ac:dyDescent="0.35">
      <c r="A73" t="s">
        <v>117</v>
      </c>
      <c r="B73" s="177"/>
      <c r="G73" s="6"/>
      <c r="H73" s="5"/>
      <c r="I73" s="5"/>
      <c r="J73" s="6"/>
    </row>
    <row r="74" spans="1:10" s="7" customFormat="1" hidden="1" x14ac:dyDescent="0.35">
      <c r="A74" t="s">
        <v>117</v>
      </c>
      <c r="B74" s="177"/>
      <c r="G74" s="6"/>
      <c r="H74" s="5"/>
      <c r="I74" s="5"/>
      <c r="J74" s="6"/>
    </row>
    <row r="75" spans="1:10" s="7" customFormat="1" hidden="1" x14ac:dyDescent="0.35">
      <c r="A75" t="s">
        <v>117</v>
      </c>
      <c r="B75" s="177"/>
      <c r="G75" s="6"/>
      <c r="H75" s="5"/>
      <c r="I75" s="5"/>
      <c r="J75" s="6"/>
    </row>
    <row r="76" spans="1:10" s="7" customFormat="1" hidden="1" x14ac:dyDescent="0.35">
      <c r="A76" t="s">
        <v>117</v>
      </c>
      <c r="B76" s="177"/>
      <c r="G76" s="6"/>
      <c r="H76" s="5"/>
      <c r="I76" s="5"/>
      <c r="J76" s="6"/>
    </row>
    <row r="77" spans="1:10" s="7" customFormat="1" hidden="1" x14ac:dyDescent="0.35">
      <c r="A77" t="s">
        <v>117</v>
      </c>
      <c r="B77" s="177"/>
      <c r="G77" s="6"/>
      <c r="H77" s="5"/>
      <c r="I77" s="5"/>
      <c r="J77" s="6"/>
    </row>
    <row r="78" spans="1:10" s="7" customFormat="1" hidden="1" x14ac:dyDescent="0.35">
      <c r="A78" t="s">
        <v>117</v>
      </c>
      <c r="B78" s="177"/>
      <c r="G78" s="6"/>
      <c r="H78" s="5"/>
      <c r="I78" s="5"/>
      <c r="J78" s="6"/>
    </row>
    <row r="79" spans="1:10" s="7" customFormat="1" hidden="1" x14ac:dyDescent="0.35">
      <c r="A79" t="s">
        <v>117</v>
      </c>
      <c r="B79" s="177"/>
      <c r="G79" s="6"/>
      <c r="H79" s="5"/>
      <c r="I79" s="5"/>
      <c r="J79" s="6"/>
    </row>
    <row r="80" spans="1:10" s="7" customFormat="1" hidden="1" x14ac:dyDescent="0.35">
      <c r="A80" t="s">
        <v>117</v>
      </c>
      <c r="B80" s="177"/>
      <c r="G80" s="6"/>
      <c r="H80" s="5"/>
      <c r="I80" s="5"/>
      <c r="J80" s="6"/>
    </row>
    <row r="81" spans="1:10" s="7" customFormat="1" hidden="1" x14ac:dyDescent="0.35">
      <c r="A81" t="s">
        <v>117</v>
      </c>
      <c r="B81" s="177"/>
      <c r="G81" s="6"/>
      <c r="H81" s="5"/>
      <c r="I81" s="5"/>
      <c r="J81" s="6"/>
    </row>
    <row r="82" spans="1:10" s="7" customFormat="1" hidden="1" x14ac:dyDescent="0.35">
      <c r="A82" t="s">
        <v>117</v>
      </c>
      <c r="B82" s="177"/>
      <c r="G82" s="6"/>
      <c r="H82" s="5"/>
      <c r="I82" s="5"/>
      <c r="J82" s="6"/>
    </row>
    <row r="83" spans="1:10" s="7" customFormat="1" hidden="1" x14ac:dyDescent="0.35">
      <c r="A83" t="s">
        <v>117</v>
      </c>
      <c r="B83" s="177"/>
      <c r="G83" s="6"/>
      <c r="H83" s="5"/>
      <c r="I83" s="5"/>
      <c r="J83" s="6"/>
    </row>
    <row r="84" spans="1:10" s="7" customFormat="1" hidden="1" x14ac:dyDescent="0.35">
      <c r="A84" t="s">
        <v>117</v>
      </c>
      <c r="B84" s="177"/>
      <c r="G84" s="6"/>
      <c r="H84" s="5"/>
      <c r="I84" s="5"/>
      <c r="J84" s="6"/>
    </row>
    <row r="85" spans="1:10" s="7" customFormat="1" hidden="1" x14ac:dyDescent="0.35">
      <c r="A85" t="s">
        <v>117</v>
      </c>
      <c r="B85" s="177"/>
      <c r="G85" s="6"/>
      <c r="H85" s="5"/>
      <c r="I85" s="5"/>
      <c r="J85" s="6"/>
    </row>
    <row r="86" spans="1:10" s="7" customFormat="1" hidden="1" x14ac:dyDescent="0.35">
      <c r="A86" t="s">
        <v>117</v>
      </c>
      <c r="B86" s="177"/>
      <c r="G86" s="6"/>
      <c r="H86" s="5"/>
      <c r="I86" s="5"/>
      <c r="J86" s="6"/>
    </row>
    <row r="87" spans="1:10" s="7" customFormat="1" hidden="1" x14ac:dyDescent="0.35">
      <c r="A87" t="s">
        <v>117</v>
      </c>
      <c r="B87" s="177"/>
      <c r="G87" s="6"/>
      <c r="H87" s="5"/>
      <c r="I87" s="5"/>
      <c r="J87" s="6"/>
    </row>
    <row r="88" spans="1:10" s="7" customFormat="1" hidden="1" x14ac:dyDescent="0.35">
      <c r="A88" t="s">
        <v>117</v>
      </c>
      <c r="B88" s="177"/>
      <c r="G88" s="6"/>
      <c r="H88" s="5"/>
      <c r="I88" s="5"/>
      <c r="J88" s="6"/>
    </row>
    <row r="89" spans="1:10" s="7" customFormat="1" hidden="1" x14ac:dyDescent="0.35">
      <c r="A89" t="s">
        <v>117</v>
      </c>
      <c r="B89" s="177"/>
      <c r="G89" s="6"/>
      <c r="H89" s="5"/>
      <c r="I89" s="5"/>
      <c r="J89" s="6"/>
    </row>
    <row r="90" spans="1:10" s="7" customFormat="1" hidden="1" x14ac:dyDescent="0.35">
      <c r="A90" t="s">
        <v>117</v>
      </c>
      <c r="B90" s="177"/>
      <c r="G90" s="6"/>
      <c r="H90" s="5"/>
      <c r="I90" s="5"/>
      <c r="J90" s="6"/>
    </row>
    <row r="91" spans="1:10" s="7" customFormat="1" hidden="1" x14ac:dyDescent="0.35">
      <c r="A91" t="s">
        <v>117</v>
      </c>
      <c r="B91" s="177"/>
      <c r="G91" s="6"/>
      <c r="H91" s="5"/>
      <c r="I91" s="5"/>
      <c r="J91" s="6"/>
    </row>
    <row r="92" spans="1:10" s="7" customFormat="1" hidden="1" x14ac:dyDescent="0.35">
      <c r="A92" t="s">
        <v>117</v>
      </c>
      <c r="B92" s="177"/>
      <c r="G92" s="6"/>
      <c r="H92" s="5"/>
      <c r="I92" s="5"/>
      <c r="J92" s="6"/>
    </row>
    <row r="93" spans="1:10" s="7" customFormat="1" hidden="1" x14ac:dyDescent="0.35">
      <c r="A93" t="s">
        <v>117</v>
      </c>
      <c r="B93" s="177"/>
      <c r="G93" s="6"/>
      <c r="H93" s="5"/>
      <c r="I93" s="5"/>
      <c r="J93" s="6"/>
    </row>
    <row r="94" spans="1:10" s="7" customFormat="1" hidden="1" x14ac:dyDescent="0.35">
      <c r="A94" t="s">
        <v>117</v>
      </c>
      <c r="B94" s="177"/>
      <c r="G94" s="6"/>
      <c r="H94" s="5"/>
      <c r="I94" s="5"/>
      <c r="J94" s="6"/>
    </row>
    <row r="95" spans="1:10" s="7" customFormat="1" hidden="1" x14ac:dyDescent="0.35">
      <c r="A95" t="s">
        <v>117</v>
      </c>
      <c r="B95" s="177"/>
      <c r="G95" s="6"/>
      <c r="H95" s="5"/>
      <c r="I95" s="5"/>
      <c r="J95" s="6"/>
    </row>
    <row r="96" spans="1:10" s="7" customFormat="1" hidden="1" x14ac:dyDescent="0.35">
      <c r="A96" t="s">
        <v>117</v>
      </c>
      <c r="B96" s="177"/>
      <c r="G96" s="6"/>
      <c r="H96" s="5"/>
      <c r="I96" s="5"/>
      <c r="J96" s="6"/>
    </row>
    <row r="97" spans="1:10" s="7" customFormat="1" hidden="1" x14ac:dyDescent="0.35">
      <c r="A97" t="s">
        <v>117</v>
      </c>
      <c r="B97" s="177"/>
      <c r="G97" s="6"/>
      <c r="H97" s="5"/>
      <c r="I97" s="5"/>
      <c r="J97" s="6"/>
    </row>
    <row r="98" spans="1:10" s="7" customFormat="1" hidden="1" x14ac:dyDescent="0.35">
      <c r="A98" t="s">
        <v>117</v>
      </c>
      <c r="B98" s="177"/>
      <c r="G98" s="6"/>
      <c r="H98" s="5"/>
      <c r="I98" s="5"/>
      <c r="J98" s="6"/>
    </row>
    <row r="99" spans="1:10" s="7" customFormat="1" hidden="1" x14ac:dyDescent="0.35">
      <c r="A99" t="s">
        <v>117</v>
      </c>
      <c r="B99" s="177"/>
      <c r="G99" s="6"/>
      <c r="H99" s="5"/>
      <c r="I99" s="5"/>
      <c r="J99" s="6"/>
    </row>
    <row r="100" spans="1:10" s="7" customFormat="1" hidden="1" x14ac:dyDescent="0.35">
      <c r="A100" t="s">
        <v>117</v>
      </c>
      <c r="B100" s="177"/>
      <c r="G100" s="6"/>
      <c r="H100" s="5"/>
      <c r="I100" s="5"/>
      <c r="J100" s="6"/>
    </row>
    <row r="101" spans="1:10" s="7" customFormat="1" hidden="1" x14ac:dyDescent="0.35">
      <c r="A101" t="s">
        <v>117</v>
      </c>
      <c r="B101" s="177"/>
      <c r="G101" s="6"/>
      <c r="H101" s="5"/>
      <c r="I101" s="5"/>
      <c r="J101" s="6"/>
    </row>
    <row r="102" spans="1:10" s="7" customFormat="1" hidden="1" x14ac:dyDescent="0.35">
      <c r="A102" t="s">
        <v>117</v>
      </c>
      <c r="B102" s="177"/>
      <c r="G102" s="6"/>
      <c r="H102" s="5"/>
      <c r="I102" s="5"/>
      <c r="J102" s="6"/>
    </row>
    <row r="103" spans="1:10" s="7" customFormat="1" hidden="1" x14ac:dyDescent="0.35">
      <c r="A103" t="s">
        <v>117</v>
      </c>
      <c r="B103" s="177"/>
      <c r="G103" s="6"/>
      <c r="H103" s="5"/>
      <c r="I103" s="5"/>
      <c r="J103" s="6"/>
    </row>
    <row r="104" spans="1:10" s="7" customFormat="1" hidden="1" x14ac:dyDescent="0.35">
      <c r="A104" t="s">
        <v>117</v>
      </c>
      <c r="B104" s="177"/>
      <c r="G104" s="6"/>
      <c r="H104" s="5"/>
      <c r="I104" s="5"/>
      <c r="J104" s="6"/>
    </row>
    <row r="105" spans="1:10" s="7" customFormat="1" hidden="1" x14ac:dyDescent="0.35">
      <c r="A105" t="s">
        <v>117</v>
      </c>
      <c r="B105" s="177"/>
      <c r="G105" s="6"/>
      <c r="H105" s="5"/>
      <c r="I105" s="5"/>
      <c r="J105" s="6"/>
    </row>
    <row r="106" spans="1:10" s="7" customFormat="1" hidden="1" x14ac:dyDescent="0.35">
      <c r="A106" t="s">
        <v>117</v>
      </c>
      <c r="B106" s="177"/>
      <c r="G106" s="6"/>
      <c r="H106" s="5"/>
      <c r="I106" s="5"/>
      <c r="J106" s="6"/>
    </row>
    <row r="107" spans="1:10" s="7" customFormat="1" hidden="1" x14ac:dyDescent="0.35">
      <c r="A107" t="s">
        <v>117</v>
      </c>
      <c r="B107" s="177"/>
      <c r="G107" s="6"/>
      <c r="H107" s="5"/>
      <c r="I107" s="5"/>
      <c r="J107" s="6"/>
    </row>
    <row r="108" spans="1:10" s="7" customFormat="1" hidden="1" x14ac:dyDescent="0.35">
      <c r="A108" t="s">
        <v>117</v>
      </c>
      <c r="B108" s="177"/>
      <c r="G108" s="6"/>
      <c r="H108" s="5"/>
      <c r="I108" s="5"/>
      <c r="J108" s="6"/>
    </row>
    <row r="109" spans="1:10" s="7" customFormat="1" hidden="1" x14ac:dyDescent="0.35">
      <c r="A109" t="s">
        <v>117</v>
      </c>
      <c r="B109" s="177"/>
      <c r="G109" s="6"/>
      <c r="H109" s="5"/>
      <c r="I109" s="5"/>
      <c r="J109" s="6"/>
    </row>
    <row r="110" spans="1:10" s="7" customFormat="1" hidden="1" x14ac:dyDescent="0.35">
      <c r="A110" t="s">
        <v>117</v>
      </c>
      <c r="B110" s="177"/>
      <c r="G110" s="6"/>
      <c r="H110" s="5"/>
      <c r="I110" s="5"/>
      <c r="J110" s="6"/>
    </row>
    <row r="111" spans="1:10" s="7" customFormat="1" hidden="1" x14ac:dyDescent="0.35">
      <c r="A111" t="s">
        <v>117</v>
      </c>
      <c r="B111" s="177"/>
      <c r="G111" s="6"/>
      <c r="H111" s="5"/>
      <c r="I111" s="5"/>
      <c r="J111" s="6"/>
    </row>
    <row r="112" spans="1:10" s="7" customFormat="1" hidden="1" x14ac:dyDescent="0.35">
      <c r="A112" t="s">
        <v>117</v>
      </c>
      <c r="B112" s="177"/>
      <c r="G112" s="6"/>
      <c r="H112" s="5"/>
      <c r="I112" s="5"/>
      <c r="J112" s="6"/>
    </row>
    <row r="113" spans="1:10" s="7" customFormat="1" hidden="1" x14ac:dyDescent="0.35">
      <c r="A113" t="s">
        <v>117</v>
      </c>
      <c r="B113" s="177"/>
      <c r="G113" s="6"/>
      <c r="H113" s="5"/>
      <c r="I113" s="5"/>
      <c r="J113" s="6"/>
    </row>
    <row r="114" spans="1:10" s="7" customFormat="1" hidden="1" x14ac:dyDescent="0.35">
      <c r="A114" t="s">
        <v>117</v>
      </c>
      <c r="B114" s="177"/>
      <c r="G114" s="6"/>
      <c r="H114" s="5"/>
      <c r="I114" s="5"/>
      <c r="J114" s="6"/>
    </row>
    <row r="115" spans="1:10" s="7" customFormat="1" hidden="1" x14ac:dyDescent="0.35">
      <c r="A115" t="s">
        <v>117</v>
      </c>
      <c r="B115" s="177"/>
      <c r="G115" s="6"/>
      <c r="H115" s="5"/>
      <c r="I115" s="5"/>
      <c r="J115" s="6"/>
    </row>
    <row r="116" spans="1:10" s="7" customFormat="1" hidden="1" x14ac:dyDescent="0.35">
      <c r="A116" t="s">
        <v>117</v>
      </c>
      <c r="B116" s="177"/>
      <c r="G116" s="6"/>
      <c r="H116" s="5"/>
      <c r="I116" s="5"/>
      <c r="J116" s="6"/>
    </row>
    <row r="117" spans="1:10" s="7" customFormat="1" hidden="1" x14ac:dyDescent="0.35">
      <c r="A117" t="s">
        <v>117</v>
      </c>
      <c r="B117" s="177"/>
      <c r="G117" s="6"/>
      <c r="H117" s="5"/>
      <c r="I117" s="5"/>
      <c r="J117" s="6"/>
    </row>
    <row r="118" spans="1:10" s="7" customFormat="1" hidden="1" x14ac:dyDescent="0.35">
      <c r="A118" t="s">
        <v>117</v>
      </c>
      <c r="B118" s="177"/>
      <c r="G118" s="6"/>
      <c r="H118" s="5"/>
      <c r="I118" s="5"/>
      <c r="J118" s="6"/>
    </row>
    <row r="119" spans="1:10" s="7" customFormat="1" hidden="1" x14ac:dyDescent="0.35">
      <c r="A119" t="s">
        <v>117</v>
      </c>
      <c r="B119" s="177"/>
      <c r="G119" s="6"/>
      <c r="H119" s="5"/>
      <c r="I119" s="5"/>
      <c r="J119" s="6"/>
    </row>
    <row r="120" spans="1:10" s="7" customFormat="1" hidden="1" x14ac:dyDescent="0.35">
      <c r="A120" t="s">
        <v>117</v>
      </c>
      <c r="B120" s="177"/>
      <c r="G120" s="6"/>
      <c r="H120" s="5"/>
      <c r="I120" s="5"/>
      <c r="J120" s="6"/>
    </row>
    <row r="121" spans="1:10" s="7" customFormat="1" hidden="1" x14ac:dyDescent="0.35">
      <c r="A121" t="s">
        <v>117</v>
      </c>
      <c r="B121" s="177"/>
      <c r="G121" s="6"/>
      <c r="H121" s="5"/>
      <c r="I121" s="5"/>
      <c r="J121" s="6"/>
    </row>
    <row r="122" spans="1:10" s="7" customFormat="1" hidden="1" x14ac:dyDescent="0.35">
      <c r="A122" t="s">
        <v>119</v>
      </c>
      <c r="B122" s="177"/>
      <c r="G122" s="6"/>
      <c r="H122" s="5"/>
      <c r="I122" s="5"/>
      <c r="J122" s="6"/>
    </row>
    <row r="123" spans="1:10" s="7" customFormat="1" hidden="1" x14ac:dyDescent="0.35">
      <c r="A123" t="s">
        <v>119</v>
      </c>
      <c r="B123" s="177"/>
      <c r="G123" s="6"/>
      <c r="H123" s="5"/>
      <c r="I123" s="5"/>
      <c r="J123" s="6"/>
    </row>
    <row r="124" spans="1:10" s="7" customFormat="1" hidden="1" x14ac:dyDescent="0.35">
      <c r="A124" t="s">
        <v>119</v>
      </c>
      <c r="B124" s="177"/>
      <c r="G124" s="6"/>
      <c r="H124" s="5"/>
      <c r="I124" s="5"/>
      <c r="J124" s="6"/>
    </row>
    <row r="125" spans="1:10" s="7" customFormat="1" hidden="1" x14ac:dyDescent="0.35">
      <c r="A125" t="s">
        <v>119</v>
      </c>
      <c r="B125" s="177"/>
      <c r="G125" s="6"/>
      <c r="H125" s="5"/>
      <c r="I125" s="5"/>
      <c r="J125" s="6"/>
    </row>
    <row r="126" spans="1:10" s="7" customFormat="1" hidden="1" x14ac:dyDescent="0.35">
      <c r="A126" t="s">
        <v>119</v>
      </c>
      <c r="B126" s="177"/>
      <c r="G126" s="6"/>
      <c r="H126" s="5"/>
      <c r="I126" s="5"/>
      <c r="J126" s="6"/>
    </row>
    <row r="127" spans="1:10" s="7" customFormat="1" hidden="1" x14ac:dyDescent="0.35">
      <c r="A127" t="s">
        <v>119</v>
      </c>
      <c r="B127" s="177"/>
      <c r="G127" s="6"/>
      <c r="H127" s="5"/>
      <c r="I127" s="5"/>
      <c r="J127" s="6"/>
    </row>
    <row r="128" spans="1:10" s="7" customFormat="1" hidden="1" x14ac:dyDescent="0.35">
      <c r="A128" t="s">
        <v>119</v>
      </c>
      <c r="B128" s="177"/>
      <c r="G128" s="6"/>
      <c r="H128" s="5"/>
      <c r="I128" s="5"/>
      <c r="J128" s="6"/>
    </row>
    <row r="129" spans="1:10" s="7" customFormat="1" hidden="1" x14ac:dyDescent="0.35">
      <c r="A129" t="s">
        <v>119</v>
      </c>
      <c r="B129" s="177"/>
      <c r="G129" s="6"/>
      <c r="H129" s="5"/>
      <c r="I129" s="5"/>
      <c r="J129" s="6"/>
    </row>
    <row r="130" spans="1:10" s="7" customFormat="1" hidden="1" x14ac:dyDescent="0.35">
      <c r="A130" t="s">
        <v>119</v>
      </c>
      <c r="B130" s="177"/>
      <c r="G130" s="6"/>
      <c r="H130" s="5"/>
      <c r="I130" s="5"/>
      <c r="J130" s="6"/>
    </row>
    <row r="131" spans="1:10" s="7" customFormat="1" hidden="1" x14ac:dyDescent="0.35">
      <c r="A131" t="s">
        <v>119</v>
      </c>
      <c r="B131" s="177"/>
      <c r="G131" s="6"/>
      <c r="H131" s="5"/>
      <c r="I131" s="5"/>
      <c r="J131" s="6"/>
    </row>
    <row r="132" spans="1:10" s="7" customFormat="1" hidden="1" x14ac:dyDescent="0.35">
      <c r="A132" t="s">
        <v>119</v>
      </c>
      <c r="B132" s="177"/>
      <c r="G132" s="6"/>
      <c r="H132" s="5"/>
      <c r="I132" s="5"/>
      <c r="J132" s="6"/>
    </row>
    <row r="133" spans="1:10" s="7" customFormat="1" hidden="1" x14ac:dyDescent="0.35">
      <c r="A133" t="s">
        <v>119</v>
      </c>
      <c r="B133" s="177"/>
      <c r="G133" s="6"/>
      <c r="H133" s="5"/>
      <c r="I133" s="5"/>
      <c r="J133" s="6"/>
    </row>
    <row r="134" spans="1:10" s="7" customFormat="1" hidden="1" x14ac:dyDescent="0.35">
      <c r="A134" t="s">
        <v>119</v>
      </c>
      <c r="B134" s="177"/>
      <c r="G134" s="6"/>
      <c r="H134" s="5"/>
      <c r="I134" s="5"/>
      <c r="J134" s="6"/>
    </row>
    <row r="135" spans="1:10" s="7" customFormat="1" hidden="1" x14ac:dyDescent="0.35">
      <c r="A135" t="s">
        <v>119</v>
      </c>
      <c r="B135" s="177"/>
      <c r="G135" s="6"/>
      <c r="H135" s="5"/>
      <c r="I135" s="5"/>
      <c r="J135" s="6"/>
    </row>
    <row r="136" spans="1:10" s="7" customFormat="1" hidden="1" x14ac:dyDescent="0.35">
      <c r="A136" t="s">
        <v>119</v>
      </c>
      <c r="B136" s="177"/>
      <c r="G136" s="6"/>
      <c r="H136" s="5"/>
      <c r="I136" s="5"/>
      <c r="J136" s="6"/>
    </row>
    <row r="137" spans="1:10" s="7" customFormat="1" hidden="1" x14ac:dyDescent="0.35">
      <c r="A137" t="s">
        <v>119</v>
      </c>
      <c r="B137" s="177"/>
      <c r="G137" s="6"/>
      <c r="H137" s="5"/>
      <c r="I137" s="5"/>
      <c r="J137" s="6"/>
    </row>
    <row r="138" spans="1:10" s="7" customFormat="1" hidden="1" x14ac:dyDescent="0.35">
      <c r="A138" t="s">
        <v>119</v>
      </c>
      <c r="B138" s="177"/>
      <c r="G138" s="6"/>
      <c r="H138" s="5"/>
      <c r="I138" s="5"/>
      <c r="J138" s="6"/>
    </row>
    <row r="139" spans="1:10" s="7" customFormat="1" hidden="1" x14ac:dyDescent="0.35">
      <c r="A139" t="s">
        <v>119</v>
      </c>
      <c r="B139" s="177"/>
      <c r="G139" s="6"/>
      <c r="H139" s="5"/>
      <c r="I139" s="5"/>
      <c r="J139" s="6"/>
    </row>
    <row r="140" spans="1:10" s="7" customFormat="1" hidden="1" x14ac:dyDescent="0.35">
      <c r="A140" t="s">
        <v>119</v>
      </c>
      <c r="B140" s="177"/>
      <c r="G140" s="6"/>
      <c r="H140" s="5"/>
      <c r="I140" s="5"/>
      <c r="J140" s="6"/>
    </row>
    <row r="141" spans="1:10" s="7" customFormat="1" hidden="1" x14ac:dyDescent="0.35">
      <c r="A141" t="s">
        <v>119</v>
      </c>
      <c r="B141" s="177"/>
      <c r="G141" s="6"/>
      <c r="H141" s="5"/>
      <c r="I141" s="5"/>
      <c r="J141" s="6"/>
    </row>
    <row r="142" spans="1:10" s="7" customFormat="1" hidden="1" x14ac:dyDescent="0.35">
      <c r="A142" t="s">
        <v>119</v>
      </c>
      <c r="B142" s="177"/>
      <c r="G142" s="6"/>
      <c r="H142" s="5"/>
      <c r="I142" s="5"/>
      <c r="J142" s="6"/>
    </row>
    <row r="143" spans="1:10" s="7" customFormat="1" hidden="1" x14ac:dyDescent="0.35">
      <c r="A143" t="s">
        <v>119</v>
      </c>
      <c r="B143" s="177"/>
      <c r="G143" s="6"/>
      <c r="H143" s="5"/>
      <c r="I143" s="5"/>
      <c r="J143" s="6"/>
    </row>
    <row r="144" spans="1:10" s="7" customFormat="1" hidden="1" x14ac:dyDescent="0.35">
      <c r="A144" t="s">
        <v>119</v>
      </c>
      <c r="B144" s="177"/>
      <c r="G144" s="6"/>
      <c r="H144" s="5"/>
      <c r="I144" s="5"/>
      <c r="J144" s="6"/>
    </row>
    <row r="145" spans="1:10" s="7" customFormat="1" hidden="1" x14ac:dyDescent="0.35">
      <c r="A145" t="s">
        <v>119</v>
      </c>
      <c r="B145" s="177"/>
      <c r="G145" s="6"/>
      <c r="H145" s="5"/>
      <c r="I145" s="5"/>
      <c r="J145" s="6"/>
    </row>
    <row r="146" spans="1:10" s="7" customFormat="1" hidden="1" x14ac:dyDescent="0.35">
      <c r="A146" t="s">
        <v>119</v>
      </c>
      <c r="B146" s="177"/>
      <c r="G146" s="6"/>
      <c r="H146" s="5"/>
      <c r="I146" s="5"/>
      <c r="J146" s="6"/>
    </row>
    <row r="147" spans="1:10" s="7" customFormat="1" hidden="1" x14ac:dyDescent="0.35">
      <c r="A147" t="s">
        <v>119</v>
      </c>
      <c r="B147" s="177"/>
      <c r="G147" s="6"/>
      <c r="H147" s="5"/>
      <c r="I147" s="5"/>
      <c r="J147" s="6"/>
    </row>
    <row r="148" spans="1:10" s="7" customFormat="1" hidden="1" x14ac:dyDescent="0.35">
      <c r="A148" t="s">
        <v>119</v>
      </c>
      <c r="B148" s="177"/>
      <c r="G148" s="6"/>
      <c r="H148" s="5"/>
      <c r="I148" s="5"/>
      <c r="J148" s="6"/>
    </row>
    <row r="149" spans="1:10" s="7" customFormat="1" hidden="1" x14ac:dyDescent="0.35">
      <c r="A149" t="s">
        <v>119</v>
      </c>
      <c r="B149" s="177"/>
      <c r="G149" s="6"/>
      <c r="H149" s="5"/>
      <c r="I149" s="5"/>
      <c r="J149" s="6"/>
    </row>
    <row r="150" spans="1:10" s="7" customFormat="1" hidden="1" x14ac:dyDescent="0.35">
      <c r="A150" t="s">
        <v>119</v>
      </c>
      <c r="B150" s="177"/>
      <c r="G150" s="6"/>
      <c r="H150" s="5"/>
      <c r="I150" s="5"/>
      <c r="J150" s="6"/>
    </row>
    <row r="151" spans="1:10" s="7" customFormat="1" hidden="1" x14ac:dyDescent="0.35">
      <c r="A151" t="s">
        <v>119</v>
      </c>
      <c r="B151" s="177"/>
      <c r="G151" s="6"/>
      <c r="H151" s="5"/>
      <c r="I151" s="5"/>
      <c r="J151" s="6"/>
    </row>
    <row r="152" spans="1:10" s="7" customFormat="1" hidden="1" x14ac:dyDescent="0.35">
      <c r="A152" t="s">
        <v>119</v>
      </c>
      <c r="B152" s="177"/>
      <c r="G152" s="6"/>
      <c r="H152" s="5"/>
      <c r="I152" s="5"/>
      <c r="J152" s="6"/>
    </row>
    <row r="153" spans="1:10" s="7" customFormat="1" hidden="1" x14ac:dyDescent="0.35">
      <c r="A153" t="s">
        <v>119</v>
      </c>
      <c r="B153" s="177"/>
      <c r="G153" s="6"/>
      <c r="H153" s="5"/>
      <c r="I153" s="5"/>
      <c r="J153" s="6"/>
    </row>
    <row r="154" spans="1:10" s="7" customFormat="1" hidden="1" x14ac:dyDescent="0.35">
      <c r="A154" t="s">
        <v>119</v>
      </c>
      <c r="B154" s="177"/>
      <c r="G154" s="6"/>
      <c r="H154" s="5"/>
      <c r="I154" s="5"/>
      <c r="J154" s="6"/>
    </row>
    <row r="155" spans="1:10" s="7" customFormat="1" hidden="1" x14ac:dyDescent="0.35">
      <c r="A155" t="s">
        <v>119</v>
      </c>
      <c r="B155" s="177"/>
      <c r="G155" s="6"/>
      <c r="H155" s="5"/>
      <c r="I155" s="5"/>
      <c r="J155" s="6"/>
    </row>
    <row r="156" spans="1:10" s="7" customFormat="1" hidden="1" x14ac:dyDescent="0.35">
      <c r="A156" t="s">
        <v>119</v>
      </c>
      <c r="B156" s="177"/>
      <c r="G156" s="6"/>
      <c r="H156" s="5"/>
      <c r="I156" s="5"/>
      <c r="J156" s="6"/>
    </row>
    <row r="157" spans="1:10" s="7" customFormat="1" hidden="1" x14ac:dyDescent="0.35">
      <c r="A157" t="s">
        <v>119</v>
      </c>
      <c r="B157" s="177"/>
      <c r="G157" s="6"/>
      <c r="H157" s="5"/>
      <c r="I157" s="5"/>
      <c r="J157" s="6"/>
    </row>
    <row r="158" spans="1:10" s="7" customFormat="1" hidden="1" x14ac:dyDescent="0.35">
      <c r="A158" t="s">
        <v>119</v>
      </c>
      <c r="B158" s="177"/>
      <c r="G158" s="6"/>
      <c r="H158" s="5"/>
      <c r="I158" s="5"/>
      <c r="J158" s="6"/>
    </row>
    <row r="159" spans="1:10" s="7" customFormat="1" hidden="1" x14ac:dyDescent="0.35">
      <c r="A159" t="s">
        <v>119</v>
      </c>
      <c r="B159" s="177"/>
      <c r="G159" s="6"/>
      <c r="H159" s="5"/>
      <c r="I159" s="5"/>
      <c r="J159" s="6"/>
    </row>
    <row r="160" spans="1:10" s="7" customFormat="1" hidden="1" x14ac:dyDescent="0.35">
      <c r="A160" t="s">
        <v>119</v>
      </c>
      <c r="B160" s="177"/>
      <c r="G160" s="6"/>
      <c r="H160" s="5"/>
      <c r="I160" s="5"/>
      <c r="J160" s="6"/>
    </row>
    <row r="161" spans="1:10" s="7" customFormat="1" hidden="1" x14ac:dyDescent="0.35">
      <c r="A161" t="s">
        <v>119</v>
      </c>
      <c r="B161" s="177"/>
      <c r="G161" s="6"/>
      <c r="H161" s="5"/>
      <c r="I161" s="5"/>
      <c r="J161" s="6"/>
    </row>
    <row r="162" spans="1:10" s="7" customFormat="1" hidden="1" x14ac:dyDescent="0.35">
      <c r="A162" t="s">
        <v>119</v>
      </c>
      <c r="B162" s="177"/>
      <c r="G162" s="6"/>
      <c r="H162" s="5"/>
      <c r="I162" s="5"/>
      <c r="J162" s="6"/>
    </row>
    <row r="163" spans="1:10" s="7" customFormat="1" hidden="1" x14ac:dyDescent="0.35">
      <c r="A163" t="s">
        <v>119</v>
      </c>
      <c r="B163" s="177"/>
      <c r="G163" s="6"/>
      <c r="H163" s="5"/>
      <c r="I163" s="5"/>
      <c r="J163" s="6"/>
    </row>
    <row r="164" spans="1:10" s="7" customFormat="1" hidden="1" x14ac:dyDescent="0.35">
      <c r="A164" t="s">
        <v>119</v>
      </c>
      <c r="B164" s="177"/>
      <c r="G164" s="6"/>
      <c r="H164" s="5"/>
      <c r="I164" s="5"/>
      <c r="J164" s="6"/>
    </row>
    <row r="165" spans="1:10" s="7" customFormat="1" hidden="1" x14ac:dyDescent="0.35">
      <c r="A165" t="s">
        <v>119</v>
      </c>
      <c r="B165" s="177"/>
      <c r="G165" s="6"/>
      <c r="H165" s="5"/>
      <c r="I165" s="5"/>
      <c r="J165" s="6"/>
    </row>
    <row r="166" spans="1:10" s="7" customFormat="1" hidden="1" x14ac:dyDescent="0.35">
      <c r="A166" t="s">
        <v>119</v>
      </c>
      <c r="B166" s="177"/>
      <c r="G166" s="6"/>
      <c r="H166" s="5"/>
      <c r="I166" s="5"/>
      <c r="J166" s="6"/>
    </row>
    <row r="167" spans="1:10" s="7" customFormat="1" hidden="1" x14ac:dyDescent="0.35">
      <c r="A167" t="s">
        <v>119</v>
      </c>
      <c r="B167" s="177"/>
      <c r="G167" s="6"/>
      <c r="H167" s="5"/>
      <c r="I167" s="5"/>
      <c r="J167" s="6"/>
    </row>
    <row r="168" spans="1:10" s="7" customFormat="1" hidden="1" x14ac:dyDescent="0.35">
      <c r="A168" t="s">
        <v>119</v>
      </c>
      <c r="B168" s="177"/>
      <c r="G168" s="6"/>
      <c r="H168" s="5"/>
      <c r="I168" s="5"/>
      <c r="J168" s="6"/>
    </row>
    <row r="169" spans="1:10" s="7" customFormat="1" hidden="1" x14ac:dyDescent="0.35">
      <c r="A169" t="s">
        <v>119</v>
      </c>
      <c r="B169" s="177"/>
      <c r="G169" s="6"/>
      <c r="H169" s="5"/>
      <c r="I169" s="5"/>
      <c r="J169" s="6"/>
    </row>
    <row r="170" spans="1:10" s="7" customFormat="1" hidden="1" x14ac:dyDescent="0.35">
      <c r="A170" t="s">
        <v>119</v>
      </c>
      <c r="B170" s="177"/>
      <c r="G170" s="6"/>
      <c r="H170" s="5"/>
      <c r="I170" s="5"/>
      <c r="J170" s="6"/>
    </row>
    <row r="171" spans="1:10" s="7" customFormat="1" hidden="1" x14ac:dyDescent="0.35">
      <c r="A171" t="s">
        <v>119</v>
      </c>
      <c r="B171" s="177"/>
      <c r="G171" s="6"/>
      <c r="H171" s="5"/>
      <c r="I171" s="5"/>
      <c r="J171" s="6"/>
    </row>
    <row r="172" spans="1:10" s="7" customFormat="1" hidden="1" x14ac:dyDescent="0.35">
      <c r="A172" t="s">
        <v>119</v>
      </c>
      <c r="B172" s="177"/>
      <c r="G172" s="6"/>
      <c r="H172" s="5"/>
      <c r="I172" s="5"/>
      <c r="J172" s="6"/>
    </row>
    <row r="173" spans="1:10" s="7" customFormat="1" hidden="1" x14ac:dyDescent="0.35">
      <c r="A173" t="s">
        <v>119</v>
      </c>
      <c r="B173" s="177"/>
      <c r="G173" s="6"/>
      <c r="H173" s="5"/>
      <c r="I173" s="5"/>
      <c r="J173" s="6"/>
    </row>
    <row r="174" spans="1:10" s="7" customFormat="1" hidden="1" x14ac:dyDescent="0.35">
      <c r="A174" t="s">
        <v>119</v>
      </c>
      <c r="B174" s="177"/>
      <c r="G174" s="6"/>
      <c r="H174" s="5"/>
      <c r="I174" s="5"/>
      <c r="J174" s="6"/>
    </row>
    <row r="175" spans="1:10" s="7" customFormat="1" hidden="1" x14ac:dyDescent="0.35">
      <c r="A175" t="s">
        <v>119</v>
      </c>
      <c r="B175" s="177"/>
      <c r="G175" s="6"/>
      <c r="H175" s="5"/>
      <c r="I175" s="5"/>
      <c r="J175" s="6"/>
    </row>
    <row r="176" spans="1:10" s="7" customFormat="1" hidden="1" x14ac:dyDescent="0.35">
      <c r="A176" t="s">
        <v>119</v>
      </c>
      <c r="B176" s="177"/>
      <c r="G176" s="6"/>
      <c r="H176" s="5"/>
      <c r="I176" s="5"/>
      <c r="J176" s="6"/>
    </row>
    <row r="177" spans="1:10" s="7" customFormat="1" hidden="1" x14ac:dyDescent="0.35">
      <c r="A177" t="s">
        <v>119</v>
      </c>
      <c r="B177" s="177"/>
      <c r="G177" s="6"/>
      <c r="H177" s="5"/>
      <c r="I177" s="5"/>
      <c r="J177" s="6"/>
    </row>
    <row r="178" spans="1:10" s="7" customFormat="1" hidden="1" x14ac:dyDescent="0.35">
      <c r="A178" t="s">
        <v>119</v>
      </c>
      <c r="B178" s="177"/>
      <c r="G178" s="6"/>
      <c r="H178" s="5"/>
      <c r="I178" s="5"/>
      <c r="J178" s="6"/>
    </row>
    <row r="179" spans="1:10" s="7" customFormat="1" hidden="1" x14ac:dyDescent="0.35">
      <c r="A179" t="s">
        <v>120</v>
      </c>
      <c r="B179" s="177"/>
      <c r="G179" s="6"/>
      <c r="H179" s="5"/>
      <c r="I179" s="5"/>
      <c r="J179" s="6"/>
    </row>
    <row r="180" spans="1:10" s="7" customFormat="1" hidden="1" x14ac:dyDescent="0.35">
      <c r="A180" t="s">
        <v>120</v>
      </c>
      <c r="B180" s="177"/>
      <c r="G180" s="6"/>
      <c r="H180" s="5"/>
      <c r="I180" s="5"/>
      <c r="J180" s="6"/>
    </row>
    <row r="181" spans="1:10" s="7" customFormat="1" hidden="1" x14ac:dyDescent="0.35">
      <c r="A181" t="s">
        <v>120</v>
      </c>
      <c r="B181" s="177"/>
      <c r="G181" s="6"/>
      <c r="H181" s="5"/>
      <c r="I181" s="5"/>
      <c r="J181" s="6"/>
    </row>
    <row r="182" spans="1:10" s="7" customFormat="1" hidden="1" x14ac:dyDescent="0.35">
      <c r="A182" t="s">
        <v>120</v>
      </c>
      <c r="B182" s="177"/>
      <c r="G182" s="6"/>
      <c r="H182" s="5"/>
      <c r="I182" s="5"/>
      <c r="J182" s="6"/>
    </row>
    <row r="183" spans="1:10" s="7" customFormat="1" hidden="1" x14ac:dyDescent="0.35">
      <c r="A183" t="s">
        <v>120</v>
      </c>
      <c r="B183" s="177"/>
      <c r="G183" s="6"/>
      <c r="H183" s="5"/>
      <c r="I183" s="5"/>
      <c r="J183" s="6"/>
    </row>
    <row r="184" spans="1:10" s="7" customFormat="1" hidden="1" x14ac:dyDescent="0.35">
      <c r="A184" t="s">
        <v>120</v>
      </c>
      <c r="B184" s="177"/>
      <c r="G184" s="6"/>
      <c r="H184" s="5"/>
      <c r="I184" s="5"/>
      <c r="J184" s="6"/>
    </row>
    <row r="185" spans="1:10" s="7" customFormat="1" hidden="1" x14ac:dyDescent="0.35">
      <c r="A185" t="s">
        <v>120</v>
      </c>
      <c r="B185" s="177"/>
      <c r="G185" s="6"/>
      <c r="H185" s="5"/>
      <c r="I185" s="5"/>
      <c r="J185" s="6"/>
    </row>
    <row r="186" spans="1:10" s="7" customFormat="1" hidden="1" x14ac:dyDescent="0.35">
      <c r="A186" t="s">
        <v>120</v>
      </c>
      <c r="B186" s="177"/>
      <c r="G186" s="6"/>
      <c r="H186" s="5"/>
      <c r="I186" s="5"/>
      <c r="J186" s="6"/>
    </row>
    <row r="187" spans="1:10" s="7" customFormat="1" hidden="1" x14ac:dyDescent="0.35">
      <c r="A187" t="s">
        <v>120</v>
      </c>
      <c r="B187" s="177"/>
      <c r="G187" s="6"/>
      <c r="H187" s="5"/>
      <c r="I187" s="5"/>
      <c r="J187" s="6"/>
    </row>
    <row r="188" spans="1:10" s="7" customFormat="1" hidden="1" x14ac:dyDescent="0.35">
      <c r="A188" t="s">
        <v>120</v>
      </c>
      <c r="B188" s="177"/>
      <c r="G188" s="6"/>
      <c r="H188" s="5"/>
      <c r="I188" s="5"/>
      <c r="J188" s="6"/>
    </row>
    <row r="189" spans="1:10" s="7" customFormat="1" hidden="1" x14ac:dyDescent="0.35">
      <c r="A189" t="s">
        <v>120</v>
      </c>
      <c r="B189" s="177"/>
      <c r="G189" s="6"/>
      <c r="H189" s="5"/>
      <c r="I189" s="5"/>
      <c r="J189" s="6"/>
    </row>
    <row r="190" spans="1:10" s="7" customFormat="1" hidden="1" x14ac:dyDescent="0.35">
      <c r="A190" t="s">
        <v>120</v>
      </c>
      <c r="B190" s="177"/>
      <c r="G190" s="6"/>
      <c r="H190" s="5"/>
      <c r="I190" s="5"/>
      <c r="J190" s="6"/>
    </row>
    <row r="191" spans="1:10" s="7" customFormat="1" hidden="1" x14ac:dyDescent="0.35">
      <c r="A191" t="s">
        <v>120</v>
      </c>
      <c r="B191" s="177"/>
      <c r="G191" s="6"/>
      <c r="H191" s="5"/>
      <c r="I191" s="5"/>
      <c r="J191" s="6"/>
    </row>
    <row r="192" spans="1:10" s="7" customFormat="1" hidden="1" x14ac:dyDescent="0.35">
      <c r="A192" t="s">
        <v>120</v>
      </c>
      <c r="B192" s="177"/>
      <c r="G192" s="6"/>
      <c r="H192" s="5"/>
      <c r="I192" s="5"/>
      <c r="J192" s="6"/>
    </row>
    <row r="193" spans="1:10" s="7" customFormat="1" hidden="1" x14ac:dyDescent="0.35">
      <c r="A193" t="s">
        <v>120</v>
      </c>
      <c r="B193" s="177"/>
      <c r="G193" s="6"/>
      <c r="H193" s="5"/>
      <c r="I193" s="5"/>
      <c r="J193" s="6"/>
    </row>
    <row r="194" spans="1:10" s="7" customFormat="1" hidden="1" x14ac:dyDescent="0.35">
      <c r="A194" t="s">
        <v>120</v>
      </c>
      <c r="B194" s="177"/>
      <c r="G194" s="6"/>
      <c r="H194" s="5"/>
      <c r="I194" s="5"/>
      <c r="J194" s="6"/>
    </row>
    <row r="195" spans="1:10" s="7" customFormat="1" hidden="1" x14ac:dyDescent="0.35">
      <c r="A195" t="s">
        <v>120</v>
      </c>
      <c r="B195" s="177"/>
      <c r="G195" s="6"/>
      <c r="H195" s="5"/>
      <c r="I195" s="5"/>
      <c r="J195" s="6"/>
    </row>
    <row r="196" spans="1:10" s="7" customFormat="1" hidden="1" x14ac:dyDescent="0.35">
      <c r="A196" t="s">
        <v>120</v>
      </c>
      <c r="B196" s="177"/>
      <c r="G196" s="6"/>
      <c r="H196" s="5"/>
      <c r="I196" s="5"/>
      <c r="J196" s="6"/>
    </row>
    <row r="197" spans="1:10" s="7" customFormat="1" hidden="1" x14ac:dyDescent="0.35">
      <c r="A197" t="s">
        <v>120</v>
      </c>
      <c r="B197" s="177"/>
      <c r="G197" s="6"/>
      <c r="H197" s="5"/>
      <c r="I197" s="5"/>
      <c r="J197" s="6"/>
    </row>
    <row r="198" spans="1:10" s="7" customFormat="1" hidden="1" x14ac:dyDescent="0.35">
      <c r="A198" t="s">
        <v>120</v>
      </c>
      <c r="B198" s="177"/>
      <c r="G198" s="6"/>
      <c r="H198" s="5"/>
      <c r="I198" s="5"/>
      <c r="J198" s="6"/>
    </row>
    <row r="199" spans="1:10" s="7" customFormat="1" hidden="1" x14ac:dyDescent="0.35">
      <c r="A199" t="s">
        <v>120</v>
      </c>
      <c r="B199" s="177"/>
      <c r="G199" s="6"/>
      <c r="H199" s="5"/>
      <c r="I199" s="5"/>
      <c r="J199" s="6"/>
    </row>
    <row r="200" spans="1:10" s="7" customFormat="1" hidden="1" x14ac:dyDescent="0.35">
      <c r="A200" t="s">
        <v>120</v>
      </c>
      <c r="B200" s="177"/>
      <c r="G200" s="6"/>
      <c r="H200" s="5"/>
      <c r="I200" s="5"/>
      <c r="J200" s="6"/>
    </row>
    <row r="201" spans="1:10" s="7" customFormat="1" hidden="1" x14ac:dyDescent="0.35">
      <c r="A201" t="s">
        <v>120</v>
      </c>
      <c r="B201" s="177"/>
      <c r="G201" s="6"/>
      <c r="H201" s="5"/>
      <c r="I201" s="5"/>
      <c r="J201" s="6"/>
    </row>
    <row r="202" spans="1:10" s="7" customFormat="1" hidden="1" x14ac:dyDescent="0.35">
      <c r="A202" t="s">
        <v>120</v>
      </c>
      <c r="B202" s="177"/>
      <c r="G202" s="6"/>
      <c r="H202" s="5"/>
      <c r="I202" s="5"/>
      <c r="J202" s="6"/>
    </row>
    <row r="203" spans="1:10" s="7" customFormat="1" hidden="1" x14ac:dyDescent="0.35">
      <c r="A203" t="s">
        <v>120</v>
      </c>
      <c r="B203" s="177"/>
      <c r="G203" s="6"/>
      <c r="H203" s="5"/>
      <c r="I203" s="5"/>
      <c r="J203" s="6"/>
    </row>
    <row r="204" spans="1:10" s="7" customFormat="1" hidden="1" x14ac:dyDescent="0.35">
      <c r="A204" t="s">
        <v>120</v>
      </c>
      <c r="B204" s="177"/>
      <c r="G204" s="6"/>
      <c r="H204" s="5"/>
      <c r="I204" s="5"/>
      <c r="J204" s="6"/>
    </row>
    <row r="205" spans="1:10" s="7" customFormat="1" hidden="1" x14ac:dyDescent="0.35">
      <c r="A205" t="s">
        <v>120</v>
      </c>
      <c r="B205" s="177"/>
      <c r="G205" s="6"/>
      <c r="H205" s="5"/>
      <c r="I205" s="5"/>
      <c r="J205" s="6"/>
    </row>
    <row r="206" spans="1:10" s="7" customFormat="1" hidden="1" x14ac:dyDescent="0.35">
      <c r="A206" t="s">
        <v>120</v>
      </c>
      <c r="B206" s="177"/>
      <c r="G206" s="6"/>
      <c r="H206" s="5"/>
      <c r="I206" s="5"/>
      <c r="J206" s="6"/>
    </row>
    <row r="207" spans="1:10" s="7" customFormat="1" hidden="1" x14ac:dyDescent="0.35">
      <c r="A207" t="s">
        <v>120</v>
      </c>
      <c r="B207" s="177"/>
      <c r="G207" s="6"/>
      <c r="H207" s="5"/>
      <c r="I207" s="5"/>
      <c r="J207" s="6"/>
    </row>
    <row r="208" spans="1:10" s="7" customFormat="1" hidden="1" x14ac:dyDescent="0.35">
      <c r="A208" t="s">
        <v>120</v>
      </c>
      <c r="B208" s="177"/>
      <c r="G208" s="6"/>
      <c r="H208" s="5"/>
      <c r="I208" s="5"/>
      <c r="J208" s="6"/>
    </row>
    <row r="209" spans="1:10" s="7" customFormat="1" hidden="1" x14ac:dyDescent="0.35">
      <c r="A209" t="s">
        <v>120</v>
      </c>
      <c r="B209" s="177"/>
      <c r="G209" s="6"/>
      <c r="H209" s="5"/>
      <c r="I209" s="5"/>
      <c r="J209" s="6"/>
    </row>
    <row r="210" spans="1:10" s="7" customFormat="1" hidden="1" x14ac:dyDescent="0.35">
      <c r="A210" t="s">
        <v>120</v>
      </c>
      <c r="B210" s="177"/>
      <c r="G210" s="6"/>
      <c r="H210" s="5"/>
      <c r="I210" s="5"/>
      <c r="J210" s="6"/>
    </row>
    <row r="211" spans="1:10" s="7" customFormat="1" hidden="1" x14ac:dyDescent="0.35">
      <c r="A211" t="s">
        <v>120</v>
      </c>
      <c r="B211" s="177"/>
      <c r="G211" s="6"/>
      <c r="H211" s="5"/>
      <c r="I211" s="5"/>
      <c r="J211" s="6"/>
    </row>
    <row r="212" spans="1:10" s="7" customFormat="1" hidden="1" x14ac:dyDescent="0.35">
      <c r="A212" t="s">
        <v>120</v>
      </c>
      <c r="B212" s="177"/>
      <c r="G212" s="6"/>
      <c r="H212" s="5"/>
      <c r="I212" s="5"/>
      <c r="J212" s="6"/>
    </row>
    <row r="213" spans="1:10" s="7" customFormat="1" hidden="1" x14ac:dyDescent="0.35">
      <c r="A213" t="s">
        <v>120</v>
      </c>
      <c r="B213" s="177"/>
      <c r="G213" s="6"/>
      <c r="H213" s="5"/>
      <c r="I213" s="5"/>
      <c r="J213" s="6"/>
    </row>
    <row r="214" spans="1:10" s="7" customFormat="1" hidden="1" x14ac:dyDescent="0.35">
      <c r="A214" t="s">
        <v>120</v>
      </c>
      <c r="B214" s="177"/>
      <c r="G214" s="6"/>
      <c r="H214" s="5"/>
      <c r="I214" s="5"/>
      <c r="J214" s="6"/>
    </row>
    <row r="215" spans="1:10" s="7" customFormat="1" hidden="1" x14ac:dyDescent="0.35">
      <c r="A215" t="s">
        <v>120</v>
      </c>
      <c r="B215" s="177"/>
      <c r="G215" s="6"/>
      <c r="H215" s="5"/>
      <c r="I215" s="5"/>
      <c r="J215" s="6"/>
    </row>
    <row r="216" spans="1:10" s="7" customFormat="1" hidden="1" x14ac:dyDescent="0.35">
      <c r="A216" t="s">
        <v>120</v>
      </c>
      <c r="B216" s="177"/>
      <c r="G216" s="6"/>
      <c r="H216" s="5"/>
      <c r="I216" s="5"/>
      <c r="J216" s="6"/>
    </row>
    <row r="217" spans="1:10" s="7" customFormat="1" hidden="1" x14ac:dyDescent="0.35">
      <c r="A217" t="s">
        <v>120</v>
      </c>
      <c r="B217" s="177"/>
      <c r="G217" s="6"/>
      <c r="H217" s="5"/>
      <c r="I217" s="5"/>
      <c r="J217" s="6"/>
    </row>
    <row r="218" spans="1:10" s="7" customFormat="1" hidden="1" x14ac:dyDescent="0.35">
      <c r="A218" t="s">
        <v>120</v>
      </c>
      <c r="B218" s="177"/>
      <c r="G218" s="6"/>
      <c r="H218" s="5"/>
      <c r="I218" s="5"/>
      <c r="J218" s="6"/>
    </row>
    <row r="219" spans="1:10" s="7" customFormat="1" hidden="1" x14ac:dyDescent="0.35">
      <c r="A219" t="s">
        <v>120</v>
      </c>
      <c r="B219" s="177"/>
      <c r="G219" s="6"/>
      <c r="H219" s="5"/>
      <c r="I219" s="5"/>
      <c r="J219" s="6"/>
    </row>
    <row r="220" spans="1:10" s="7" customFormat="1" hidden="1" x14ac:dyDescent="0.35">
      <c r="A220" t="s">
        <v>120</v>
      </c>
      <c r="B220" s="177"/>
      <c r="G220" s="6"/>
      <c r="H220" s="5"/>
      <c r="I220" s="5"/>
      <c r="J220" s="6"/>
    </row>
    <row r="221" spans="1:10" s="7" customFormat="1" hidden="1" x14ac:dyDescent="0.35">
      <c r="A221" t="s">
        <v>120</v>
      </c>
      <c r="B221" s="177"/>
      <c r="G221" s="6"/>
      <c r="H221" s="5"/>
      <c r="I221" s="5"/>
      <c r="J221" s="6"/>
    </row>
    <row r="222" spans="1:10" s="7" customFormat="1" hidden="1" x14ac:dyDescent="0.35">
      <c r="A222" t="s">
        <v>120</v>
      </c>
      <c r="B222" s="177"/>
      <c r="G222" s="6"/>
      <c r="H222" s="5"/>
      <c r="I222" s="5"/>
      <c r="J222" s="6"/>
    </row>
    <row r="223" spans="1:10" s="7" customFormat="1" hidden="1" x14ac:dyDescent="0.35">
      <c r="A223" t="s">
        <v>120</v>
      </c>
      <c r="B223" s="177"/>
      <c r="G223" s="6"/>
      <c r="H223" s="5"/>
      <c r="I223" s="5"/>
      <c r="J223" s="6"/>
    </row>
    <row r="224" spans="1:10" s="7" customFormat="1" hidden="1" x14ac:dyDescent="0.35">
      <c r="A224" t="s">
        <v>120</v>
      </c>
      <c r="B224" s="177"/>
      <c r="G224" s="6"/>
      <c r="H224" s="5"/>
      <c r="I224" s="5"/>
      <c r="J224" s="6"/>
    </row>
    <row r="225" spans="1:15" s="7" customFormat="1" hidden="1" x14ac:dyDescent="0.35">
      <c r="A225" t="s">
        <v>120</v>
      </c>
      <c r="B225" s="177"/>
      <c r="G225" s="6"/>
      <c r="H225" s="5"/>
      <c r="I225" s="5"/>
      <c r="J225" s="6"/>
    </row>
    <row r="226" spans="1:15" s="7" customFormat="1" hidden="1" x14ac:dyDescent="0.35">
      <c r="A226" t="s">
        <v>120</v>
      </c>
      <c r="B226" s="177"/>
      <c r="G226" s="6"/>
      <c r="H226" s="5"/>
      <c r="I226" s="5"/>
      <c r="J226" s="6"/>
    </row>
    <row r="227" spans="1:15" s="7" customFormat="1" hidden="1" x14ac:dyDescent="0.35">
      <c r="A227" t="s">
        <v>120</v>
      </c>
      <c r="B227" s="177"/>
      <c r="G227" s="6"/>
      <c r="H227" s="5"/>
      <c r="I227" s="5"/>
      <c r="J227" s="6"/>
    </row>
    <row r="228" spans="1:15" s="7" customFormat="1" hidden="1" x14ac:dyDescent="0.35">
      <c r="A228" t="s">
        <v>120</v>
      </c>
      <c r="B228" s="177"/>
      <c r="G228" s="6"/>
      <c r="H228" s="5"/>
      <c r="I228" s="5"/>
      <c r="J228" s="6"/>
    </row>
    <row r="229" spans="1:15" s="7" customFormat="1" hidden="1" x14ac:dyDescent="0.35">
      <c r="A229" t="s">
        <v>120</v>
      </c>
      <c r="B229" s="177"/>
      <c r="G229" s="6"/>
      <c r="H229" s="5"/>
      <c r="I229" s="5"/>
      <c r="J229" s="6"/>
    </row>
    <row r="230" spans="1:15" s="7" customFormat="1" hidden="1" x14ac:dyDescent="0.35">
      <c r="A230" t="s">
        <v>120</v>
      </c>
      <c r="B230" s="177"/>
      <c r="G230" s="6"/>
      <c r="H230" s="5"/>
      <c r="I230" s="5"/>
      <c r="J230" s="6"/>
    </row>
    <row r="231" spans="1:15" s="7" customFormat="1" hidden="1" x14ac:dyDescent="0.35">
      <c r="A231" t="s">
        <v>120</v>
      </c>
      <c r="B231" s="177"/>
      <c r="G231" s="6"/>
      <c r="H231" s="5"/>
      <c r="I231" s="5"/>
      <c r="J231" s="6"/>
    </row>
    <row r="232" spans="1:15" s="7" customFormat="1" hidden="1" x14ac:dyDescent="0.35">
      <c r="A232" t="s">
        <v>120</v>
      </c>
      <c r="B232" s="177"/>
      <c r="G232" s="6"/>
      <c r="H232" s="5"/>
      <c r="I232" s="5"/>
      <c r="J232" s="6"/>
    </row>
    <row r="233" spans="1:15" s="7" customFormat="1" hidden="1" x14ac:dyDescent="0.35">
      <c r="A233" t="s">
        <v>120</v>
      </c>
      <c r="B233" s="177"/>
      <c r="G233" s="6"/>
      <c r="H233" s="5"/>
      <c r="I233" s="5"/>
      <c r="J233" s="6"/>
    </row>
    <row r="234" spans="1:15" s="7" customFormat="1" hidden="1" x14ac:dyDescent="0.35">
      <c r="A234" t="s">
        <v>120</v>
      </c>
      <c r="B234" s="177"/>
      <c r="G234" s="6"/>
      <c r="H234" s="5"/>
      <c r="I234" s="5"/>
      <c r="J234" s="6"/>
    </row>
    <row r="235" spans="1:15" s="7" customFormat="1" hidden="1" x14ac:dyDescent="0.35">
      <c r="A235" t="s">
        <v>120</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45</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46</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47</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48</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49</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50</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51</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40</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52</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57</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58</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59</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B3" sqref="B3"/>
    </sheetView>
  </sheetViews>
  <sheetFormatPr defaultRowHeight="14.5" x14ac:dyDescent="0.35"/>
  <cols>
    <col min="1" max="1" width="10.7265625" customWidth="1"/>
    <col min="2" max="2" width="121.7265625" style="1" customWidth="1"/>
    <col min="3" max="3" width="21.7265625" customWidth="1"/>
    <col min="4" max="4" width="16.81640625" customWidth="1"/>
    <col min="5" max="5" width="23.453125" customWidth="1"/>
    <col min="6" max="6" width="15.90625" customWidth="1"/>
  </cols>
  <sheetData>
    <row r="1" spans="1:13" x14ac:dyDescent="0.35">
      <c r="A1" s="7"/>
      <c r="B1" s="198" t="s">
        <v>79</v>
      </c>
      <c r="C1" s="12" t="s">
        <v>75</v>
      </c>
      <c r="D1" s="12" t="s">
        <v>76</v>
      </c>
      <c r="E1" s="12" t="s">
        <v>78</v>
      </c>
      <c r="F1" s="12" t="s">
        <v>77</v>
      </c>
      <c r="I1" s="207" t="s">
        <v>167</v>
      </c>
      <c r="J1" s="207"/>
      <c r="K1" s="207"/>
      <c r="L1" s="207"/>
      <c r="M1" s="207"/>
    </row>
    <row r="2" spans="1:13" x14ac:dyDescent="0.35">
      <c r="A2" s="7" t="s">
        <v>21</v>
      </c>
      <c r="B2" s="200">
        <v>36994</v>
      </c>
      <c r="C2" s="9">
        <f>B2+6</f>
        <v>37000</v>
      </c>
      <c r="D2" s="10"/>
      <c r="E2" s="10"/>
      <c r="F2" s="10"/>
    </row>
    <row r="3" spans="1:13" x14ac:dyDescent="0.35">
      <c r="A3" s="7" t="s">
        <v>22</v>
      </c>
      <c r="B3" s="11"/>
      <c r="C3" s="7"/>
      <c r="D3" s="7"/>
      <c r="E3" s="7"/>
      <c r="F3" s="7"/>
    </row>
    <row r="4" spans="1:13" x14ac:dyDescent="0.35">
      <c r="A4" s="7" t="s">
        <v>23</v>
      </c>
      <c r="B4" s="11"/>
      <c r="C4" s="7"/>
      <c r="D4" s="7"/>
      <c r="E4" s="7"/>
      <c r="F4" s="7"/>
    </row>
    <row r="5" spans="1:13" x14ac:dyDescent="0.35">
      <c r="A5" s="7" t="s">
        <v>24</v>
      </c>
      <c r="B5" s="11"/>
      <c r="C5" s="7"/>
      <c r="D5" s="7"/>
      <c r="E5" s="7"/>
      <c r="F5" s="7"/>
    </row>
    <row r="6" spans="1:13" x14ac:dyDescent="0.35">
      <c r="A6" s="7" t="s">
        <v>25</v>
      </c>
      <c r="B6" s="11"/>
      <c r="C6" s="7"/>
      <c r="D6" s="7"/>
      <c r="E6" s="7"/>
      <c r="F6" s="7"/>
    </row>
    <row r="7" spans="1:13" x14ac:dyDescent="0.35">
      <c r="A7" s="7" t="s">
        <v>26</v>
      </c>
      <c r="B7" s="11"/>
      <c r="C7" s="7"/>
      <c r="D7" s="7"/>
      <c r="E7" s="7"/>
      <c r="F7" s="7"/>
    </row>
    <row r="8" spans="1:13" x14ac:dyDescent="0.35">
      <c r="A8" s="7" t="s">
        <v>27</v>
      </c>
      <c r="B8" s="11"/>
      <c r="C8" s="7"/>
      <c r="D8" s="7"/>
      <c r="E8" s="7"/>
      <c r="F8" s="7"/>
    </row>
    <row r="9" spans="1:13" x14ac:dyDescent="0.35">
      <c r="A9" s="7" t="s">
        <v>28</v>
      </c>
      <c r="B9" s="11"/>
      <c r="C9" s="7"/>
      <c r="D9" s="7"/>
      <c r="E9" s="7"/>
      <c r="F9" s="7"/>
    </row>
    <row r="10" spans="1:13" x14ac:dyDescent="0.35">
      <c r="A10" s="7"/>
      <c r="B10" s="11"/>
      <c r="C10" s="7"/>
      <c r="D10" s="7"/>
      <c r="E10" s="7"/>
      <c r="F10" s="7"/>
    </row>
    <row r="11" spans="1:13" x14ac:dyDescent="0.35">
      <c r="A11" s="7" t="s">
        <v>32</v>
      </c>
      <c r="B11" s="201">
        <f>C2+1</f>
        <v>37001</v>
      </c>
      <c r="C11" s="13">
        <f>B11+6</f>
        <v>37007</v>
      </c>
      <c r="D11" s="7"/>
      <c r="E11" s="7"/>
      <c r="F11" s="7"/>
    </row>
    <row r="12" spans="1:13" x14ac:dyDescent="0.35">
      <c r="A12" s="7" t="s">
        <v>22</v>
      </c>
      <c r="B12" s="11"/>
      <c r="C12" s="7"/>
      <c r="D12" s="7"/>
      <c r="E12" s="7"/>
      <c r="F12" s="7"/>
    </row>
    <row r="13" spans="1:13" x14ac:dyDescent="0.35">
      <c r="A13" s="7" t="s">
        <v>23</v>
      </c>
      <c r="B13" s="11"/>
      <c r="C13" s="7"/>
      <c r="D13" s="7"/>
      <c r="E13" s="7"/>
      <c r="F13" s="7"/>
    </row>
    <row r="14" spans="1:13" x14ac:dyDescent="0.35">
      <c r="A14" s="7" t="s">
        <v>24</v>
      </c>
      <c r="B14" s="11"/>
      <c r="C14" s="7"/>
      <c r="D14" s="7"/>
      <c r="E14" s="7"/>
      <c r="F14" s="7"/>
    </row>
    <row r="15" spans="1:13" x14ac:dyDescent="0.35">
      <c r="A15" s="7" t="s">
        <v>25</v>
      </c>
      <c r="B15" s="11"/>
      <c r="C15" s="7"/>
      <c r="D15" s="7"/>
      <c r="E15" s="7"/>
      <c r="F15" s="7"/>
    </row>
    <row r="16" spans="1:13" x14ac:dyDescent="0.35">
      <c r="A16" s="7" t="s">
        <v>26</v>
      </c>
      <c r="B16" s="11"/>
      <c r="C16" s="7"/>
      <c r="D16" s="7"/>
      <c r="E16" s="7"/>
      <c r="F16" s="7"/>
    </row>
    <row r="17" spans="1:6" x14ac:dyDescent="0.35">
      <c r="A17" s="7" t="s">
        <v>27</v>
      </c>
      <c r="B17" s="11"/>
      <c r="C17" s="7"/>
      <c r="D17" s="7"/>
      <c r="E17" s="7"/>
      <c r="F17" s="7"/>
    </row>
    <row r="18" spans="1:6" x14ac:dyDescent="0.35">
      <c r="A18" s="7" t="s">
        <v>28</v>
      </c>
      <c r="B18" s="11"/>
      <c r="C18" s="7"/>
      <c r="D18" s="7"/>
      <c r="E18" s="7"/>
      <c r="F18" s="7"/>
    </row>
    <row r="19" spans="1:6" x14ac:dyDescent="0.35">
      <c r="A19" s="7"/>
      <c r="B19" s="11"/>
      <c r="C19" s="7"/>
      <c r="D19" s="7"/>
      <c r="E19" s="7"/>
      <c r="F19" s="7"/>
    </row>
    <row r="20" spans="1:6" x14ac:dyDescent="0.35">
      <c r="A20" s="7" t="s">
        <v>35</v>
      </c>
      <c r="B20" s="201">
        <f>C11+1</f>
        <v>37008</v>
      </c>
      <c r="C20" s="13">
        <f>B20+6</f>
        <v>37014</v>
      </c>
      <c r="D20" s="7"/>
      <c r="E20" s="7"/>
      <c r="F20" s="7"/>
    </row>
    <row r="21" spans="1:6" x14ac:dyDescent="0.35">
      <c r="A21" s="7" t="s">
        <v>22</v>
      </c>
      <c r="B21" s="11"/>
      <c r="C21" s="7"/>
      <c r="D21" s="7"/>
      <c r="E21" s="7"/>
      <c r="F21" s="7"/>
    </row>
    <row r="22" spans="1:6" x14ac:dyDescent="0.35">
      <c r="A22" s="7" t="s">
        <v>23</v>
      </c>
      <c r="B22" s="11"/>
      <c r="C22" s="7"/>
      <c r="D22" s="7"/>
      <c r="E22" s="7"/>
      <c r="F22" s="7"/>
    </row>
    <row r="23" spans="1:6" x14ac:dyDescent="0.35">
      <c r="A23" s="7" t="s">
        <v>24</v>
      </c>
      <c r="B23" s="11"/>
      <c r="C23" s="7"/>
      <c r="D23" s="7"/>
      <c r="E23" s="7"/>
      <c r="F23" s="7"/>
    </row>
    <row r="24" spans="1:6" x14ac:dyDescent="0.35">
      <c r="A24" s="7" t="s">
        <v>25</v>
      </c>
      <c r="B24" s="11"/>
      <c r="C24" s="7"/>
      <c r="D24" s="7"/>
      <c r="E24" s="7"/>
      <c r="F24" s="7"/>
    </row>
    <row r="25" spans="1:6" x14ac:dyDescent="0.35">
      <c r="A25" s="7" t="s">
        <v>26</v>
      </c>
      <c r="B25" s="11"/>
      <c r="C25" s="7"/>
      <c r="D25" s="7"/>
      <c r="E25" s="7"/>
      <c r="F25" s="7"/>
    </row>
    <row r="26" spans="1:6" x14ac:dyDescent="0.35">
      <c r="A26" s="7" t="s">
        <v>27</v>
      </c>
      <c r="B26" s="11"/>
      <c r="C26" s="7"/>
      <c r="D26" s="7"/>
      <c r="E26" s="7"/>
      <c r="F26" s="7"/>
    </row>
    <row r="27" spans="1:6" x14ac:dyDescent="0.35">
      <c r="A27" s="7" t="s">
        <v>28</v>
      </c>
      <c r="B27" s="11"/>
      <c r="C27" s="7"/>
      <c r="D27" s="7"/>
      <c r="E27" s="7"/>
      <c r="F27" s="7"/>
    </row>
    <row r="28" spans="1:6" x14ac:dyDescent="0.35">
      <c r="A28" s="7"/>
      <c r="B28" s="11"/>
      <c r="C28" s="7"/>
      <c r="D28" s="7"/>
      <c r="E28" s="7"/>
      <c r="F28" s="7"/>
    </row>
    <row r="29" spans="1:6" x14ac:dyDescent="0.35">
      <c r="A29" s="7" t="s">
        <v>36</v>
      </c>
      <c r="B29" s="201">
        <f>C20+1</f>
        <v>37015</v>
      </c>
      <c r="C29" s="13">
        <f>B29+6</f>
        <v>37021</v>
      </c>
      <c r="D29" s="7"/>
      <c r="E29" s="7"/>
      <c r="F29" s="7"/>
    </row>
    <row r="30" spans="1:6" x14ac:dyDescent="0.35">
      <c r="A30" s="7" t="s">
        <v>22</v>
      </c>
      <c r="B30" s="11"/>
      <c r="C30" s="7"/>
      <c r="D30" s="7"/>
      <c r="E30" s="7"/>
      <c r="F30" s="7"/>
    </row>
    <row r="31" spans="1:6" x14ac:dyDescent="0.35">
      <c r="A31" s="7" t="s">
        <v>23</v>
      </c>
      <c r="B31" s="11"/>
      <c r="C31" s="7"/>
      <c r="D31" s="7"/>
      <c r="E31" s="7"/>
      <c r="F31" s="7"/>
    </row>
    <row r="32" spans="1:6" x14ac:dyDescent="0.35">
      <c r="A32" s="7" t="s">
        <v>24</v>
      </c>
      <c r="B32" s="11"/>
      <c r="C32" s="7"/>
      <c r="D32" s="7"/>
      <c r="E32" s="7"/>
      <c r="F32" s="7"/>
    </row>
    <row r="33" spans="1:6" x14ac:dyDescent="0.35">
      <c r="A33" s="7" t="s">
        <v>25</v>
      </c>
      <c r="B33" s="11"/>
      <c r="C33" s="7"/>
      <c r="D33" s="7"/>
      <c r="E33" s="7"/>
      <c r="F33" s="7"/>
    </row>
    <row r="34" spans="1:6" x14ac:dyDescent="0.35">
      <c r="A34" s="7" t="s">
        <v>26</v>
      </c>
      <c r="B34" s="11"/>
      <c r="C34" s="7"/>
      <c r="D34" s="7"/>
      <c r="E34" s="7"/>
      <c r="F34" s="7"/>
    </row>
    <row r="35" spans="1:6" x14ac:dyDescent="0.35">
      <c r="A35" s="7" t="s">
        <v>27</v>
      </c>
      <c r="B35" s="11"/>
      <c r="C35" s="7"/>
      <c r="D35" s="7"/>
      <c r="E35" s="7"/>
      <c r="F35" s="7"/>
    </row>
    <row r="36" spans="1:6" x14ac:dyDescent="0.35">
      <c r="A36" s="7" t="s">
        <v>28</v>
      </c>
      <c r="B36" s="11"/>
      <c r="C36" s="7"/>
      <c r="D36" s="7"/>
      <c r="E36" s="7"/>
      <c r="F36" s="7"/>
    </row>
    <row r="37" spans="1:6" x14ac:dyDescent="0.35">
      <c r="A37" s="7"/>
      <c r="B37" s="11"/>
      <c r="C37" s="7"/>
      <c r="D37" s="7"/>
      <c r="E37" s="7"/>
      <c r="F37" s="7"/>
    </row>
    <row r="38" spans="1:6" x14ac:dyDescent="0.35">
      <c r="A38" s="7"/>
      <c r="B38" s="11"/>
      <c r="C38" s="7"/>
      <c r="D38" s="7"/>
      <c r="E38" s="7"/>
      <c r="F38" s="7"/>
    </row>
    <row r="39" spans="1:6" x14ac:dyDescent="0.35">
      <c r="A39" s="7" t="s">
        <v>37</v>
      </c>
      <c r="B39" s="201">
        <f>C29+1</f>
        <v>37022</v>
      </c>
      <c r="C39" s="13">
        <f>B39+6</f>
        <v>37028</v>
      </c>
      <c r="D39" s="7"/>
      <c r="E39" s="7"/>
      <c r="F39" s="7"/>
    </row>
    <row r="40" spans="1:6" x14ac:dyDescent="0.35">
      <c r="A40" s="7" t="s">
        <v>22</v>
      </c>
      <c r="B40" s="11"/>
      <c r="C40" s="7"/>
      <c r="D40" s="7"/>
      <c r="E40" s="7"/>
      <c r="F40" s="7"/>
    </row>
    <row r="41" spans="1:6" x14ac:dyDescent="0.35">
      <c r="A41" s="7" t="s">
        <v>23</v>
      </c>
      <c r="B41" s="11"/>
      <c r="C41" s="7"/>
      <c r="D41" s="7"/>
      <c r="E41" s="7"/>
      <c r="F41" s="7"/>
    </row>
    <row r="42" spans="1:6" x14ac:dyDescent="0.35">
      <c r="A42" s="7" t="s">
        <v>24</v>
      </c>
      <c r="B42" s="11"/>
      <c r="C42" s="7"/>
      <c r="D42" s="7"/>
      <c r="E42" s="7"/>
      <c r="F42" s="7"/>
    </row>
    <row r="43" spans="1:6" x14ac:dyDescent="0.35">
      <c r="A43" s="7" t="s">
        <v>25</v>
      </c>
      <c r="B43" s="11"/>
      <c r="C43" s="7"/>
      <c r="D43" s="7"/>
      <c r="E43" s="7"/>
      <c r="F43" s="7"/>
    </row>
    <row r="44" spans="1:6" x14ac:dyDescent="0.35">
      <c r="A44" s="7" t="s">
        <v>26</v>
      </c>
      <c r="B44" s="11"/>
      <c r="C44" s="7"/>
      <c r="D44" s="7"/>
      <c r="E44" s="7"/>
      <c r="F44" s="7"/>
    </row>
    <row r="45" spans="1:6" x14ac:dyDescent="0.35">
      <c r="A45" s="7" t="s">
        <v>27</v>
      </c>
      <c r="B45" s="11"/>
      <c r="C45" s="7"/>
      <c r="D45" s="7"/>
      <c r="E45" s="7"/>
      <c r="F45" s="7"/>
    </row>
    <row r="46" spans="1:6" x14ac:dyDescent="0.35">
      <c r="A46" s="7" t="s">
        <v>28</v>
      </c>
      <c r="B46" s="11"/>
      <c r="C46" s="7"/>
      <c r="D46" s="7"/>
      <c r="E46" s="7"/>
      <c r="F46" s="7"/>
    </row>
    <row r="47" spans="1:6" x14ac:dyDescent="0.35">
      <c r="A47" s="7"/>
      <c r="B47" s="11"/>
      <c r="C47" s="7"/>
      <c r="D47" s="7"/>
      <c r="E47" s="7"/>
      <c r="F47" s="7"/>
    </row>
    <row r="48" spans="1:6" x14ac:dyDescent="0.35">
      <c r="A48" s="7"/>
      <c r="B48" s="11"/>
      <c r="C48" s="7"/>
      <c r="D48" s="7"/>
      <c r="E48" s="7"/>
      <c r="F48" s="7"/>
    </row>
    <row r="49" spans="1:6" x14ac:dyDescent="0.35">
      <c r="A49" s="7" t="s">
        <v>38</v>
      </c>
      <c r="B49" s="201">
        <f>C39+1</f>
        <v>37029</v>
      </c>
      <c r="C49" s="13">
        <f>B49+6</f>
        <v>37035</v>
      </c>
      <c r="D49" s="7"/>
      <c r="E49" s="7"/>
      <c r="F49" s="7"/>
    </row>
    <row r="50" spans="1:6" x14ac:dyDescent="0.35">
      <c r="A50" s="7" t="s">
        <v>22</v>
      </c>
      <c r="B50" s="11"/>
      <c r="C50" s="7"/>
      <c r="D50" s="7"/>
      <c r="E50" s="7"/>
      <c r="F50" s="7"/>
    </row>
    <row r="51" spans="1:6" x14ac:dyDescent="0.35">
      <c r="A51" s="7" t="s">
        <v>23</v>
      </c>
      <c r="B51" s="11"/>
      <c r="C51" s="7"/>
      <c r="D51" s="7"/>
      <c r="E51" s="7"/>
      <c r="F51" s="7"/>
    </row>
    <row r="52" spans="1:6" x14ac:dyDescent="0.35">
      <c r="A52" s="7" t="s">
        <v>24</v>
      </c>
      <c r="B52" s="11"/>
      <c r="C52" s="7"/>
      <c r="D52" s="7"/>
      <c r="E52" s="7"/>
      <c r="F52" s="7"/>
    </row>
    <row r="53" spans="1:6" x14ac:dyDescent="0.35">
      <c r="A53" s="7" t="s">
        <v>25</v>
      </c>
      <c r="B53" s="11"/>
      <c r="C53" s="7"/>
      <c r="D53" s="7"/>
      <c r="E53" s="7"/>
      <c r="F53" s="7"/>
    </row>
    <row r="54" spans="1:6" x14ac:dyDescent="0.35">
      <c r="A54" s="7" t="s">
        <v>26</v>
      </c>
      <c r="B54" s="11"/>
      <c r="C54" s="7"/>
      <c r="D54" s="7"/>
      <c r="E54" s="7"/>
      <c r="F54" s="7"/>
    </row>
    <row r="55" spans="1:6" x14ac:dyDescent="0.35">
      <c r="A55" s="7" t="s">
        <v>27</v>
      </c>
      <c r="B55" s="11"/>
      <c r="C55" s="7"/>
      <c r="D55" s="7"/>
      <c r="E55" s="7"/>
      <c r="F55" s="7"/>
    </row>
    <row r="56" spans="1:6" x14ac:dyDescent="0.35">
      <c r="A56" s="7" t="s">
        <v>28</v>
      </c>
      <c r="B56" s="11"/>
      <c r="C56" s="7"/>
      <c r="D56" s="7"/>
      <c r="E56" s="7"/>
      <c r="F56" s="7"/>
    </row>
    <row r="57" spans="1:6" x14ac:dyDescent="0.35">
      <c r="A57" s="7"/>
      <c r="B57" s="11"/>
      <c r="C57" s="7"/>
      <c r="D57" s="7"/>
      <c r="E57" s="7"/>
      <c r="F57" s="7"/>
    </row>
    <row r="58" spans="1:6" x14ac:dyDescent="0.35">
      <c r="A58" s="7"/>
      <c r="B58" s="11"/>
      <c r="C58" s="7"/>
      <c r="D58" s="7"/>
      <c r="E58" s="7"/>
      <c r="F58" s="7"/>
    </row>
    <row r="59" spans="1:6" x14ac:dyDescent="0.35">
      <c r="A59" s="7" t="s">
        <v>39</v>
      </c>
      <c r="B59" s="201">
        <f>C49+1</f>
        <v>37036</v>
      </c>
      <c r="C59" s="13">
        <f>B59+6</f>
        <v>37042</v>
      </c>
      <c r="D59" s="7"/>
      <c r="E59" s="7"/>
      <c r="F59" s="7"/>
    </row>
    <row r="60" spans="1:6" x14ac:dyDescent="0.35">
      <c r="A60" s="7" t="s">
        <v>22</v>
      </c>
      <c r="B60" s="11"/>
      <c r="C60" s="7"/>
      <c r="D60" s="7"/>
      <c r="E60" s="7"/>
      <c r="F60" s="7"/>
    </row>
    <row r="61" spans="1:6" x14ac:dyDescent="0.35">
      <c r="A61" s="7" t="s">
        <v>23</v>
      </c>
      <c r="B61" s="11"/>
      <c r="C61" s="7"/>
      <c r="D61" s="7"/>
      <c r="E61" s="7"/>
      <c r="F61" s="7"/>
    </row>
    <row r="62" spans="1:6" x14ac:dyDescent="0.35">
      <c r="A62" s="7" t="s">
        <v>24</v>
      </c>
      <c r="B62" s="11"/>
      <c r="C62" s="7"/>
      <c r="D62" s="7"/>
      <c r="E62" s="7"/>
      <c r="F62" s="7"/>
    </row>
    <row r="63" spans="1:6" x14ac:dyDescent="0.35">
      <c r="A63" s="7" t="s">
        <v>25</v>
      </c>
      <c r="B63" s="11"/>
      <c r="C63" s="7"/>
      <c r="D63" s="7"/>
      <c r="E63" s="7"/>
      <c r="F63" s="7"/>
    </row>
    <row r="64" spans="1:6" x14ac:dyDescent="0.35">
      <c r="A64" s="7" t="s">
        <v>26</v>
      </c>
      <c r="B64" s="11"/>
      <c r="C64" s="7"/>
      <c r="D64" s="7"/>
      <c r="E64" s="7"/>
      <c r="F64" s="7"/>
    </row>
    <row r="65" spans="1:6" x14ac:dyDescent="0.35">
      <c r="A65" s="7" t="s">
        <v>27</v>
      </c>
      <c r="B65" s="11"/>
      <c r="C65" s="7"/>
      <c r="D65" s="7"/>
      <c r="E65" s="7"/>
      <c r="F65" s="7"/>
    </row>
    <row r="66" spans="1:6" x14ac:dyDescent="0.35">
      <c r="A66" s="7" t="s">
        <v>28</v>
      </c>
      <c r="B66" s="11"/>
      <c r="C66" s="7"/>
      <c r="D66" s="7"/>
      <c r="E66" s="7"/>
      <c r="F66" s="7"/>
    </row>
    <row r="67" spans="1:6" x14ac:dyDescent="0.35">
      <c r="A67" s="7"/>
      <c r="B67" s="11"/>
      <c r="C67" s="7"/>
      <c r="D67" s="7"/>
      <c r="E67" s="7"/>
      <c r="F67" s="7"/>
    </row>
    <row r="68" spans="1:6" x14ac:dyDescent="0.35">
      <c r="A68" s="7" t="s">
        <v>40</v>
      </c>
      <c r="B68" s="201">
        <f>C59+1</f>
        <v>37043</v>
      </c>
      <c r="C68" s="13">
        <f>B68+6</f>
        <v>37049</v>
      </c>
      <c r="D68" s="7"/>
      <c r="E68" s="7"/>
      <c r="F68" s="7"/>
    </row>
    <row r="69" spans="1:6" x14ac:dyDescent="0.35">
      <c r="A69" s="7" t="s">
        <v>22</v>
      </c>
      <c r="B69" s="11"/>
      <c r="C69" s="7"/>
      <c r="D69" s="7"/>
      <c r="E69" s="7"/>
      <c r="F69" s="7"/>
    </row>
    <row r="70" spans="1:6" x14ac:dyDescent="0.35">
      <c r="A70" s="7" t="s">
        <v>23</v>
      </c>
      <c r="B70" s="11"/>
      <c r="C70" s="7"/>
      <c r="D70" s="7"/>
      <c r="E70" s="7"/>
      <c r="F70" s="7"/>
    </row>
    <row r="71" spans="1:6" x14ac:dyDescent="0.35">
      <c r="A71" s="7" t="s">
        <v>24</v>
      </c>
      <c r="B71" s="11"/>
      <c r="C71" s="7"/>
      <c r="D71" s="7"/>
      <c r="E71" s="7"/>
      <c r="F71" s="7"/>
    </row>
    <row r="72" spans="1:6" x14ac:dyDescent="0.35">
      <c r="A72" s="7" t="s">
        <v>25</v>
      </c>
      <c r="B72" s="11"/>
      <c r="C72" s="7"/>
      <c r="D72" s="7"/>
      <c r="E72" s="7"/>
      <c r="F72" s="7"/>
    </row>
    <row r="73" spans="1:6" x14ac:dyDescent="0.35">
      <c r="A73" s="7" t="s">
        <v>26</v>
      </c>
      <c r="B73" s="11"/>
      <c r="C73" s="7"/>
      <c r="D73" s="7"/>
      <c r="E73" s="7"/>
      <c r="F73" s="7"/>
    </row>
    <row r="74" spans="1:6" x14ac:dyDescent="0.35">
      <c r="A74" s="7" t="s">
        <v>27</v>
      </c>
      <c r="B74" s="11"/>
      <c r="C74" s="7"/>
      <c r="D74" s="7"/>
      <c r="E74" s="7"/>
      <c r="F74" s="7"/>
    </row>
    <row r="75" spans="1:6" x14ac:dyDescent="0.35">
      <c r="A75" s="7" t="s">
        <v>28</v>
      </c>
      <c r="B75" s="11"/>
      <c r="C75" s="7"/>
      <c r="D75" s="7"/>
      <c r="E75" s="7"/>
      <c r="F75" s="7"/>
    </row>
    <row r="76" spans="1:6" x14ac:dyDescent="0.35">
      <c r="A76" s="7"/>
      <c r="B76" s="11"/>
      <c r="C76" s="7"/>
      <c r="D76" s="7"/>
      <c r="E76" s="7"/>
      <c r="F76" s="7"/>
    </row>
    <row r="77" spans="1:6" x14ac:dyDescent="0.35">
      <c r="A77" s="7"/>
      <c r="B77" s="11"/>
      <c r="C77" s="7"/>
      <c r="D77" s="7"/>
      <c r="E77" s="7"/>
      <c r="F77" s="7"/>
    </row>
    <row r="78" spans="1:6" x14ac:dyDescent="0.35">
      <c r="A78" s="7"/>
      <c r="B78" s="11"/>
      <c r="C78" s="7"/>
      <c r="D78" s="7"/>
      <c r="E78" s="7"/>
      <c r="F78" s="7"/>
    </row>
    <row r="79" spans="1:6" x14ac:dyDescent="0.35">
      <c r="A79" s="7"/>
      <c r="B79" s="11"/>
      <c r="C79" s="7"/>
      <c r="D79" s="7"/>
      <c r="E79" s="7"/>
      <c r="F79" s="7"/>
    </row>
    <row r="80" spans="1:6" x14ac:dyDescent="0.35">
      <c r="A80" s="7" t="s">
        <v>60</v>
      </c>
      <c r="B80" s="201">
        <f>C68+1</f>
        <v>37050</v>
      </c>
      <c r="C80" s="13">
        <f>B80+6</f>
        <v>37056</v>
      </c>
      <c r="D80" s="7"/>
      <c r="E80" s="7"/>
      <c r="F80" s="7"/>
    </row>
    <row r="81" spans="1:6" x14ac:dyDescent="0.35">
      <c r="A81" s="7" t="s">
        <v>22</v>
      </c>
      <c r="B81" s="11"/>
      <c r="C81" s="7"/>
      <c r="D81" s="7"/>
      <c r="E81" s="7"/>
      <c r="F81" s="7"/>
    </row>
    <row r="82" spans="1:6" x14ac:dyDescent="0.35">
      <c r="A82" s="7" t="s">
        <v>23</v>
      </c>
      <c r="B82" s="11"/>
      <c r="C82" s="7"/>
      <c r="D82" s="7"/>
      <c r="E82" s="7"/>
      <c r="F82" s="7"/>
    </row>
    <row r="83" spans="1:6" x14ac:dyDescent="0.35">
      <c r="A83" s="7" t="s">
        <v>24</v>
      </c>
      <c r="B83" s="11"/>
      <c r="C83" s="7"/>
      <c r="D83" s="7"/>
      <c r="E83" s="7"/>
      <c r="F83" s="7"/>
    </row>
    <row r="84" spans="1:6" x14ac:dyDescent="0.35">
      <c r="A84" s="7" t="s">
        <v>25</v>
      </c>
      <c r="B84" s="11"/>
      <c r="C84" s="7"/>
      <c r="D84" s="7"/>
      <c r="E84" s="7"/>
      <c r="F84" s="7"/>
    </row>
    <row r="85" spans="1:6" x14ac:dyDescent="0.35">
      <c r="A85" s="7" t="s">
        <v>26</v>
      </c>
      <c r="B85" s="11"/>
      <c r="C85" s="7"/>
      <c r="D85" s="7"/>
      <c r="E85" s="7"/>
      <c r="F85" s="7"/>
    </row>
    <row r="86" spans="1:6" x14ac:dyDescent="0.35">
      <c r="A86" s="7" t="s">
        <v>27</v>
      </c>
      <c r="B86" s="11"/>
      <c r="C86" s="7"/>
      <c r="D86" s="7"/>
      <c r="E86" s="7"/>
      <c r="F86" s="7"/>
    </row>
    <row r="87" spans="1:6" x14ac:dyDescent="0.35">
      <c r="A87" s="7" t="s">
        <v>28</v>
      </c>
      <c r="B87" s="11"/>
      <c r="C87" s="7"/>
      <c r="D87" s="7"/>
      <c r="E87" s="7"/>
      <c r="F87" s="7"/>
    </row>
    <row r="88" spans="1:6" x14ac:dyDescent="0.35">
      <c r="A88" s="7"/>
      <c r="B88" s="11"/>
      <c r="C88" s="7"/>
      <c r="D88" s="7"/>
      <c r="E88" s="7"/>
      <c r="F88" s="7"/>
    </row>
    <row r="89" spans="1:6" x14ac:dyDescent="0.35">
      <c r="A89" s="7"/>
      <c r="B89" s="11"/>
      <c r="C89" s="7"/>
      <c r="D89" s="7"/>
      <c r="E89" s="7"/>
      <c r="F89" s="7"/>
    </row>
    <row r="90" spans="1:6" x14ac:dyDescent="0.35">
      <c r="A90" s="7" t="s">
        <v>54</v>
      </c>
      <c r="B90" s="201">
        <f>C80+1</f>
        <v>37057</v>
      </c>
      <c r="C90" s="13">
        <f>B90+6</f>
        <v>37063</v>
      </c>
      <c r="D90" s="7"/>
      <c r="E90" s="7"/>
      <c r="F90" s="7"/>
    </row>
    <row r="91" spans="1:6" x14ac:dyDescent="0.35">
      <c r="A91" s="7" t="s">
        <v>22</v>
      </c>
      <c r="B91" s="11"/>
      <c r="C91" s="7"/>
      <c r="D91" s="7"/>
      <c r="E91" s="7"/>
      <c r="F91" s="7"/>
    </row>
    <row r="92" spans="1:6" x14ac:dyDescent="0.35">
      <c r="A92" s="7" t="s">
        <v>23</v>
      </c>
      <c r="B92" s="11"/>
      <c r="C92" s="7"/>
      <c r="D92" s="7"/>
      <c r="E92" s="7"/>
      <c r="F92" s="7"/>
    </row>
    <row r="93" spans="1:6" x14ac:dyDescent="0.35">
      <c r="A93" s="7" t="s">
        <v>24</v>
      </c>
      <c r="B93" s="11"/>
      <c r="C93" s="7"/>
      <c r="D93" s="7"/>
      <c r="E93" s="7"/>
      <c r="F93" s="7"/>
    </row>
    <row r="94" spans="1:6" x14ac:dyDescent="0.35">
      <c r="A94" s="7" t="s">
        <v>25</v>
      </c>
      <c r="B94" s="11"/>
      <c r="C94" s="7"/>
      <c r="D94" s="7"/>
      <c r="E94" s="7"/>
      <c r="F94" s="7"/>
    </row>
    <row r="95" spans="1:6" x14ac:dyDescent="0.35">
      <c r="A95" s="7" t="s">
        <v>26</v>
      </c>
      <c r="B95" s="11"/>
      <c r="C95" s="7"/>
      <c r="D95" s="7"/>
      <c r="E95" s="7"/>
      <c r="F95" s="7"/>
    </row>
    <row r="96" spans="1:6" x14ac:dyDescent="0.35">
      <c r="A96" s="7" t="s">
        <v>27</v>
      </c>
      <c r="B96" s="11"/>
      <c r="C96" s="7"/>
      <c r="D96" s="7"/>
      <c r="E96" s="7"/>
      <c r="F96" s="7"/>
    </row>
    <row r="97" spans="1:6" x14ac:dyDescent="0.35">
      <c r="A97" s="7" t="s">
        <v>28</v>
      </c>
      <c r="B97" s="11"/>
      <c r="C97" s="7"/>
      <c r="D97" s="7"/>
      <c r="E97" s="7"/>
      <c r="F97" s="7"/>
    </row>
    <row r="98" spans="1:6" x14ac:dyDescent="0.35">
      <c r="A98" s="7"/>
      <c r="B98" s="11"/>
      <c r="C98" s="7"/>
      <c r="D98" s="7"/>
      <c r="E98" s="7"/>
      <c r="F98" s="7"/>
    </row>
    <row r="99" spans="1:6" x14ac:dyDescent="0.35">
      <c r="A99" s="7"/>
      <c r="B99" s="11"/>
      <c r="C99" s="7"/>
      <c r="D99" s="7"/>
      <c r="E99" s="7"/>
      <c r="F99" s="7"/>
    </row>
    <row r="100" spans="1:6" x14ac:dyDescent="0.35">
      <c r="A100" s="7" t="s">
        <v>55</v>
      </c>
      <c r="B100" s="201">
        <f>C90+1</f>
        <v>37064</v>
      </c>
      <c r="C100" s="13">
        <f>B100+6</f>
        <v>37070</v>
      </c>
      <c r="D100" s="7"/>
      <c r="E100" s="7"/>
      <c r="F100" s="7"/>
    </row>
    <row r="101" spans="1:6" x14ac:dyDescent="0.35">
      <c r="A101" s="7" t="s">
        <v>22</v>
      </c>
      <c r="B101" s="11"/>
      <c r="C101" s="7"/>
      <c r="D101" s="7"/>
      <c r="E101" s="7"/>
      <c r="F101" s="7"/>
    </row>
    <row r="102" spans="1:6" x14ac:dyDescent="0.35">
      <c r="A102" s="7" t="s">
        <v>23</v>
      </c>
      <c r="B102" s="11"/>
      <c r="C102" s="7"/>
      <c r="D102" s="7"/>
      <c r="E102" s="7"/>
      <c r="F102" s="7"/>
    </row>
    <row r="103" spans="1:6" x14ac:dyDescent="0.35">
      <c r="A103" s="7" t="s">
        <v>24</v>
      </c>
      <c r="B103" s="11"/>
      <c r="C103" s="7"/>
      <c r="D103" s="7"/>
      <c r="E103" s="7"/>
      <c r="F103" s="7"/>
    </row>
    <row r="104" spans="1:6" x14ac:dyDescent="0.35">
      <c r="A104" s="7" t="s">
        <v>25</v>
      </c>
      <c r="B104" s="11"/>
      <c r="C104" s="7"/>
      <c r="D104" s="7"/>
      <c r="E104" s="7"/>
      <c r="F104" s="7"/>
    </row>
    <row r="105" spans="1:6" x14ac:dyDescent="0.35">
      <c r="A105" s="7" t="s">
        <v>26</v>
      </c>
      <c r="B105" s="11"/>
      <c r="C105" s="7"/>
      <c r="D105" s="7"/>
      <c r="E105" s="7"/>
      <c r="F105" s="7"/>
    </row>
    <row r="106" spans="1:6" x14ac:dyDescent="0.35">
      <c r="A106" s="7" t="s">
        <v>27</v>
      </c>
      <c r="B106" s="11"/>
      <c r="C106" s="7"/>
      <c r="D106" s="7"/>
      <c r="E106" s="7"/>
      <c r="F106" s="7"/>
    </row>
    <row r="107" spans="1:6" x14ac:dyDescent="0.35">
      <c r="A107" s="7" t="s">
        <v>28</v>
      </c>
      <c r="B107" s="11"/>
      <c r="C107" s="7"/>
      <c r="D107" s="7"/>
      <c r="E107" s="7"/>
      <c r="F107" s="7"/>
    </row>
    <row r="108" spans="1:6" x14ac:dyDescent="0.35">
      <c r="A108" s="7"/>
      <c r="B108" s="11"/>
      <c r="C108" s="7"/>
      <c r="D108" s="7"/>
      <c r="E108" s="7"/>
      <c r="F108" s="7"/>
    </row>
    <row r="109" spans="1:6" x14ac:dyDescent="0.35">
      <c r="A109" s="7"/>
      <c r="B109" s="11"/>
      <c r="C109" s="7"/>
      <c r="D109" s="7"/>
      <c r="E109" s="7"/>
      <c r="F109" s="7"/>
    </row>
    <row r="110" spans="1:6" x14ac:dyDescent="0.35">
      <c r="A110" s="7" t="s">
        <v>56</v>
      </c>
      <c r="B110" s="201">
        <f>C100+1</f>
        <v>37071</v>
      </c>
      <c r="C110" s="13">
        <f>B110+6</f>
        <v>37077</v>
      </c>
      <c r="D110" s="7"/>
      <c r="E110" s="7"/>
      <c r="F110" s="7"/>
    </row>
    <row r="111" spans="1:6" x14ac:dyDescent="0.35">
      <c r="A111" s="7" t="s">
        <v>22</v>
      </c>
      <c r="B111" s="11"/>
      <c r="C111" s="7"/>
      <c r="D111" s="7"/>
      <c r="E111" s="7"/>
      <c r="F111" s="7"/>
    </row>
    <row r="112" spans="1:6" x14ac:dyDescent="0.35">
      <c r="A112" s="7" t="s">
        <v>23</v>
      </c>
      <c r="B112" s="11"/>
      <c r="C112" s="7"/>
      <c r="D112" s="7"/>
      <c r="E112" s="7"/>
      <c r="F112" s="7"/>
    </row>
    <row r="113" spans="1:6" x14ac:dyDescent="0.35">
      <c r="A113" s="7" t="s">
        <v>24</v>
      </c>
      <c r="B113" s="11"/>
      <c r="C113" s="7"/>
      <c r="D113" s="7"/>
      <c r="E113" s="7"/>
      <c r="F113" s="7"/>
    </row>
    <row r="114" spans="1:6" x14ac:dyDescent="0.35">
      <c r="A114" s="7" t="s">
        <v>25</v>
      </c>
      <c r="B114" s="11"/>
      <c r="C114" s="7"/>
      <c r="D114" s="7"/>
      <c r="E114" s="7"/>
      <c r="F114" s="7"/>
    </row>
    <row r="115" spans="1:6" x14ac:dyDescent="0.35">
      <c r="A115" s="7" t="s">
        <v>26</v>
      </c>
      <c r="B115" s="11"/>
      <c r="C115" s="7"/>
      <c r="D115" s="7"/>
      <c r="E115" s="7"/>
      <c r="F115" s="7"/>
    </row>
    <row r="116" spans="1:6" x14ac:dyDescent="0.35">
      <c r="A116" s="7" t="s">
        <v>27</v>
      </c>
      <c r="B116" s="11"/>
      <c r="C116" s="7"/>
      <c r="D116" s="7"/>
      <c r="E116" s="7"/>
      <c r="F116" s="7"/>
    </row>
    <row r="117" spans="1:6" x14ac:dyDescent="0.35">
      <c r="A117" s="7" t="s">
        <v>28</v>
      </c>
      <c r="B117" s="11"/>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208" t="s">
        <v>89</v>
      </c>
      <c r="L1" s="208"/>
      <c r="M1" s="208"/>
      <c r="N1" s="208"/>
    </row>
    <row r="2" spans="1:26" x14ac:dyDescent="0.35">
      <c r="A2" s="60"/>
      <c r="B2" s="60"/>
      <c r="C2" s="60"/>
      <c r="D2" s="60"/>
      <c r="E2" s="60"/>
      <c r="F2" s="60"/>
      <c r="G2" s="60"/>
      <c r="H2" s="60"/>
      <c r="I2" s="60"/>
      <c r="J2" s="60"/>
      <c r="K2" s="211" t="s">
        <v>139</v>
      </c>
      <c r="L2" s="211"/>
      <c r="M2" s="211"/>
      <c r="N2" s="211"/>
    </row>
    <row r="3" spans="1:26" x14ac:dyDescent="0.35">
      <c r="A3" s="60"/>
      <c r="B3" s="60"/>
      <c r="C3" s="60"/>
      <c r="D3" s="60"/>
      <c r="E3" s="60"/>
      <c r="F3" s="60"/>
      <c r="G3" s="60"/>
      <c r="H3" s="60"/>
      <c r="I3" s="60"/>
      <c r="J3" s="60"/>
      <c r="K3" s="60"/>
      <c r="L3" s="60"/>
    </row>
    <row r="4" spans="1:26" ht="103.5" customHeight="1" x14ac:dyDescent="0.35">
      <c r="A4" s="210" t="s">
        <v>147</v>
      </c>
      <c r="B4" s="210"/>
      <c r="C4" s="210"/>
      <c r="D4" s="210"/>
      <c r="E4" s="210"/>
      <c r="F4" s="210"/>
      <c r="G4" s="210"/>
      <c r="H4" s="210"/>
      <c r="I4" s="210"/>
      <c r="J4" s="210"/>
      <c r="K4" s="210"/>
      <c r="L4" s="210"/>
      <c r="M4" s="210"/>
      <c r="N4" s="210"/>
      <c r="O4" s="210"/>
      <c r="P4" s="210"/>
      <c r="Q4" s="210"/>
      <c r="R4" s="210"/>
      <c r="S4" s="210"/>
      <c r="T4" s="210"/>
      <c r="U4" s="210"/>
      <c r="V4" s="210"/>
      <c r="W4" s="210"/>
      <c r="X4" s="210"/>
      <c r="Y4" s="210"/>
      <c r="Z4" s="210"/>
    </row>
    <row r="5" spans="1:26" x14ac:dyDescent="0.35">
      <c r="A5" s="60"/>
      <c r="B5" s="60"/>
      <c r="C5" s="60"/>
      <c r="D5" s="60"/>
      <c r="E5" s="60"/>
      <c r="F5" s="60"/>
      <c r="G5" s="60"/>
      <c r="H5" s="60"/>
      <c r="I5" s="60"/>
      <c r="J5" s="60"/>
      <c r="K5" s="60"/>
      <c r="L5" s="60"/>
    </row>
    <row r="6" spans="1:26" ht="253.5" customHeight="1" x14ac:dyDescent="0.35">
      <c r="A6" s="212" t="s">
        <v>148</v>
      </c>
      <c r="B6" s="212"/>
      <c r="C6" s="212"/>
      <c r="D6" s="212"/>
      <c r="E6" s="212"/>
      <c r="F6" s="212"/>
      <c r="G6" s="212"/>
      <c r="H6" s="212"/>
      <c r="I6" s="212"/>
      <c r="J6" s="212"/>
      <c r="K6" s="212"/>
      <c r="L6" s="212"/>
      <c r="M6" s="212"/>
      <c r="N6" s="212"/>
      <c r="O6" s="212"/>
      <c r="P6" s="212"/>
      <c r="Q6" s="212"/>
      <c r="R6" s="212"/>
      <c r="S6" s="212"/>
      <c r="T6" s="212"/>
      <c r="U6" s="212"/>
      <c r="V6" s="212"/>
      <c r="W6" s="212"/>
      <c r="X6" s="212"/>
      <c r="Y6" s="212"/>
      <c r="Z6" s="212"/>
    </row>
    <row r="7" spans="1:26" x14ac:dyDescent="0.35">
      <c r="A7" s="60"/>
      <c r="B7" s="60"/>
      <c r="C7" s="60"/>
      <c r="D7" s="60"/>
      <c r="E7" s="60"/>
      <c r="F7" s="60"/>
      <c r="G7" s="60"/>
      <c r="H7" s="60"/>
      <c r="I7" s="60"/>
      <c r="J7" s="60"/>
      <c r="K7" s="60"/>
      <c r="L7" s="60"/>
    </row>
    <row r="8" spans="1:26" ht="409.5" customHeight="1" x14ac:dyDescent="0.35">
      <c r="A8" s="213" t="s">
        <v>168</v>
      </c>
      <c r="B8" s="213"/>
      <c r="C8" s="213"/>
      <c r="D8" s="213"/>
      <c r="E8" s="213"/>
      <c r="F8" s="213"/>
      <c r="G8" s="213"/>
      <c r="H8" s="213"/>
      <c r="I8" s="213"/>
      <c r="J8" s="213"/>
      <c r="K8" s="213"/>
      <c r="L8" s="213"/>
      <c r="M8" s="213"/>
      <c r="N8" s="213"/>
      <c r="O8" s="213"/>
      <c r="P8" s="213"/>
      <c r="Q8" s="213"/>
      <c r="R8" s="213"/>
      <c r="S8" s="213"/>
      <c r="T8" s="213"/>
      <c r="U8" s="213"/>
      <c r="V8" s="213"/>
      <c r="W8" s="213"/>
      <c r="X8" s="213"/>
      <c r="Y8" s="213"/>
      <c r="Z8" s="213"/>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158</v>
      </c>
    </row>
    <row r="13" spans="1:26" x14ac:dyDescent="0.35">
      <c r="A13" s="60" t="s">
        <v>152</v>
      </c>
      <c r="B13" s="60"/>
      <c r="C13" s="60"/>
      <c r="D13" s="60"/>
      <c r="E13" s="60"/>
      <c r="F13" s="60"/>
      <c r="G13" s="60"/>
      <c r="H13" s="60"/>
      <c r="I13" s="60"/>
      <c r="J13" s="60"/>
      <c r="K13" s="60"/>
      <c r="L13" s="60"/>
      <c r="U13" s="181" t="s">
        <v>159</v>
      </c>
      <c r="W13" s="187" t="s">
        <v>160</v>
      </c>
    </row>
    <row r="14" spans="1:26" x14ac:dyDescent="0.35">
      <c r="A14" s="60" t="s">
        <v>153</v>
      </c>
      <c r="B14" s="60"/>
      <c r="C14" s="60"/>
      <c r="D14" s="60"/>
      <c r="E14" s="60"/>
      <c r="F14" s="60"/>
      <c r="G14" s="60"/>
      <c r="H14" s="60"/>
      <c r="I14" s="60"/>
      <c r="J14" s="60"/>
      <c r="K14" s="60"/>
      <c r="L14" s="60"/>
      <c r="U14" s="181" t="s">
        <v>161</v>
      </c>
      <c r="W14" s="209" t="s">
        <v>162</v>
      </c>
      <c r="X14" s="209"/>
      <c r="Y14" s="187" t="s">
        <v>163</v>
      </c>
    </row>
    <row r="15" spans="1:26" x14ac:dyDescent="0.35">
      <c r="A15" s="60" t="s">
        <v>154</v>
      </c>
      <c r="B15" s="60"/>
      <c r="C15" s="60"/>
      <c r="E15" s="185" t="s">
        <v>155</v>
      </c>
      <c r="F15" s="60"/>
      <c r="G15" s="60"/>
      <c r="H15" s="60"/>
      <c r="I15" s="60"/>
      <c r="J15" s="60"/>
      <c r="K15" s="60"/>
      <c r="L15" s="60"/>
      <c r="W15" s="187" t="s">
        <v>164</v>
      </c>
    </row>
    <row r="16" spans="1:26" x14ac:dyDescent="0.35">
      <c r="A16" s="60"/>
      <c r="B16" s="60"/>
      <c r="C16" s="60"/>
      <c r="D16" s="60"/>
      <c r="E16" s="60"/>
      <c r="F16" s="60"/>
      <c r="G16" s="60"/>
      <c r="H16" s="60"/>
      <c r="I16" s="60"/>
      <c r="J16" s="60"/>
      <c r="K16" s="60"/>
      <c r="L16" s="60"/>
      <c r="U16" s="181" t="s">
        <v>165</v>
      </c>
      <c r="W16" s="187" t="s">
        <v>166</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151</v>
      </c>
      <c r="B37" s="60"/>
      <c r="C37" s="60"/>
      <c r="D37" s="60"/>
      <c r="E37" s="60"/>
      <c r="F37" s="60"/>
      <c r="G37" s="60"/>
      <c r="H37" s="60"/>
      <c r="I37" s="60"/>
      <c r="J37" s="60"/>
      <c r="K37" s="60"/>
      <c r="L37" s="60"/>
    </row>
    <row r="38" spans="1:13" x14ac:dyDescent="0.35">
      <c r="A38" s="60" t="s">
        <v>90</v>
      </c>
      <c r="B38" s="60"/>
      <c r="C38" s="60"/>
      <c r="D38" s="60"/>
      <c r="E38" s="182" t="s">
        <v>92</v>
      </c>
      <c r="F38" s="60" t="s">
        <v>93</v>
      </c>
      <c r="G38" s="60"/>
      <c r="H38" s="60"/>
      <c r="I38" s="60"/>
      <c r="J38" s="60"/>
      <c r="K38" s="60"/>
      <c r="L38" s="60"/>
    </row>
    <row r="39" spans="1:13" x14ac:dyDescent="0.35">
      <c r="A39" s="60" t="s">
        <v>91</v>
      </c>
      <c r="B39" s="60"/>
      <c r="C39" s="60"/>
      <c r="D39" s="60"/>
      <c r="E39" s="182" t="s">
        <v>92</v>
      </c>
      <c r="F39" s="60" t="s">
        <v>94</v>
      </c>
      <c r="G39" s="60"/>
      <c r="H39" s="60"/>
      <c r="I39" s="60"/>
      <c r="J39" s="60"/>
      <c r="K39" s="183" t="s">
        <v>95</v>
      </c>
      <c r="L39" s="60"/>
    </row>
    <row r="40" spans="1:13" x14ac:dyDescent="0.35">
      <c r="A40" s="60"/>
      <c r="B40" s="60"/>
      <c r="C40" s="60"/>
      <c r="D40" s="60"/>
      <c r="E40" s="60"/>
      <c r="F40" s="60" t="s">
        <v>97</v>
      </c>
      <c r="G40" s="60"/>
      <c r="H40" s="60"/>
      <c r="I40" s="60"/>
      <c r="J40" s="60"/>
      <c r="K40" s="60" t="s">
        <v>96</v>
      </c>
      <c r="L40" s="60"/>
    </row>
    <row r="41" spans="1:13" x14ac:dyDescent="0.35">
      <c r="A41" s="60"/>
      <c r="B41" s="60"/>
      <c r="C41" s="60"/>
      <c r="D41" s="60"/>
      <c r="E41" s="60"/>
      <c r="F41" s="60"/>
      <c r="G41" s="60"/>
      <c r="H41" s="60"/>
      <c r="I41" s="60"/>
      <c r="J41" s="60"/>
      <c r="K41" s="60"/>
      <c r="L41" s="60"/>
    </row>
    <row r="42" spans="1:13" x14ac:dyDescent="0.35">
      <c r="A42" s="60" t="s">
        <v>179</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180</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2026-01-11T20:48:58Z</dcterms:modified>
  <cp:category/>
  <cp:contentStatus/>
</cp:coreProperties>
</file>